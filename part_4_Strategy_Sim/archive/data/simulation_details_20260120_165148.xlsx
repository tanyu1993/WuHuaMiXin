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拟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  <fill>
      <patternFill patternType="solid">
        <fgColor rgb="00DDEBF7"/>
        <bgColor rgb="00DDEBF7"/>
      </patternFill>
    </fill>
    <fill>
      <patternFill patternType="solid">
        <fgColor rgb="00EDEDED"/>
        <b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01"/>
  <sheetViews>
    <sheetView workbookViewId="0">
      <selection activeCell="A1" sqref="A1"/>
    </sheetView>
  </sheetViews>
  <sheetFormatPr baseColWidth="8" defaultRowHeight="15"/>
  <cols>
    <col width="10.8" customWidth="1" min="1" max="1"/>
    <col width="10" customWidth="1" min="2" max="2"/>
    <col width="10" customWidth="1" min="3" max="3"/>
    <col width="40" customWidth="1" min="4" max="4"/>
    <col width="10.8" customWidth="1" min="5" max="5"/>
    <col width="11.9" customWidth="1" min="6" max="6"/>
    <col width="14.1" customWidth="1" min="7" max="7"/>
    <col width="11.9" customWidth="1" min="8" max="8"/>
    <col width="11.9" customWidth="1" min="9" max="9"/>
    <col width="10.8" customWidth="1" min="10" max="10"/>
    <col width="4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35" customWidth="1" min="17" max="17"/>
    <col width="10.8" customWidth="1" min="18" max="18"/>
    <col width="36.1" customWidth="1" min="19" max="19"/>
    <col width="21.8" customWidth="1" min="20" max="20"/>
    <col width="10" customWidth="1" min="21" max="21"/>
    <col width="13" customWidth="1" min="22" max="22"/>
    <col width="10" customWidth="1" min="23" max="23"/>
    <col width="13" customWidth="1" min="24" max="24"/>
    <col width="26.2" customWidth="1" min="25" max="25"/>
    <col width="17.4" customWidth="1" min="26" max="26"/>
    <col width="28.4" customWidth="1" min="27" max="27"/>
    <col width="10.8" customWidth="1" min="28" max="28"/>
    <col width="10.8" customWidth="1" min="29" max="29"/>
    <col width="10.8" customWidth="1" min="30" max="30"/>
    <col width="25.1" customWidth="1" min="31" max="31"/>
    <col width="10.8" customWidth="1" min="32" max="32"/>
    <col width="10.8" customWidth="1" min="33" max="33"/>
    <col width="10.8" customWidth="1" min="34" max="34"/>
    <col width="25.1" customWidth="1" min="35" max="35"/>
    <col width="11.9" customWidth="1" min="36" max="36"/>
    <col width="14.1" customWidth="1" min="37" max="37"/>
    <col width="11.9" customWidth="1" min="38" max="38"/>
    <col width="25.1" customWidth="1" min="39" max="39"/>
    <col width="17.4" customWidth="1" min="40" max="40"/>
  </cols>
  <sheetData>
    <row r="1">
      <c r="A1" s="1" t="inlineStr">
        <is>
          <t>模拟序号</t>
        </is>
      </c>
      <c r="B1" s="1" t="inlineStr">
        <is>
          <t>版本</t>
        </is>
      </c>
      <c r="C1" s="1" t="inlineStr">
        <is>
          <t>卡池</t>
        </is>
      </c>
      <c r="D1" s="1" t="inlineStr">
        <is>
          <t>收入来源说明</t>
        </is>
      </c>
      <c r="E1" s="2" t="inlineStr">
        <is>
          <t>初始金铢</t>
        </is>
      </c>
      <c r="F1" s="2" t="inlineStr">
        <is>
          <t>收入_月卡</t>
        </is>
      </c>
      <c r="G1" s="2" t="inlineStr">
        <is>
          <t>收入_义相逢</t>
        </is>
      </c>
      <c r="H1" s="2" t="inlineStr">
        <is>
          <t>收入_战令</t>
        </is>
      </c>
      <c r="I1" s="2" t="inlineStr">
        <is>
          <t>收入_其他</t>
        </is>
      </c>
      <c r="J1" s="2" t="inlineStr">
        <is>
          <t>消耗金铢</t>
        </is>
      </c>
      <c r="K1" s="2" t="inlineStr">
        <is>
          <t>期末金铢</t>
        </is>
      </c>
      <c r="L1" s="3" t="inlineStr">
        <is>
          <t>初始举才诏</t>
        </is>
      </c>
      <c r="M1" s="3" t="inlineStr">
        <is>
          <t>收入举才诏</t>
        </is>
      </c>
      <c r="N1" s="3" t="inlineStr">
        <is>
          <t>阶梯举才诏</t>
        </is>
      </c>
      <c r="O1" s="3" t="inlineStr">
        <is>
          <t>金铢换票</t>
        </is>
      </c>
      <c r="P1" s="3" t="inlineStr">
        <is>
          <t>总消耗(抽)</t>
        </is>
      </c>
      <c r="Q1" s="3" t="inlineStr">
        <is>
          <t>期末举才诏</t>
        </is>
      </c>
      <c r="R1" s="4" t="inlineStr">
        <is>
          <t>初始保底</t>
        </is>
      </c>
      <c r="S1" s="4" t="inlineStr">
        <is>
          <t>出货消耗保底</t>
        </is>
      </c>
      <c r="T1" s="4" t="inlineStr">
        <is>
          <t>期末保底</t>
        </is>
      </c>
      <c r="U1" s="4" t="inlineStr">
        <is>
          <t>获得UP</t>
        </is>
      </c>
      <c r="V1" s="4" t="inlineStr">
        <is>
          <t>UP出货保底</t>
        </is>
      </c>
      <c r="W1" s="4" t="inlineStr">
        <is>
          <t>歪了没</t>
        </is>
      </c>
      <c r="X1" s="4" t="inlineStr">
        <is>
          <t>歪出货保底</t>
        </is>
      </c>
      <c r="Y1" s="4" t="inlineStr">
        <is>
          <t>额外出货</t>
        </is>
      </c>
      <c r="Z1" s="4" t="inlineStr">
        <is>
          <t>额外出货保底和</t>
        </is>
      </c>
      <c r="AA1" s="4" t="inlineStr">
        <is>
          <t>垫池操作</t>
        </is>
      </c>
      <c r="AB1" s="5" t="inlineStr">
        <is>
          <t>初始龙骧</t>
        </is>
      </c>
      <c r="AC1" s="5" t="inlineStr">
        <is>
          <t>收入龙骧</t>
        </is>
      </c>
      <c r="AD1" s="5" t="inlineStr">
        <is>
          <t>阶梯龙骧</t>
        </is>
      </c>
      <c r="AE1" s="5" t="inlineStr">
        <is>
          <t>期末龙骧</t>
        </is>
      </c>
      <c r="AF1" s="6" t="inlineStr">
        <is>
          <t>初始碎片</t>
        </is>
      </c>
      <c r="AG1" s="6" t="inlineStr">
        <is>
          <t>收入碎片</t>
        </is>
      </c>
      <c r="AH1" s="6" t="inlineStr">
        <is>
          <t>阶梯碎片</t>
        </is>
      </c>
      <c r="AI1" s="6" t="inlineStr">
        <is>
          <t>期末碎片</t>
        </is>
      </c>
      <c r="AJ1" s="7" t="inlineStr">
        <is>
          <t>花费_月卡</t>
        </is>
      </c>
      <c r="AK1" s="7" t="inlineStr">
        <is>
          <t>花费_义相逢</t>
        </is>
      </c>
      <c r="AL1" s="7" t="inlineStr">
        <is>
          <t>花费_战令</t>
        </is>
      </c>
      <c r="AM1" s="7" t="inlineStr">
        <is>
          <t>本池总氪金</t>
        </is>
      </c>
      <c r="AN1" s="7" t="inlineStr">
        <is>
          <t>累计氪金</t>
        </is>
      </c>
    </row>
    <row r="2">
      <c r="A2" s="8" t="n">
        <v>1</v>
      </c>
      <c r="B2" s="8" t="n">
        <v>1</v>
      </c>
      <c r="C2" s="8" t="n">
        <v>1</v>
      </c>
      <c r="D2" s="8" t="inlineStr">
        <is>
          <t>版本免费+义相逢 + 月卡收益</t>
        </is>
      </c>
      <c r="E2" s="9" t="n">
        <v>40000</v>
      </c>
      <c r="F2" s="9" t="n">
        <v>1540</v>
      </c>
      <c r="G2" s="9" t="n">
        <v>4800</v>
      </c>
      <c r="H2" s="9" t="n">
        <v>0</v>
      </c>
      <c r="I2" s="9" t="n">
        <v>0</v>
      </c>
      <c r="J2" s="9" t="n">
        <v>0</v>
      </c>
      <c r="K2" s="9">
        <f>E2+F2+G2+H2+I2-J2</f>
        <v/>
      </c>
      <c r="L2" s="10" t="n">
        <v>70</v>
      </c>
      <c r="M2" s="10" t="n">
        <v>85</v>
      </c>
      <c r="N2" s="10" t="n">
        <v>6</v>
      </c>
      <c r="O2" s="10">
        <f>J2/160</f>
        <v/>
      </c>
      <c r="P2" s="10" t="n">
        <v>60</v>
      </c>
      <c r="Q2" s="10">
        <f>L2+M2+N2+O2-P2</f>
        <v/>
      </c>
      <c r="R2" s="11" t="n">
        <v>0</v>
      </c>
      <c r="S2" s="11">
        <f>N(V2) + N(X2) + N(Z2)</f>
        <v/>
      </c>
      <c r="T2" s="11">
        <f>R2+P2-S2</f>
        <v/>
      </c>
      <c r="U2" s="11" t="inlineStr">
        <is>
          <t>是</t>
        </is>
      </c>
      <c r="V2" s="11" t="n">
        <v>47</v>
      </c>
      <c r="W2" s="11" t="inlineStr">
        <is>
          <t>否</t>
        </is>
      </c>
      <c r="X2" s="11" t="inlineStr">
        <is>
          <t>-</t>
        </is>
      </c>
      <c r="Y2" s="11" t="inlineStr">
        <is>
          <t>-</t>
        </is>
      </c>
      <c r="Z2" s="11" t="n">
        <v>0</v>
      </c>
      <c r="AA2" s="11" t="inlineStr">
        <is>
          <t>垫到60抽</t>
        </is>
      </c>
      <c r="AB2" s="12" t="n">
        <v>0</v>
      </c>
      <c r="AC2" s="12" t="n">
        <v>4</v>
      </c>
      <c r="AD2" s="12" t="n">
        <v>0</v>
      </c>
      <c r="AE2" s="12">
        <f>AB2+AC2+AD2</f>
        <v/>
      </c>
      <c r="AF2" s="13" t="n">
        <v>0</v>
      </c>
      <c r="AG2" s="13" t="n">
        <v>0</v>
      </c>
      <c r="AH2" s="13" t="n">
        <v>0</v>
      </c>
      <c r="AI2" s="13">
        <f>AF2+AG2+AH2</f>
        <v/>
      </c>
      <c r="AJ2" s="14" t="n">
        <v>0</v>
      </c>
      <c r="AK2" s="14" t="n">
        <v>50</v>
      </c>
      <c r="AL2" s="14" t="n">
        <v>0</v>
      </c>
      <c r="AM2" s="14">
        <f>AJ2+AK2+AL2</f>
        <v/>
      </c>
      <c r="AN2" s="14">
        <f>AM2</f>
        <v/>
      </c>
    </row>
    <row r="3">
      <c r="A3" s="8" t="n">
        <v>1</v>
      </c>
      <c r="B3" s="8" t="n">
        <v>1</v>
      </c>
      <c r="C3" s="8" t="n">
        <v>2</v>
      </c>
      <c r="D3" s="8" t="inlineStr">
        <is>
          <t>月卡收益 [月卡续费-30元]</t>
        </is>
      </c>
      <c r="E3" s="9">
        <f>K2</f>
        <v/>
      </c>
      <c r="F3" s="9" t="n">
        <v>1540</v>
      </c>
      <c r="G3" s="9" t="n">
        <v>0</v>
      </c>
      <c r="H3" s="9" t="n">
        <v>0</v>
      </c>
      <c r="I3" s="9" t="n">
        <v>0</v>
      </c>
      <c r="J3" s="9" t="n">
        <v>12480</v>
      </c>
      <c r="K3" s="9">
        <f>E3+F3+G3+H3+I3-J3</f>
        <v/>
      </c>
      <c r="L3" s="10">
        <f>Q2</f>
        <v/>
      </c>
      <c r="M3" s="10" t="n">
        <v>0</v>
      </c>
      <c r="N3" s="10" t="n">
        <v>21</v>
      </c>
      <c r="O3" s="10">
        <f>J3/160</f>
        <v/>
      </c>
      <c r="P3" s="10" t="n">
        <v>200</v>
      </c>
      <c r="Q3" s="10">
        <f>L3+M3+N3+O3-P3</f>
        <v/>
      </c>
      <c r="R3" s="11">
        <f>T2</f>
        <v/>
      </c>
      <c r="S3" s="11">
        <f>N(V3) + N(X3) + N(Z3)</f>
        <v/>
      </c>
      <c r="T3" s="11">
        <f>R3+P3-S3</f>
        <v/>
      </c>
      <c r="U3" s="11" t="inlineStr">
        <is>
          <t>是</t>
        </is>
      </c>
      <c r="V3" s="11" t="n">
        <v>48</v>
      </c>
      <c r="W3" s="11" t="inlineStr">
        <is>
          <t>是</t>
        </is>
      </c>
      <c r="X3" s="11" t="n">
        <v>49</v>
      </c>
      <c r="Y3" s="11" t="inlineStr">
        <is>
          <t>歪(51), UP(49)</t>
        </is>
      </c>
      <c r="Z3" s="11" t="n">
        <v>100</v>
      </c>
      <c r="AA3" s="11" t="inlineStr">
        <is>
          <t>冲刺200(动态80)</t>
        </is>
      </c>
      <c r="AB3" s="12">
        <f>AE2</f>
        <v/>
      </c>
      <c r="AC3" s="12" t="n">
        <v>0</v>
      </c>
      <c r="AD3" s="12" t="n">
        <v>1</v>
      </c>
      <c r="AE3" s="12">
        <f>AB3+AC3+AD3</f>
        <v/>
      </c>
      <c r="AF3" s="13">
        <f>AI2</f>
        <v/>
      </c>
      <c r="AG3" s="13" t="n">
        <v>0</v>
      </c>
      <c r="AH3" s="13" t="n">
        <v>5000</v>
      </c>
      <c r="AI3" s="13">
        <f>AF3+AG3+AH3</f>
        <v/>
      </c>
      <c r="AJ3" s="14" t="n">
        <v>30</v>
      </c>
      <c r="AK3" s="14" t="n">
        <v>0</v>
      </c>
      <c r="AL3" s="14" t="n">
        <v>0</v>
      </c>
      <c r="AM3" s="14">
        <f>AJ3+AK3+AL3</f>
        <v/>
      </c>
      <c r="AN3" s="14">
        <f>AN2+AM3</f>
        <v/>
      </c>
    </row>
    <row r="4">
      <c r="A4" s="8" t="n">
        <v>1</v>
      </c>
      <c r="B4" s="8" t="n">
        <v>2</v>
      </c>
      <c r="C4" s="8" t="n">
        <v>1</v>
      </c>
      <c r="D4" s="8" t="inlineStr">
        <is>
          <t>版本免费+义相逢 + 月卡收益</t>
        </is>
      </c>
      <c r="E4" s="9">
        <f>K3</f>
        <v/>
      </c>
      <c r="F4" s="9" t="n">
        <v>1540</v>
      </c>
      <c r="G4" s="9" t="n">
        <v>4800</v>
      </c>
      <c r="H4" s="9" t="n">
        <v>0</v>
      </c>
      <c r="I4" s="9" t="n">
        <v>0</v>
      </c>
      <c r="J4" s="9" t="n">
        <v>15040</v>
      </c>
      <c r="K4" s="9">
        <f>E4+F4+G4+H4+I4-J4</f>
        <v/>
      </c>
      <c r="L4" s="10">
        <f>Q3</f>
        <v/>
      </c>
      <c r="M4" s="10" t="n">
        <v>85</v>
      </c>
      <c r="N4" s="10" t="n">
        <v>21</v>
      </c>
      <c r="O4" s="10">
        <f>J4/160</f>
        <v/>
      </c>
      <c r="P4" s="10" t="n">
        <v>200</v>
      </c>
      <c r="Q4" s="10">
        <f>L4+M4+N4+O4-P4</f>
        <v/>
      </c>
      <c r="R4" s="11">
        <f>T3</f>
        <v/>
      </c>
      <c r="S4" s="11">
        <f>N(V4) + N(X4) + N(Z4)</f>
        <v/>
      </c>
      <c r="T4" s="11">
        <f>R4+P4-S4</f>
        <v/>
      </c>
      <c r="U4" s="11" t="inlineStr">
        <is>
          <t>是</t>
        </is>
      </c>
      <c r="V4" s="11" t="n">
        <v>47</v>
      </c>
      <c r="W4" s="11" t="inlineStr">
        <is>
          <t>是</t>
        </is>
      </c>
      <c r="X4" s="11" t="n">
        <v>47</v>
      </c>
      <c r="Y4" s="11" t="inlineStr">
        <is>
          <t>歪(48), UP(50)</t>
        </is>
      </c>
      <c r="Z4" s="11" t="n">
        <v>98</v>
      </c>
      <c r="AA4" s="11" t="inlineStr">
        <is>
          <t>垫到90抽+冲刺200(动态90)</t>
        </is>
      </c>
      <c r="AB4" s="12">
        <f>AE3</f>
        <v/>
      </c>
      <c r="AC4" s="12" t="n">
        <v>4</v>
      </c>
      <c r="AD4" s="12" t="n">
        <v>1</v>
      </c>
      <c r="AE4" s="12">
        <f>AB4+AC4+AD4</f>
        <v/>
      </c>
      <c r="AF4" s="13">
        <f>AI3</f>
        <v/>
      </c>
      <c r="AG4" s="13" t="n">
        <v>0</v>
      </c>
      <c r="AH4" s="13" t="n">
        <v>5000</v>
      </c>
      <c r="AI4" s="13">
        <f>AF4+AG4+AH4</f>
        <v/>
      </c>
      <c r="AJ4" s="14" t="n">
        <v>0</v>
      </c>
      <c r="AK4" s="14" t="n">
        <v>50</v>
      </c>
      <c r="AL4" s="14" t="n">
        <v>0</v>
      </c>
      <c r="AM4" s="14">
        <f>AJ4+AK4+AL4</f>
        <v/>
      </c>
      <c r="AN4" s="14">
        <f>AN3+AM4</f>
        <v/>
      </c>
    </row>
    <row r="5">
      <c r="A5" s="8" t="n">
        <v>1</v>
      </c>
      <c r="B5" s="8" t="n">
        <v>2</v>
      </c>
      <c r="C5" s="8" t="n">
        <v>2</v>
      </c>
      <c r="D5" s="8" t="inlineStr">
        <is>
          <t>月卡收益 [月卡续费-30元]</t>
        </is>
      </c>
      <c r="E5" s="9">
        <f>K4</f>
        <v/>
      </c>
      <c r="F5" s="9" t="n">
        <v>1540</v>
      </c>
      <c r="G5" s="9" t="n">
        <v>0</v>
      </c>
      <c r="H5" s="9" t="n">
        <v>0</v>
      </c>
      <c r="I5" s="9" t="n">
        <v>0</v>
      </c>
      <c r="J5" s="9" t="n">
        <v>4640</v>
      </c>
      <c r="K5" s="9">
        <f>E5+F5+G5+H5+I5-J5</f>
        <v/>
      </c>
      <c r="L5" s="10">
        <f>Q4</f>
        <v/>
      </c>
      <c r="M5" s="10" t="n">
        <v>0</v>
      </c>
      <c r="N5" s="10" t="n">
        <v>3</v>
      </c>
      <c r="O5" s="10">
        <f>J5/160</f>
        <v/>
      </c>
      <c r="P5" s="10" t="n">
        <v>30</v>
      </c>
      <c r="Q5" s="10">
        <f>L5+M5+N5+O5-P5</f>
        <v/>
      </c>
      <c r="R5" s="11">
        <f>T4</f>
        <v/>
      </c>
      <c r="S5" s="11">
        <f>N(V5) + N(X5) + N(Z5)</f>
        <v/>
      </c>
      <c r="T5" s="11">
        <f>R5+P5-S5</f>
        <v/>
      </c>
      <c r="U5" s="11" t="inlineStr">
        <is>
          <t>是</t>
        </is>
      </c>
      <c r="V5" s="11" t="n">
        <v>51</v>
      </c>
      <c r="W5" s="11" t="inlineStr">
        <is>
          <t>否</t>
        </is>
      </c>
      <c r="X5" s="11" t="inlineStr">
        <is>
          <t>-</t>
        </is>
      </c>
      <c r="Y5" s="11" t="inlineStr">
        <is>
          <t>-</t>
        </is>
      </c>
      <c r="Z5" s="11" t="n">
        <v>0</v>
      </c>
      <c r="AA5" s="11" t="inlineStr">
        <is>
          <t>无</t>
        </is>
      </c>
      <c r="AB5" s="12">
        <f>AE4</f>
        <v/>
      </c>
      <c r="AC5" s="12" t="n">
        <v>0</v>
      </c>
      <c r="AD5" s="12" t="n">
        <v>0</v>
      </c>
      <c r="AE5" s="12">
        <f>AB5+AC5+AD5</f>
        <v/>
      </c>
      <c r="AF5" s="13">
        <f>AI4</f>
        <v/>
      </c>
      <c r="AG5" s="13" t="n">
        <v>0</v>
      </c>
      <c r="AH5" s="13" t="n">
        <v>0</v>
      </c>
      <c r="AI5" s="13">
        <f>AF5+AG5+AH5</f>
        <v/>
      </c>
      <c r="AJ5" s="14" t="n">
        <v>30</v>
      </c>
      <c r="AK5" s="14" t="n">
        <v>0</v>
      </c>
      <c r="AL5" s="14" t="n">
        <v>0</v>
      </c>
      <c r="AM5" s="14">
        <f>AJ5+AK5+AL5</f>
        <v/>
      </c>
      <c r="AN5" s="14">
        <f>AN4+AM5</f>
        <v/>
      </c>
    </row>
    <row r="6">
      <c r="A6" s="8" t="n">
        <v>1</v>
      </c>
      <c r="B6" s="8" t="n">
        <v>3</v>
      </c>
      <c r="C6" s="8" t="n">
        <v>1</v>
      </c>
      <c r="D6" s="8" t="inlineStr">
        <is>
          <t>版本免费+义相逢 + 月卡收益</t>
        </is>
      </c>
      <c r="E6" s="9">
        <f>K5</f>
        <v/>
      </c>
      <c r="F6" s="9" t="n">
        <v>1540</v>
      </c>
      <c r="G6" s="9" t="n">
        <v>4800</v>
      </c>
      <c r="H6" s="9" t="n">
        <v>0</v>
      </c>
      <c r="I6" s="9" t="n">
        <v>0</v>
      </c>
      <c r="J6" s="9" t="n">
        <v>320</v>
      </c>
      <c r="K6" s="9">
        <f>E6+F6+G6+H6+I6-J6</f>
        <v/>
      </c>
      <c r="L6" s="10">
        <f>Q5</f>
        <v/>
      </c>
      <c r="M6" s="10" t="n">
        <v>85</v>
      </c>
      <c r="N6" s="10" t="n">
        <v>11</v>
      </c>
      <c r="O6" s="10">
        <f>J6/160</f>
        <v/>
      </c>
      <c r="P6" s="10" t="n">
        <v>100</v>
      </c>
      <c r="Q6" s="10">
        <f>L6+M6+N6+O6-P6</f>
        <v/>
      </c>
      <c r="R6" s="11">
        <f>T5</f>
        <v/>
      </c>
      <c r="S6" s="11">
        <f>N(V6) + N(X6) + N(Z6)</f>
        <v/>
      </c>
      <c r="T6" s="11">
        <f>R6+P6-S6</f>
        <v/>
      </c>
      <c r="U6" s="11" t="inlineStr">
        <is>
          <t>是</t>
        </is>
      </c>
      <c r="V6" s="11" t="n">
        <v>51</v>
      </c>
      <c r="W6" s="11" t="inlineStr">
        <is>
          <t>是</t>
        </is>
      </c>
      <c r="X6" s="11" t="n">
        <v>51</v>
      </c>
      <c r="Y6" s="11" t="inlineStr">
        <is>
          <t>-</t>
        </is>
      </c>
      <c r="Z6" s="11" t="n">
        <v>0</v>
      </c>
      <c r="AA6" s="11" t="inlineStr">
        <is>
          <t>无</t>
        </is>
      </c>
      <c r="AB6" s="12">
        <f>AE5</f>
        <v/>
      </c>
      <c r="AC6" s="12" t="n">
        <v>4</v>
      </c>
      <c r="AD6" s="12" t="n">
        <v>0</v>
      </c>
      <c r="AE6" s="12">
        <f>AB6+AC6+AD6</f>
        <v/>
      </c>
      <c r="AF6" s="13">
        <f>AI5</f>
        <v/>
      </c>
      <c r="AG6" s="13" t="n">
        <v>0</v>
      </c>
      <c r="AH6" s="13" t="n">
        <v>0</v>
      </c>
      <c r="AI6" s="13">
        <f>AF6+AG6+AH6</f>
        <v/>
      </c>
      <c r="AJ6" s="14" t="n">
        <v>0</v>
      </c>
      <c r="AK6" s="14" t="n">
        <v>50</v>
      </c>
      <c r="AL6" s="14" t="n">
        <v>0</v>
      </c>
      <c r="AM6" s="14">
        <f>AJ6+AK6+AL6</f>
        <v/>
      </c>
      <c r="AN6" s="14">
        <f>AN5+AM6</f>
        <v/>
      </c>
    </row>
    <row r="7">
      <c r="A7" s="8" t="n">
        <v>1</v>
      </c>
      <c r="B7" s="8" t="n">
        <v>3</v>
      </c>
      <c r="C7" s="8" t="n">
        <v>2</v>
      </c>
      <c r="D7" s="8" t="inlineStr">
        <is>
          <t>月卡收益 [月卡续费-30元]</t>
        </is>
      </c>
      <c r="E7" s="9">
        <f>K6</f>
        <v/>
      </c>
      <c r="F7" s="9" t="n">
        <v>1540</v>
      </c>
      <c r="G7" s="9" t="n">
        <v>0</v>
      </c>
      <c r="H7" s="9" t="n">
        <v>0</v>
      </c>
      <c r="I7" s="9" t="n">
        <v>0</v>
      </c>
      <c r="J7" s="9" t="n">
        <v>9120</v>
      </c>
      <c r="K7" s="9">
        <f>E7+F7+G7+H7+I7-J7</f>
        <v/>
      </c>
      <c r="L7" s="10">
        <f>Q6</f>
        <v/>
      </c>
      <c r="M7" s="10" t="n">
        <v>0</v>
      </c>
      <c r="N7" s="10" t="n">
        <v>6</v>
      </c>
      <c r="O7" s="10">
        <f>J7/160</f>
        <v/>
      </c>
      <c r="P7" s="10" t="n">
        <v>60</v>
      </c>
      <c r="Q7" s="10">
        <f>L7+M7+N7+O7-P7</f>
        <v/>
      </c>
      <c r="R7" s="11">
        <f>T6</f>
        <v/>
      </c>
      <c r="S7" s="11">
        <f>N(V7) + N(X7) + N(Z7)</f>
        <v/>
      </c>
      <c r="T7" s="11">
        <f>R7+P7-S7</f>
        <v/>
      </c>
      <c r="U7" s="11" t="inlineStr">
        <is>
          <t>是</t>
        </is>
      </c>
      <c r="V7" s="11" t="n">
        <v>51</v>
      </c>
      <c r="W7" s="11" t="inlineStr">
        <is>
          <t>否</t>
        </is>
      </c>
      <c r="X7" s="11" t="inlineStr">
        <is>
          <t>-</t>
        </is>
      </c>
      <c r="Y7" s="11" t="inlineStr">
        <is>
          <t>-</t>
        </is>
      </c>
      <c r="Z7" s="11" t="n">
        <v>0</v>
      </c>
      <c r="AA7" s="11" t="inlineStr">
        <is>
          <t>垫到60抽</t>
        </is>
      </c>
      <c r="AB7" s="12">
        <f>AE6</f>
        <v/>
      </c>
      <c r="AC7" s="12" t="n">
        <v>0</v>
      </c>
      <c r="AD7" s="12" t="n">
        <v>0</v>
      </c>
      <c r="AE7" s="12">
        <f>AB7+AC7+AD7</f>
        <v/>
      </c>
      <c r="AF7" s="13">
        <f>AI6</f>
        <v/>
      </c>
      <c r="AG7" s="13" t="n">
        <v>0</v>
      </c>
      <c r="AH7" s="13" t="n">
        <v>0</v>
      </c>
      <c r="AI7" s="13">
        <f>AF7+AG7+AH7</f>
        <v/>
      </c>
      <c r="AJ7" s="14" t="n">
        <v>30</v>
      </c>
      <c r="AK7" s="14" t="n">
        <v>0</v>
      </c>
      <c r="AL7" s="14" t="n">
        <v>0</v>
      </c>
      <c r="AM7" s="14">
        <f>AJ7+AK7+AL7</f>
        <v/>
      </c>
      <c r="AN7" s="14">
        <f>AN6+AM7</f>
        <v/>
      </c>
    </row>
    <row r="8">
      <c r="A8" s="8" t="n">
        <v>1</v>
      </c>
      <c r="B8" s="8" t="n">
        <v>4</v>
      </c>
      <c r="C8" s="8" t="n">
        <v>1</v>
      </c>
      <c r="D8" s="8" t="inlineStr">
        <is>
          <t>版本免费+义相逢 + 月卡收益</t>
        </is>
      </c>
      <c r="E8" s="9">
        <f>K7</f>
        <v/>
      </c>
      <c r="F8" s="9" t="n">
        <v>1540</v>
      </c>
      <c r="G8" s="9" t="n">
        <v>4800</v>
      </c>
      <c r="H8" s="9" t="n">
        <v>0</v>
      </c>
      <c r="I8" s="9" t="n">
        <v>0</v>
      </c>
      <c r="J8" s="9" t="n">
        <v>0</v>
      </c>
      <c r="K8" s="9">
        <f>E8+F8+G8+H8+I8-J8</f>
        <v/>
      </c>
      <c r="L8" s="10">
        <f>Q7</f>
        <v/>
      </c>
      <c r="M8" s="10" t="n">
        <v>85</v>
      </c>
      <c r="N8" s="10" t="n">
        <v>11</v>
      </c>
      <c r="O8" s="10">
        <f>J8/160</f>
        <v/>
      </c>
      <c r="P8" s="10" t="n">
        <v>90</v>
      </c>
      <c r="Q8" s="10">
        <f>L8+M8+N8+O8-P8</f>
        <v/>
      </c>
      <c r="R8" s="11">
        <f>T7</f>
        <v/>
      </c>
      <c r="S8" s="11">
        <f>N(V8) + N(X8) + N(Z8)</f>
        <v/>
      </c>
      <c r="T8" s="11">
        <f>R8+P8-S8</f>
        <v/>
      </c>
      <c r="U8" s="11" t="inlineStr">
        <is>
          <t>是</t>
        </is>
      </c>
      <c r="V8" s="11" t="n">
        <v>49</v>
      </c>
      <c r="W8" s="11" t="inlineStr">
        <is>
          <t>是</t>
        </is>
      </c>
      <c r="X8" s="11" t="n">
        <v>46</v>
      </c>
      <c r="Y8" s="11" t="inlineStr">
        <is>
          <t>-</t>
        </is>
      </c>
      <c r="Z8" s="11" t="n">
        <v>0</v>
      </c>
      <c r="AA8" s="11" t="inlineStr">
        <is>
          <t>无</t>
        </is>
      </c>
      <c r="AB8" s="12">
        <f>AE7</f>
        <v/>
      </c>
      <c r="AC8" s="12" t="n">
        <v>4</v>
      </c>
      <c r="AD8" s="12" t="n">
        <v>0</v>
      </c>
      <c r="AE8" s="12">
        <f>AB8+AC8+AD8</f>
        <v/>
      </c>
      <c r="AF8" s="13">
        <f>AI7</f>
        <v/>
      </c>
      <c r="AG8" s="13" t="n">
        <v>0</v>
      </c>
      <c r="AH8" s="13" t="n">
        <v>0</v>
      </c>
      <c r="AI8" s="13">
        <f>AF8+AG8+AH8</f>
        <v/>
      </c>
      <c r="AJ8" s="14" t="n">
        <v>0</v>
      </c>
      <c r="AK8" s="14" t="n">
        <v>50</v>
      </c>
      <c r="AL8" s="14" t="n">
        <v>0</v>
      </c>
      <c r="AM8" s="14">
        <f>AJ8+AK8+AL8</f>
        <v/>
      </c>
      <c r="AN8" s="14">
        <f>AN7+AM8</f>
        <v/>
      </c>
    </row>
    <row r="9">
      <c r="A9" s="8" t="n">
        <v>1</v>
      </c>
      <c r="B9" s="8" t="n">
        <v>4</v>
      </c>
      <c r="C9" s="8" t="n">
        <v>2</v>
      </c>
      <c r="D9" s="8" t="inlineStr">
        <is>
          <t>月卡收益 [月卡续费-30元]</t>
        </is>
      </c>
      <c r="E9" s="9">
        <f>K8</f>
        <v/>
      </c>
      <c r="F9" s="9" t="n">
        <v>1540</v>
      </c>
      <c r="G9" s="9" t="n">
        <v>0</v>
      </c>
      <c r="H9" s="9" t="n">
        <v>0</v>
      </c>
      <c r="I9" s="9" t="n">
        <v>0</v>
      </c>
      <c r="J9" s="9" t="n">
        <v>7680</v>
      </c>
      <c r="K9" s="9">
        <f>E9+F9+G9+H9+I9-J9</f>
        <v/>
      </c>
      <c r="L9" s="10">
        <f>Q8</f>
        <v/>
      </c>
      <c r="M9" s="10" t="n">
        <v>0</v>
      </c>
      <c r="N9" s="10" t="n">
        <v>6</v>
      </c>
      <c r="O9" s="10">
        <f>J9/160</f>
        <v/>
      </c>
      <c r="P9" s="10" t="n">
        <v>60</v>
      </c>
      <c r="Q9" s="10">
        <f>L9+M9+N9+O9-P9</f>
        <v/>
      </c>
      <c r="R9" s="11">
        <f>T8</f>
        <v/>
      </c>
      <c r="S9" s="11">
        <f>N(V9) + N(X9) + N(Z9)</f>
        <v/>
      </c>
      <c r="T9" s="11">
        <f>R9+P9-S9</f>
        <v/>
      </c>
      <c r="U9" s="11" t="inlineStr">
        <is>
          <t>是</t>
        </is>
      </c>
      <c r="V9" s="11" t="n">
        <v>49</v>
      </c>
      <c r="W9" s="11" t="inlineStr">
        <is>
          <t>否</t>
        </is>
      </c>
      <c r="X9" s="11" t="inlineStr">
        <is>
          <t>-</t>
        </is>
      </c>
      <c r="Y9" s="11" t="inlineStr">
        <is>
          <t>-</t>
        </is>
      </c>
      <c r="Z9" s="11" t="n">
        <v>0</v>
      </c>
      <c r="AA9" s="11" t="inlineStr">
        <is>
          <t>垫到60抽</t>
        </is>
      </c>
      <c r="AB9" s="12">
        <f>AE8</f>
        <v/>
      </c>
      <c r="AC9" s="12" t="n">
        <v>0</v>
      </c>
      <c r="AD9" s="12" t="n">
        <v>0</v>
      </c>
      <c r="AE9" s="12">
        <f>AB9+AC9+AD9</f>
        <v/>
      </c>
      <c r="AF9" s="13">
        <f>AI8</f>
        <v/>
      </c>
      <c r="AG9" s="13" t="n">
        <v>0</v>
      </c>
      <c r="AH9" s="13" t="n">
        <v>0</v>
      </c>
      <c r="AI9" s="13">
        <f>AF9+AG9+AH9</f>
        <v/>
      </c>
      <c r="AJ9" s="14" t="n">
        <v>30</v>
      </c>
      <c r="AK9" s="14" t="n">
        <v>0</v>
      </c>
      <c r="AL9" s="14" t="n">
        <v>0</v>
      </c>
      <c r="AM9" s="14">
        <f>AJ9+AK9+AL9</f>
        <v/>
      </c>
      <c r="AN9" s="14">
        <f>AN8+AM9</f>
        <v/>
      </c>
    </row>
    <row r="10">
      <c r="A10" s="8" t="n">
        <v>1</v>
      </c>
      <c r="B10" s="8" t="n">
        <v>5</v>
      </c>
      <c r="C10" s="8" t="n">
        <v>1</v>
      </c>
      <c r="D10" s="8" t="inlineStr">
        <is>
          <t>版本免费+义相逢 + 月卡收益</t>
        </is>
      </c>
      <c r="E10" s="9">
        <f>K9</f>
        <v/>
      </c>
      <c r="F10" s="9" t="n">
        <v>1540</v>
      </c>
      <c r="G10" s="9" t="n">
        <v>4800</v>
      </c>
      <c r="H10" s="9" t="n">
        <v>0</v>
      </c>
      <c r="I10" s="9" t="n">
        <v>0</v>
      </c>
      <c r="J10" s="9" t="n">
        <v>0</v>
      </c>
      <c r="K10" s="9">
        <f>E10+F10+G10+H10+I10-J10</f>
        <v/>
      </c>
      <c r="L10" s="10">
        <f>Q9</f>
        <v/>
      </c>
      <c r="M10" s="10" t="n">
        <v>85</v>
      </c>
      <c r="N10" s="10" t="n">
        <v>3</v>
      </c>
      <c r="O10" s="10">
        <f>J10/160</f>
        <v/>
      </c>
      <c r="P10" s="10" t="n">
        <v>40</v>
      </c>
      <c r="Q10" s="10">
        <f>L10+M10+N10+O10-P10</f>
        <v/>
      </c>
      <c r="R10" s="11">
        <f>T9</f>
        <v/>
      </c>
      <c r="S10" s="11">
        <f>N(V10) + N(X10) + N(Z10)</f>
        <v/>
      </c>
      <c r="T10" s="11">
        <f>R10+P10-S10</f>
        <v/>
      </c>
      <c r="U10" s="11" t="inlineStr">
        <is>
          <t>是</t>
        </is>
      </c>
      <c r="V10" s="11" t="n">
        <v>49</v>
      </c>
      <c r="W10" s="11" t="inlineStr">
        <is>
          <t>否</t>
        </is>
      </c>
      <c r="X10" s="11" t="inlineStr">
        <is>
          <t>-</t>
        </is>
      </c>
      <c r="Y10" s="11" t="inlineStr">
        <is>
          <t>-</t>
        </is>
      </c>
      <c r="Z10" s="11" t="n">
        <v>0</v>
      </c>
      <c r="AA10" s="11" t="inlineStr">
        <is>
          <t>无</t>
        </is>
      </c>
      <c r="AB10" s="12">
        <f>AE9</f>
        <v/>
      </c>
      <c r="AC10" s="12" t="n">
        <v>4</v>
      </c>
      <c r="AD10" s="12" t="n">
        <v>0</v>
      </c>
      <c r="AE10" s="12">
        <f>AB10+AC10+AD10</f>
        <v/>
      </c>
      <c r="AF10" s="13">
        <f>AI9</f>
        <v/>
      </c>
      <c r="AG10" s="13" t="n">
        <v>0</v>
      </c>
      <c r="AH10" s="13" t="n">
        <v>0</v>
      </c>
      <c r="AI10" s="13">
        <f>AF10+AG10+AH10</f>
        <v/>
      </c>
      <c r="AJ10" s="14" t="n">
        <v>0</v>
      </c>
      <c r="AK10" s="14" t="n">
        <v>50</v>
      </c>
      <c r="AL10" s="14" t="n">
        <v>0</v>
      </c>
      <c r="AM10" s="14">
        <f>AJ10+AK10+AL10</f>
        <v/>
      </c>
      <c r="AN10" s="14">
        <f>AN9+AM10</f>
        <v/>
      </c>
    </row>
    <row r="11">
      <c r="A11" s="8" t="n">
        <v>1</v>
      </c>
      <c r="B11" s="8" t="n">
        <v>5</v>
      </c>
      <c r="C11" s="8" t="n">
        <v>2</v>
      </c>
      <c r="D11" s="8" t="inlineStr">
        <is>
          <t>月卡收益 [月卡续费-30元]</t>
        </is>
      </c>
      <c r="E11" s="9">
        <f>K10</f>
        <v/>
      </c>
      <c r="F11" s="9" t="n">
        <v>1540</v>
      </c>
      <c r="G11" s="9" t="n">
        <v>0</v>
      </c>
      <c r="H11" s="9" t="n">
        <v>0</v>
      </c>
      <c r="I11" s="9" t="n">
        <v>0</v>
      </c>
      <c r="J11" s="9" t="n">
        <v>960</v>
      </c>
      <c r="K11" s="9">
        <f>E11+F11+G11+H11+I11-J11</f>
        <v/>
      </c>
      <c r="L11" s="10">
        <f>Q10</f>
        <v/>
      </c>
      <c r="M11" s="10" t="n">
        <v>0</v>
      </c>
      <c r="N11" s="10" t="n">
        <v>6</v>
      </c>
      <c r="O11" s="10">
        <f>J11/160</f>
        <v/>
      </c>
      <c r="P11" s="10" t="n">
        <v>60</v>
      </c>
      <c r="Q11" s="10">
        <f>L11+M11+N11+O11-P11</f>
        <v/>
      </c>
      <c r="R11" s="11">
        <f>T10</f>
        <v/>
      </c>
      <c r="S11" s="11">
        <f>N(V11) + N(X11) + N(Z11)</f>
        <v/>
      </c>
      <c r="T11" s="11">
        <f>R11+P11-S11</f>
        <v/>
      </c>
      <c r="U11" s="11" t="inlineStr">
        <is>
          <t>是</t>
        </is>
      </c>
      <c r="V11" s="11" t="n">
        <v>53</v>
      </c>
      <c r="W11" s="11" t="inlineStr">
        <is>
          <t>否</t>
        </is>
      </c>
      <c r="X11" s="11" t="inlineStr">
        <is>
          <t>-</t>
        </is>
      </c>
      <c r="Y11" s="11" t="inlineStr">
        <is>
          <t>-</t>
        </is>
      </c>
      <c r="Z11" s="11" t="n">
        <v>0</v>
      </c>
      <c r="AA11" s="11" t="inlineStr">
        <is>
          <t>垫到60抽</t>
        </is>
      </c>
      <c r="AB11" s="12">
        <f>AE10</f>
        <v/>
      </c>
      <c r="AC11" s="12" t="n">
        <v>0</v>
      </c>
      <c r="AD11" s="12" t="n">
        <v>0</v>
      </c>
      <c r="AE11" s="12">
        <f>AB11+AC11+AD11</f>
        <v/>
      </c>
      <c r="AF11" s="13">
        <f>AI10</f>
        <v/>
      </c>
      <c r="AG11" s="13" t="n">
        <v>0</v>
      </c>
      <c r="AH11" s="13" t="n">
        <v>0</v>
      </c>
      <c r="AI11" s="13">
        <f>AF11+AG11+AH11</f>
        <v/>
      </c>
      <c r="AJ11" s="14" t="n">
        <v>30</v>
      </c>
      <c r="AK11" s="14" t="n">
        <v>0</v>
      </c>
      <c r="AL11" s="14" t="n">
        <v>0</v>
      </c>
      <c r="AM11" s="14">
        <f>AJ11+AK11+AL11</f>
        <v/>
      </c>
      <c r="AN11" s="14">
        <f>AN10+AM11</f>
        <v/>
      </c>
    </row>
    <row r="12">
      <c r="A12" s="8" t="n">
        <v>1</v>
      </c>
      <c r="B12" s="8" t="n">
        <v>6</v>
      </c>
      <c r="C12" s="8" t="n">
        <v>1</v>
      </c>
      <c r="D12" s="8" t="inlineStr">
        <is>
          <t>版本免费+义相逢 + 月卡收益</t>
        </is>
      </c>
      <c r="E12" s="9">
        <f>K11</f>
        <v/>
      </c>
      <c r="F12" s="9" t="n">
        <v>1540</v>
      </c>
      <c r="G12" s="9" t="n">
        <v>4800</v>
      </c>
      <c r="H12" s="9" t="n">
        <v>0</v>
      </c>
      <c r="I12" s="9" t="n">
        <v>0</v>
      </c>
      <c r="J12" s="9" t="n">
        <v>0</v>
      </c>
      <c r="K12" s="9">
        <f>E12+F12+G12+H12+I12-J12</f>
        <v/>
      </c>
      <c r="L12" s="10">
        <f>Q11</f>
        <v/>
      </c>
      <c r="M12" s="10" t="n">
        <v>85</v>
      </c>
      <c r="N12" s="10" t="n">
        <v>11</v>
      </c>
      <c r="O12" s="10">
        <f>J12/160</f>
        <v/>
      </c>
      <c r="P12" s="10" t="n">
        <v>90</v>
      </c>
      <c r="Q12" s="10">
        <f>L12+M12+N12+O12-P12</f>
        <v/>
      </c>
      <c r="R12" s="11">
        <f>T11</f>
        <v/>
      </c>
      <c r="S12" s="11">
        <f>N(V12) + N(X12) + N(Z12)</f>
        <v/>
      </c>
      <c r="T12" s="11">
        <f>R12+P12-S12</f>
        <v/>
      </c>
      <c r="U12" s="11" t="inlineStr">
        <is>
          <t>是</t>
        </is>
      </c>
      <c r="V12" s="11" t="n">
        <v>48</v>
      </c>
      <c r="W12" s="11" t="inlineStr">
        <is>
          <t>是</t>
        </is>
      </c>
      <c r="X12" s="11" t="n">
        <v>51</v>
      </c>
      <c r="Y12" s="11" t="inlineStr">
        <is>
          <t>-</t>
        </is>
      </c>
      <c r="Z12" s="11" t="n">
        <v>0</v>
      </c>
      <c r="AA12" s="11" t="inlineStr">
        <is>
          <t>无</t>
        </is>
      </c>
      <c r="AB12" s="12">
        <f>AE11</f>
        <v/>
      </c>
      <c r="AC12" s="12" t="n">
        <v>4</v>
      </c>
      <c r="AD12" s="12" t="n">
        <v>0</v>
      </c>
      <c r="AE12" s="12">
        <f>AB12+AC12+AD12</f>
        <v/>
      </c>
      <c r="AF12" s="13">
        <f>AI11</f>
        <v/>
      </c>
      <c r="AG12" s="13" t="n">
        <v>0</v>
      </c>
      <c r="AH12" s="13" t="n">
        <v>0</v>
      </c>
      <c r="AI12" s="13">
        <f>AF12+AG12+AH12</f>
        <v/>
      </c>
      <c r="AJ12" s="14" t="n">
        <v>0</v>
      </c>
      <c r="AK12" s="14" t="n">
        <v>50</v>
      </c>
      <c r="AL12" s="14" t="n">
        <v>0</v>
      </c>
      <c r="AM12" s="14">
        <f>AJ12+AK12+AL12</f>
        <v/>
      </c>
      <c r="AN12" s="14">
        <f>AN11+AM12</f>
        <v/>
      </c>
    </row>
    <row r="13">
      <c r="A13" s="8" t="n">
        <v>1</v>
      </c>
      <c r="B13" s="8" t="n">
        <v>6</v>
      </c>
      <c r="C13" s="8" t="n">
        <v>2</v>
      </c>
      <c r="D13" s="8" t="inlineStr">
        <is>
          <t>月卡收益 [月卡续费-30元]</t>
        </is>
      </c>
      <c r="E13" s="9">
        <f>K12</f>
        <v/>
      </c>
      <c r="F13" s="9" t="n">
        <v>1540</v>
      </c>
      <c r="G13" s="9" t="n">
        <v>0</v>
      </c>
      <c r="H13" s="9" t="n">
        <v>0</v>
      </c>
      <c r="I13" s="9" t="n">
        <v>0</v>
      </c>
      <c r="J13" s="9" t="n">
        <v>12800</v>
      </c>
      <c r="K13" s="9">
        <f>E13+F13+G13+H13+I13-J13</f>
        <v/>
      </c>
      <c r="L13" s="10">
        <f>Q12</f>
        <v/>
      </c>
      <c r="M13" s="10" t="n">
        <v>0</v>
      </c>
      <c r="N13" s="10" t="n">
        <v>11</v>
      </c>
      <c r="O13" s="10">
        <f>J13/160</f>
        <v/>
      </c>
      <c r="P13" s="10" t="n">
        <v>100</v>
      </c>
      <c r="Q13" s="10">
        <f>L13+M13+N13+O13-P13</f>
        <v/>
      </c>
      <c r="R13" s="11">
        <f>T12</f>
        <v/>
      </c>
      <c r="S13" s="11">
        <f>N(V13) + N(X13) + N(Z13)</f>
        <v/>
      </c>
      <c r="T13" s="11">
        <f>R13+P13-S13</f>
        <v/>
      </c>
      <c r="U13" s="11" t="inlineStr">
        <is>
          <t>是</t>
        </is>
      </c>
      <c r="V13" s="11" t="n">
        <v>49</v>
      </c>
      <c r="W13" s="11" t="inlineStr">
        <is>
          <t>是</t>
        </is>
      </c>
      <c r="X13" s="11" t="n">
        <v>51</v>
      </c>
      <c r="Y13" s="11" t="inlineStr">
        <is>
          <t>-</t>
        </is>
      </c>
      <c r="Z13" s="11" t="n">
        <v>0</v>
      </c>
      <c r="AA13" s="11" t="inlineStr">
        <is>
          <t>无</t>
        </is>
      </c>
      <c r="AB13" s="12">
        <f>AE12</f>
        <v/>
      </c>
      <c r="AC13" s="12" t="n">
        <v>0</v>
      </c>
      <c r="AD13" s="12" t="n">
        <v>0</v>
      </c>
      <c r="AE13" s="12">
        <f>AB13+AC13+AD13</f>
        <v/>
      </c>
      <c r="AF13" s="13">
        <f>AI12</f>
        <v/>
      </c>
      <c r="AG13" s="13" t="n">
        <v>0</v>
      </c>
      <c r="AH13" s="13" t="n">
        <v>0</v>
      </c>
      <c r="AI13" s="13">
        <f>AF13+AG13+AH13</f>
        <v/>
      </c>
      <c r="AJ13" s="14" t="n">
        <v>30</v>
      </c>
      <c r="AK13" s="14" t="n">
        <v>0</v>
      </c>
      <c r="AL13" s="14" t="n">
        <v>0</v>
      </c>
      <c r="AM13" s="14">
        <f>AJ13+AK13+AL13</f>
        <v/>
      </c>
      <c r="AN13" s="14">
        <f>AN12+AM13</f>
        <v/>
      </c>
    </row>
    <row r="14">
      <c r="A14" s="8" t="n">
        <v>1</v>
      </c>
      <c r="B14" s="8" t="n">
        <v>7</v>
      </c>
      <c r="C14" s="8" t="n">
        <v>1</v>
      </c>
      <c r="D14" s="8" t="inlineStr">
        <is>
          <t>版本免费+义相逢 + 月卡收益</t>
        </is>
      </c>
      <c r="E14" s="9">
        <f>K13</f>
        <v/>
      </c>
      <c r="F14" s="9" t="n">
        <v>1540</v>
      </c>
      <c r="G14" s="9" t="n">
        <v>4800</v>
      </c>
      <c r="H14" s="9" t="n">
        <v>0</v>
      </c>
      <c r="I14" s="9" t="n">
        <v>0</v>
      </c>
      <c r="J14" s="9" t="n">
        <v>0</v>
      </c>
      <c r="K14" s="9">
        <f>E14+F14+G14+H14+I14-J14</f>
        <v/>
      </c>
      <c r="L14" s="10">
        <f>Q13</f>
        <v/>
      </c>
      <c r="M14" s="10" t="n">
        <v>85</v>
      </c>
      <c r="N14" s="10" t="n">
        <v>6</v>
      </c>
      <c r="O14" s="10">
        <f>J14/160</f>
        <v/>
      </c>
      <c r="P14" s="10" t="n">
        <v>70</v>
      </c>
      <c r="Q14" s="10">
        <f>L14+M14+N14+O14-P14</f>
        <v/>
      </c>
      <c r="R14" s="11">
        <f>T13</f>
        <v/>
      </c>
      <c r="S14" s="11">
        <f>N(V14) + N(X14) + N(Z14)</f>
        <v/>
      </c>
      <c r="T14" s="11">
        <f>R14+P14-S14</f>
        <v/>
      </c>
      <c r="U14" s="11" t="inlineStr">
        <is>
          <t>是</t>
        </is>
      </c>
      <c r="V14" s="11" t="n">
        <v>49</v>
      </c>
      <c r="W14" s="11" t="inlineStr">
        <is>
          <t>是</t>
        </is>
      </c>
      <c r="X14" s="11" t="n">
        <v>21</v>
      </c>
      <c r="Y14" s="11" t="inlineStr">
        <is>
          <t>-</t>
        </is>
      </c>
      <c r="Z14" s="11" t="n">
        <v>0</v>
      </c>
      <c r="AA14" s="11" t="inlineStr">
        <is>
          <t>无</t>
        </is>
      </c>
      <c r="AB14" s="12">
        <f>AE13</f>
        <v/>
      </c>
      <c r="AC14" s="12" t="n">
        <v>4</v>
      </c>
      <c r="AD14" s="12" t="n">
        <v>0</v>
      </c>
      <c r="AE14" s="12">
        <f>AB14+AC14+AD14</f>
        <v/>
      </c>
      <c r="AF14" s="13">
        <f>AI13</f>
        <v/>
      </c>
      <c r="AG14" s="13" t="n">
        <v>0</v>
      </c>
      <c r="AH14" s="13" t="n">
        <v>0</v>
      </c>
      <c r="AI14" s="13">
        <f>AF14+AG14+AH14</f>
        <v/>
      </c>
      <c r="AJ14" s="14" t="n">
        <v>0</v>
      </c>
      <c r="AK14" s="14" t="n">
        <v>50</v>
      </c>
      <c r="AL14" s="14" t="n">
        <v>0</v>
      </c>
      <c r="AM14" s="14">
        <f>AJ14+AK14+AL14</f>
        <v/>
      </c>
      <c r="AN14" s="14">
        <f>AN13+AM14</f>
        <v/>
      </c>
    </row>
    <row r="15">
      <c r="A15" s="8" t="n">
        <v>1</v>
      </c>
      <c r="B15" s="8" t="n">
        <v>7</v>
      </c>
      <c r="C15" s="8" t="n">
        <v>2</v>
      </c>
      <c r="D15" s="8" t="inlineStr">
        <is>
          <t>月卡收益 [月卡续费-30元]</t>
        </is>
      </c>
      <c r="E15" s="9">
        <f>K14</f>
        <v/>
      </c>
      <c r="F15" s="9" t="n">
        <v>1540</v>
      </c>
      <c r="G15" s="9" t="n">
        <v>0</v>
      </c>
      <c r="H15" s="9" t="n">
        <v>0</v>
      </c>
      <c r="I15" s="9" t="n">
        <v>0</v>
      </c>
      <c r="J15" s="9" t="n">
        <v>10880</v>
      </c>
      <c r="K15" s="9">
        <f>E15+F15+G15+H15+I15-J15</f>
        <v/>
      </c>
      <c r="L15" s="10">
        <f>Q14</f>
        <v/>
      </c>
      <c r="M15" s="10" t="n">
        <v>0</v>
      </c>
      <c r="N15" s="10" t="n">
        <v>11</v>
      </c>
      <c r="O15" s="10">
        <f>J15/160</f>
        <v/>
      </c>
      <c r="P15" s="10" t="n">
        <v>100</v>
      </c>
      <c r="Q15" s="10">
        <f>L15+M15+N15+O15-P15</f>
        <v/>
      </c>
      <c r="R15" s="11">
        <f>T14</f>
        <v/>
      </c>
      <c r="S15" s="11">
        <f>N(V15) + N(X15) + N(Z15)</f>
        <v/>
      </c>
      <c r="T15" s="11">
        <f>R15+P15-S15</f>
        <v/>
      </c>
      <c r="U15" s="11" t="inlineStr">
        <is>
          <t>是</t>
        </is>
      </c>
      <c r="V15" s="11" t="n">
        <v>51</v>
      </c>
      <c r="W15" s="11" t="inlineStr">
        <is>
          <t>是</t>
        </is>
      </c>
      <c r="X15" s="11" t="n">
        <v>49</v>
      </c>
      <c r="Y15" s="11" t="inlineStr">
        <is>
          <t>-</t>
        </is>
      </c>
      <c r="Z15" s="11" t="n">
        <v>0</v>
      </c>
      <c r="AA15" s="11" t="inlineStr">
        <is>
          <t>无</t>
        </is>
      </c>
      <c r="AB15" s="12">
        <f>AE14</f>
        <v/>
      </c>
      <c r="AC15" s="12" t="n">
        <v>0</v>
      </c>
      <c r="AD15" s="12" t="n">
        <v>0</v>
      </c>
      <c r="AE15" s="12">
        <f>AB15+AC15+AD15</f>
        <v/>
      </c>
      <c r="AF15" s="13">
        <f>AI14</f>
        <v/>
      </c>
      <c r="AG15" s="13" t="n">
        <v>0</v>
      </c>
      <c r="AH15" s="13" t="n">
        <v>0</v>
      </c>
      <c r="AI15" s="13">
        <f>AF15+AG15+AH15</f>
        <v/>
      </c>
      <c r="AJ15" s="14" t="n">
        <v>30</v>
      </c>
      <c r="AK15" s="14" t="n">
        <v>0</v>
      </c>
      <c r="AL15" s="14" t="n">
        <v>0</v>
      </c>
      <c r="AM15" s="14">
        <f>AJ15+AK15+AL15</f>
        <v/>
      </c>
      <c r="AN15" s="14">
        <f>AN14+AM15</f>
        <v/>
      </c>
    </row>
    <row r="16">
      <c r="A16" s="8" t="n">
        <v>1</v>
      </c>
      <c r="B16" s="8" t="n">
        <v>8</v>
      </c>
      <c r="C16" s="8" t="n">
        <v>1</v>
      </c>
      <c r="D16" s="8" t="inlineStr">
        <is>
          <t>版本免费+义相逢 + 月卡收益</t>
        </is>
      </c>
      <c r="E16" s="9">
        <f>K15</f>
        <v/>
      </c>
      <c r="F16" s="9" t="n">
        <v>1540</v>
      </c>
      <c r="G16" s="9" t="n">
        <v>4800</v>
      </c>
      <c r="H16" s="9" t="n">
        <v>0</v>
      </c>
      <c r="I16" s="9" t="n">
        <v>0</v>
      </c>
      <c r="J16" s="9" t="n">
        <v>0</v>
      </c>
      <c r="K16" s="9">
        <f>E16+F16+G16+H16+I16-J16</f>
        <v/>
      </c>
      <c r="L16" s="10">
        <f>Q15</f>
        <v/>
      </c>
      <c r="M16" s="10" t="n">
        <v>85</v>
      </c>
      <c r="N16" s="10" t="n">
        <v>6</v>
      </c>
      <c r="O16" s="10">
        <f>J16/160</f>
        <v/>
      </c>
      <c r="P16" s="10" t="n">
        <v>60</v>
      </c>
      <c r="Q16" s="10">
        <f>L16+M16+N16+O16-P16</f>
        <v/>
      </c>
      <c r="R16" s="11">
        <f>T15</f>
        <v/>
      </c>
      <c r="S16" s="11">
        <f>N(V16) + N(X16) + N(Z16)</f>
        <v/>
      </c>
      <c r="T16" s="11">
        <f>R16+P16-S16</f>
        <v/>
      </c>
      <c r="U16" s="11" t="inlineStr">
        <is>
          <t>是</t>
        </is>
      </c>
      <c r="V16" s="11" t="n">
        <v>49</v>
      </c>
      <c r="W16" s="11" t="inlineStr">
        <is>
          <t>否</t>
        </is>
      </c>
      <c r="X16" s="11" t="inlineStr">
        <is>
          <t>-</t>
        </is>
      </c>
      <c r="Y16" s="11" t="inlineStr">
        <is>
          <t>UP(7)</t>
        </is>
      </c>
      <c r="Z16" s="11" t="n">
        <v>7</v>
      </c>
      <c r="AA16" s="11" t="inlineStr">
        <is>
          <t>垫到60抽</t>
        </is>
      </c>
      <c r="AB16" s="12">
        <f>AE15</f>
        <v/>
      </c>
      <c r="AC16" s="12" t="n">
        <v>4</v>
      </c>
      <c r="AD16" s="12" t="n">
        <v>0</v>
      </c>
      <c r="AE16" s="12">
        <f>AB16+AC16+AD16</f>
        <v/>
      </c>
      <c r="AF16" s="13">
        <f>AI15</f>
        <v/>
      </c>
      <c r="AG16" s="13" t="n">
        <v>0</v>
      </c>
      <c r="AH16" s="13" t="n">
        <v>0</v>
      </c>
      <c r="AI16" s="13">
        <f>AF16+AG16+AH16</f>
        <v/>
      </c>
      <c r="AJ16" s="14" t="n">
        <v>0</v>
      </c>
      <c r="AK16" s="14" t="n">
        <v>50</v>
      </c>
      <c r="AL16" s="14" t="n">
        <v>0</v>
      </c>
      <c r="AM16" s="14">
        <f>AJ16+AK16+AL16</f>
        <v/>
      </c>
      <c r="AN16" s="14">
        <f>AN15+AM16</f>
        <v/>
      </c>
    </row>
    <row r="17">
      <c r="A17" s="8" t="n">
        <v>1</v>
      </c>
      <c r="B17" s="8" t="n">
        <v>8</v>
      </c>
      <c r="C17" s="8" t="n">
        <v>2</v>
      </c>
      <c r="D17" s="8" t="inlineStr">
        <is>
          <t>月卡收益</t>
        </is>
      </c>
      <c r="E17" s="9">
        <f>K16</f>
        <v/>
      </c>
      <c r="F17" s="9" t="n">
        <v>1540</v>
      </c>
      <c r="G17" s="9" t="n">
        <v>0</v>
      </c>
      <c r="H17" s="9" t="n">
        <v>0</v>
      </c>
      <c r="I17" s="9" t="n">
        <v>0</v>
      </c>
      <c r="J17" s="9" t="n">
        <v>9280</v>
      </c>
      <c r="K17" s="9">
        <f>E17+F17+G17+H17+I17-J17</f>
        <v/>
      </c>
      <c r="L17" s="10">
        <f>Q16</f>
        <v/>
      </c>
      <c r="M17" s="10" t="n">
        <v>0</v>
      </c>
      <c r="N17" s="10" t="n">
        <v>11</v>
      </c>
      <c r="O17" s="10">
        <f>J17/160</f>
        <v/>
      </c>
      <c r="P17" s="10" t="n">
        <v>100</v>
      </c>
      <c r="Q17" s="10">
        <f>L17+M17+N17+O17-P17</f>
        <v/>
      </c>
      <c r="R17" s="11">
        <f>T16</f>
        <v/>
      </c>
      <c r="S17" s="11">
        <f>N(V17) + N(X17) + N(Z17)</f>
        <v/>
      </c>
      <c r="T17" s="11">
        <f>R17+P17-S17</f>
        <v/>
      </c>
      <c r="U17" s="11" t="inlineStr">
        <is>
          <t>是</t>
        </is>
      </c>
      <c r="V17" s="11" t="n">
        <v>51</v>
      </c>
      <c r="W17" s="11" t="inlineStr">
        <is>
          <t>是</t>
        </is>
      </c>
      <c r="X17" s="11" t="n">
        <v>51</v>
      </c>
      <c r="Y17" s="11" t="inlineStr">
        <is>
          <t>-</t>
        </is>
      </c>
      <c r="Z17" s="11" t="n">
        <v>0</v>
      </c>
      <c r="AA17" s="11" t="inlineStr">
        <is>
          <t>无</t>
        </is>
      </c>
      <c r="AB17" s="12">
        <f>AE16</f>
        <v/>
      </c>
      <c r="AC17" s="12" t="n">
        <v>0</v>
      </c>
      <c r="AD17" s="12" t="n">
        <v>0</v>
      </c>
      <c r="AE17" s="12">
        <f>AB17+AC17+AD17</f>
        <v/>
      </c>
      <c r="AF17" s="13">
        <f>AI16</f>
        <v/>
      </c>
      <c r="AG17" s="13" t="n">
        <v>0</v>
      </c>
      <c r="AH17" s="13" t="n">
        <v>0</v>
      </c>
      <c r="AI17" s="13">
        <f>AF17+AG17+AH17</f>
        <v/>
      </c>
      <c r="AJ17" s="14" t="n">
        <v>0</v>
      </c>
      <c r="AK17" s="14" t="n">
        <v>0</v>
      </c>
      <c r="AL17" s="14" t="n">
        <v>0</v>
      </c>
      <c r="AM17" s="14">
        <f>AJ17+AK17+AL17</f>
        <v/>
      </c>
      <c r="AN17" s="14">
        <f>AN16+AM17</f>
        <v/>
      </c>
    </row>
    <row r="18">
      <c r="A18" s="8" t="n">
        <v>1</v>
      </c>
      <c r="B18" s="8" t="n">
        <v>9</v>
      </c>
      <c r="C18" s="8" t="n">
        <v>1</v>
      </c>
      <c r="D18" s="8" t="inlineStr">
        <is>
          <t>版本免费+义相逢 + 月卡收益 [月卡续费-30元]</t>
        </is>
      </c>
      <c r="E18" s="9">
        <f>K17</f>
        <v/>
      </c>
      <c r="F18" s="9" t="n">
        <v>1540</v>
      </c>
      <c r="G18" s="9" t="n">
        <v>4800</v>
      </c>
      <c r="H18" s="9" t="n">
        <v>0</v>
      </c>
      <c r="I18" s="9" t="n">
        <v>0</v>
      </c>
      <c r="J18" s="9" t="n">
        <v>0</v>
      </c>
      <c r="K18" s="9">
        <f>E18+F18+G18+H18+I18-J18</f>
        <v/>
      </c>
      <c r="L18" s="10">
        <f>Q17</f>
        <v/>
      </c>
      <c r="M18" s="10" t="n">
        <v>85</v>
      </c>
      <c r="N18" s="10" t="n">
        <v>6</v>
      </c>
      <c r="O18" s="10">
        <f>J18/160</f>
        <v/>
      </c>
      <c r="P18" s="10" t="n">
        <v>70</v>
      </c>
      <c r="Q18" s="10">
        <f>L18+M18+N18+O18-P18</f>
        <v/>
      </c>
      <c r="R18" s="11">
        <f>T17</f>
        <v/>
      </c>
      <c r="S18" s="11">
        <f>N(V18) + N(X18) + N(Z18)</f>
        <v/>
      </c>
      <c r="T18" s="11">
        <f>R18+P18-S18</f>
        <v/>
      </c>
      <c r="U18" s="11" t="inlineStr">
        <is>
          <t>是</t>
        </is>
      </c>
      <c r="V18" s="11" t="n">
        <v>21</v>
      </c>
      <c r="W18" s="11" t="inlineStr">
        <is>
          <t>是</t>
        </is>
      </c>
      <c r="X18" s="11" t="n">
        <v>51</v>
      </c>
      <c r="Y18" s="11" t="inlineStr">
        <is>
          <t>-</t>
        </is>
      </c>
      <c r="Z18" s="11" t="n">
        <v>0</v>
      </c>
      <c r="AA18" s="11" t="inlineStr">
        <is>
          <t>无</t>
        </is>
      </c>
      <c r="AB18" s="12">
        <f>AE17</f>
        <v/>
      </c>
      <c r="AC18" s="12" t="n">
        <v>4</v>
      </c>
      <c r="AD18" s="12" t="n">
        <v>0</v>
      </c>
      <c r="AE18" s="12">
        <f>AB18+AC18+AD18</f>
        <v/>
      </c>
      <c r="AF18" s="13">
        <f>AI17</f>
        <v/>
      </c>
      <c r="AG18" s="13" t="n">
        <v>0</v>
      </c>
      <c r="AH18" s="13" t="n">
        <v>0</v>
      </c>
      <c r="AI18" s="13">
        <f>AF18+AG18+AH18</f>
        <v/>
      </c>
      <c r="AJ18" s="14" t="n">
        <v>30</v>
      </c>
      <c r="AK18" s="14" t="n">
        <v>50</v>
      </c>
      <c r="AL18" s="14" t="n">
        <v>0</v>
      </c>
      <c r="AM18" s="14">
        <f>AJ18+AK18+AL18</f>
        <v/>
      </c>
      <c r="AN18" s="14">
        <f>AN17+AM18</f>
        <v/>
      </c>
    </row>
    <row r="19">
      <c r="A19" s="8" t="n">
        <v>1</v>
      </c>
      <c r="B19" s="8" t="n">
        <v>9</v>
      </c>
      <c r="C19" s="8" t="n">
        <v>2</v>
      </c>
      <c r="D19" s="8" t="inlineStr">
        <is>
          <t>月卡收益</t>
        </is>
      </c>
      <c r="E19" s="9">
        <f>K18</f>
        <v/>
      </c>
      <c r="F19" s="9" t="n">
        <v>1540</v>
      </c>
      <c r="G19" s="9" t="n">
        <v>0</v>
      </c>
      <c r="H19" s="9" t="n">
        <v>0</v>
      </c>
      <c r="I19" s="9" t="n">
        <v>0</v>
      </c>
      <c r="J19" s="9" t="n">
        <v>10880</v>
      </c>
      <c r="K19" s="9">
        <f>E19+F19+G19+H19+I19-J19</f>
        <v/>
      </c>
      <c r="L19" s="10">
        <f>Q18</f>
        <v/>
      </c>
      <c r="M19" s="10" t="n">
        <v>0</v>
      </c>
      <c r="N19" s="10" t="n">
        <v>11</v>
      </c>
      <c r="O19" s="10">
        <f>J19/160</f>
        <v/>
      </c>
      <c r="P19" s="10" t="n">
        <v>100</v>
      </c>
      <c r="Q19" s="10">
        <f>L19+M19+N19+O19-P19</f>
        <v/>
      </c>
      <c r="R19" s="11">
        <f>T18</f>
        <v/>
      </c>
      <c r="S19" s="11">
        <f>N(V19) + N(X19) + N(Z19)</f>
        <v/>
      </c>
      <c r="T19" s="11">
        <f>R19+P19-S19</f>
        <v/>
      </c>
      <c r="U19" s="11" t="inlineStr">
        <is>
          <t>是</t>
        </is>
      </c>
      <c r="V19" s="11" t="n">
        <v>52</v>
      </c>
      <c r="W19" s="11" t="inlineStr">
        <is>
          <t>是</t>
        </is>
      </c>
      <c r="X19" s="11" t="n">
        <v>48</v>
      </c>
      <c r="Y19" s="11" t="inlineStr">
        <is>
          <t>-</t>
        </is>
      </c>
      <c r="Z19" s="11" t="n">
        <v>0</v>
      </c>
      <c r="AA19" s="11" t="inlineStr">
        <is>
          <t>无</t>
        </is>
      </c>
      <c r="AB19" s="12">
        <f>AE18</f>
        <v/>
      </c>
      <c r="AC19" s="12" t="n">
        <v>0</v>
      </c>
      <c r="AD19" s="12" t="n">
        <v>0</v>
      </c>
      <c r="AE19" s="12">
        <f>AB19+AC19+AD19</f>
        <v/>
      </c>
      <c r="AF19" s="13">
        <f>AI18</f>
        <v/>
      </c>
      <c r="AG19" s="13" t="n">
        <v>0</v>
      </c>
      <c r="AH19" s="13" t="n">
        <v>0</v>
      </c>
      <c r="AI19" s="13">
        <f>AF19+AG19+AH19</f>
        <v/>
      </c>
      <c r="AJ19" s="14" t="n">
        <v>0</v>
      </c>
      <c r="AK19" s="14" t="n">
        <v>0</v>
      </c>
      <c r="AL19" s="14" t="n">
        <v>0</v>
      </c>
      <c r="AM19" s="14">
        <f>AJ19+AK19+AL19</f>
        <v/>
      </c>
      <c r="AN19" s="14">
        <f>AN18+AM19</f>
        <v/>
      </c>
    </row>
    <row r="20">
      <c r="A20" s="8" t="n">
        <v>1</v>
      </c>
      <c r="B20" s="8" t="n">
        <v>10</v>
      </c>
      <c r="C20" s="8" t="n">
        <v>1</v>
      </c>
      <c r="D20" s="8" t="inlineStr">
        <is>
          <t>版本免费+义相逢 + 月卡收益 [月卡续费-30元]</t>
        </is>
      </c>
      <c r="E20" s="9">
        <f>K19</f>
        <v/>
      </c>
      <c r="F20" s="9" t="n">
        <v>1540</v>
      </c>
      <c r="G20" s="9" t="n">
        <v>4800</v>
      </c>
      <c r="H20" s="9" t="n">
        <v>0</v>
      </c>
      <c r="I20" s="9" t="n">
        <v>0</v>
      </c>
      <c r="J20" s="9" t="n">
        <v>0</v>
      </c>
      <c r="K20" s="9">
        <f>E20+F20+G20+H20+I20-J20</f>
        <v/>
      </c>
      <c r="L20" s="10">
        <f>Q19</f>
        <v/>
      </c>
      <c r="M20" s="10" t="n">
        <v>85</v>
      </c>
      <c r="N20" s="10" t="n">
        <v>6</v>
      </c>
      <c r="O20" s="10">
        <f>J20/160</f>
        <v/>
      </c>
      <c r="P20" s="10" t="n">
        <v>60</v>
      </c>
      <c r="Q20" s="10">
        <f>L20+M20+N20+O20-P20</f>
        <v/>
      </c>
      <c r="R20" s="11">
        <f>T19</f>
        <v/>
      </c>
      <c r="S20" s="11">
        <f>N(V20) + N(X20) + N(Z20)</f>
        <v/>
      </c>
      <c r="T20" s="11">
        <f>R20+P20-S20</f>
        <v/>
      </c>
      <c r="U20" s="11" t="inlineStr">
        <is>
          <t>是</t>
        </is>
      </c>
      <c r="V20" s="11" t="n">
        <v>48</v>
      </c>
      <c r="W20" s="11" t="inlineStr">
        <is>
          <t>否</t>
        </is>
      </c>
      <c r="X20" s="11" t="inlineStr">
        <is>
          <t>-</t>
        </is>
      </c>
      <c r="Y20" s="11" t="inlineStr">
        <is>
          <t>-</t>
        </is>
      </c>
      <c r="Z20" s="11" t="n">
        <v>0</v>
      </c>
      <c r="AA20" s="11" t="inlineStr">
        <is>
          <t>垫到60抽</t>
        </is>
      </c>
      <c r="AB20" s="12">
        <f>AE19</f>
        <v/>
      </c>
      <c r="AC20" s="12" t="n">
        <v>4</v>
      </c>
      <c r="AD20" s="12" t="n">
        <v>0</v>
      </c>
      <c r="AE20" s="12">
        <f>AB20+AC20+AD20</f>
        <v/>
      </c>
      <c r="AF20" s="13">
        <f>AI19</f>
        <v/>
      </c>
      <c r="AG20" s="13" t="n">
        <v>0</v>
      </c>
      <c r="AH20" s="13" t="n">
        <v>0</v>
      </c>
      <c r="AI20" s="13">
        <f>AF20+AG20+AH20</f>
        <v/>
      </c>
      <c r="AJ20" s="14" t="n">
        <v>30</v>
      </c>
      <c r="AK20" s="14" t="n">
        <v>50</v>
      </c>
      <c r="AL20" s="14" t="n">
        <v>0</v>
      </c>
      <c r="AM20" s="14">
        <f>AJ20+AK20+AL20</f>
        <v/>
      </c>
      <c r="AN20" s="14">
        <f>AN19+AM20</f>
        <v/>
      </c>
    </row>
    <row r="21">
      <c r="A21" s="8" t="n">
        <v>1</v>
      </c>
      <c r="B21" s="8" t="n">
        <v>10</v>
      </c>
      <c r="C21" s="8" t="n">
        <v>2</v>
      </c>
      <c r="D21" s="8" t="inlineStr">
        <is>
          <t>月卡收益</t>
        </is>
      </c>
      <c r="E21" s="9">
        <f>K20</f>
        <v/>
      </c>
      <c r="F21" s="9" t="n">
        <v>1540</v>
      </c>
      <c r="G21" s="9" t="n">
        <v>0</v>
      </c>
      <c r="H21" s="9" t="n">
        <v>0</v>
      </c>
      <c r="I21" s="9" t="n">
        <v>0</v>
      </c>
      <c r="J21" s="9" t="n">
        <v>960</v>
      </c>
      <c r="K21" s="9">
        <f>E21+F21+G21+H21+I21-J21</f>
        <v/>
      </c>
      <c r="L21" s="10">
        <f>Q20</f>
        <v/>
      </c>
      <c r="M21" s="10" t="n">
        <v>0</v>
      </c>
      <c r="N21" s="10" t="n">
        <v>3</v>
      </c>
      <c r="O21" s="10">
        <f>J21/160</f>
        <v/>
      </c>
      <c r="P21" s="10" t="n">
        <v>40</v>
      </c>
      <c r="Q21" s="10">
        <f>L21+M21+N21+O21-P21</f>
        <v/>
      </c>
      <c r="R21" s="11">
        <f>T20</f>
        <v/>
      </c>
      <c r="S21" s="11">
        <f>N(V21) + N(X21) + N(Z21)</f>
        <v/>
      </c>
      <c r="T21" s="11">
        <f>R21+P21-S21</f>
        <v/>
      </c>
      <c r="U21" s="11" t="inlineStr">
        <is>
          <t>是</t>
        </is>
      </c>
      <c r="V21" s="11" t="n">
        <v>52</v>
      </c>
      <c r="W21" s="11" t="inlineStr">
        <is>
          <t>否</t>
        </is>
      </c>
      <c r="X21" s="11" t="inlineStr">
        <is>
          <t>-</t>
        </is>
      </c>
      <c r="Y21" s="11" t="inlineStr">
        <is>
          <t>-</t>
        </is>
      </c>
      <c r="Z21" s="11" t="n">
        <v>0</v>
      </c>
      <c r="AA21" s="11" t="inlineStr">
        <is>
          <t>无</t>
        </is>
      </c>
      <c r="AB21" s="12">
        <f>AE20</f>
        <v/>
      </c>
      <c r="AC21" s="12" t="n">
        <v>0</v>
      </c>
      <c r="AD21" s="12" t="n">
        <v>0</v>
      </c>
      <c r="AE21" s="12">
        <f>AB21+AC21+AD21</f>
        <v/>
      </c>
      <c r="AF21" s="13">
        <f>AI20</f>
        <v/>
      </c>
      <c r="AG21" s="13" t="n">
        <v>0</v>
      </c>
      <c r="AH21" s="13" t="n">
        <v>0</v>
      </c>
      <c r="AI21" s="13">
        <f>AF21+AG21+AH21</f>
        <v/>
      </c>
      <c r="AJ21" s="14" t="n">
        <v>0</v>
      </c>
      <c r="AK21" s="14" t="n">
        <v>0</v>
      </c>
      <c r="AL21" s="14" t="n">
        <v>0</v>
      </c>
      <c r="AM21" s="14">
        <f>AJ21+AK21+AL21</f>
        <v/>
      </c>
      <c r="AN21" s="14">
        <f>AN20+AM21</f>
        <v/>
      </c>
    </row>
    <row r="22">
      <c r="A22" s="8" t="n">
        <v>1</v>
      </c>
      <c r="B22" s="8" t="n">
        <v>11</v>
      </c>
      <c r="C22" s="8" t="n">
        <v>1</v>
      </c>
      <c r="D22" s="8" t="inlineStr">
        <is>
          <t>版本免费+义相逢 + 月卡收益 [月卡续费-30元]</t>
        </is>
      </c>
      <c r="E22" s="9">
        <f>K21</f>
        <v/>
      </c>
      <c r="F22" s="9" t="n">
        <v>1540</v>
      </c>
      <c r="G22" s="9" t="n">
        <v>4800</v>
      </c>
      <c r="H22" s="9" t="n">
        <v>0</v>
      </c>
      <c r="I22" s="9" t="n">
        <v>0</v>
      </c>
      <c r="J22" s="9" t="n">
        <v>0</v>
      </c>
      <c r="K22" s="9">
        <f>E22+F22+G22+H22+I22-J22</f>
        <v/>
      </c>
      <c r="L22" s="10">
        <f>Q21</f>
        <v/>
      </c>
      <c r="M22" s="10" t="n">
        <v>85</v>
      </c>
      <c r="N22" s="10" t="n">
        <v>6</v>
      </c>
      <c r="O22" s="10">
        <f>J22/160</f>
        <v/>
      </c>
      <c r="P22" s="10" t="n">
        <v>60</v>
      </c>
      <c r="Q22" s="10">
        <f>L22+M22+N22+O22-P22</f>
        <v/>
      </c>
      <c r="R22" s="11">
        <f>T21</f>
        <v/>
      </c>
      <c r="S22" s="11">
        <f>N(V22) + N(X22) + N(Z22)</f>
        <v/>
      </c>
      <c r="T22" s="11">
        <f>R22+P22-S22</f>
        <v/>
      </c>
      <c r="U22" s="11" t="inlineStr">
        <is>
          <t>是</t>
        </is>
      </c>
      <c r="V22" s="11" t="n">
        <v>49</v>
      </c>
      <c r="W22" s="11" t="inlineStr">
        <is>
          <t>否</t>
        </is>
      </c>
      <c r="X22" s="11" t="inlineStr">
        <is>
          <t>-</t>
        </is>
      </c>
      <c r="Y22" s="11" t="inlineStr">
        <is>
          <t>-</t>
        </is>
      </c>
      <c r="Z22" s="11" t="n">
        <v>0</v>
      </c>
      <c r="AA22" s="11" t="inlineStr">
        <is>
          <t>垫到60抽</t>
        </is>
      </c>
      <c r="AB22" s="12">
        <f>AE21</f>
        <v/>
      </c>
      <c r="AC22" s="12" t="n">
        <v>4</v>
      </c>
      <c r="AD22" s="12" t="n">
        <v>0</v>
      </c>
      <c r="AE22" s="12">
        <f>AB22+AC22+AD22</f>
        <v/>
      </c>
      <c r="AF22" s="13">
        <f>AI21</f>
        <v/>
      </c>
      <c r="AG22" s="13" t="n">
        <v>0</v>
      </c>
      <c r="AH22" s="13" t="n">
        <v>0</v>
      </c>
      <c r="AI22" s="13">
        <f>AF22+AG22+AH22</f>
        <v/>
      </c>
      <c r="AJ22" s="14" t="n">
        <v>30</v>
      </c>
      <c r="AK22" s="14" t="n">
        <v>50</v>
      </c>
      <c r="AL22" s="14" t="n">
        <v>0</v>
      </c>
      <c r="AM22" s="14">
        <f>AJ22+AK22+AL22</f>
        <v/>
      </c>
      <c r="AN22" s="14">
        <f>AN21+AM22</f>
        <v/>
      </c>
    </row>
    <row r="23">
      <c r="A23" s="8" t="n">
        <v>1</v>
      </c>
      <c r="B23" s="8" t="n">
        <v>11</v>
      </c>
      <c r="C23" s="8" t="n">
        <v>2</v>
      </c>
      <c r="D23" s="8" t="inlineStr">
        <is>
          <t>月卡收益</t>
        </is>
      </c>
      <c r="E23" s="9">
        <f>K22</f>
        <v/>
      </c>
      <c r="F23" s="9" t="n">
        <v>1540</v>
      </c>
      <c r="G23" s="9" t="n">
        <v>0</v>
      </c>
      <c r="H23" s="9" t="n">
        <v>0</v>
      </c>
      <c r="I23" s="9" t="n">
        <v>0</v>
      </c>
      <c r="J23" s="9" t="n">
        <v>8480</v>
      </c>
      <c r="K23" s="9">
        <f>E23+F23+G23+H23+I23-J23</f>
        <v/>
      </c>
      <c r="L23" s="10">
        <f>Q22</f>
        <v/>
      </c>
      <c r="M23" s="10" t="n">
        <v>0</v>
      </c>
      <c r="N23" s="10" t="n">
        <v>11</v>
      </c>
      <c r="O23" s="10">
        <f>J23/160</f>
        <v/>
      </c>
      <c r="P23" s="10" t="n">
        <v>90</v>
      </c>
      <c r="Q23" s="10">
        <f>L23+M23+N23+O23-P23</f>
        <v/>
      </c>
      <c r="R23" s="11">
        <f>T22</f>
        <v/>
      </c>
      <c r="S23" s="11">
        <f>N(V23) + N(X23) + N(Z23)</f>
        <v/>
      </c>
      <c r="T23" s="11">
        <f>R23+P23-S23</f>
        <v/>
      </c>
      <c r="U23" s="11" t="inlineStr">
        <is>
          <t>是</t>
        </is>
      </c>
      <c r="V23" s="11" t="n">
        <v>50</v>
      </c>
      <c r="W23" s="11" t="inlineStr">
        <is>
          <t>是</t>
        </is>
      </c>
      <c r="X23" s="11" t="n">
        <v>52</v>
      </c>
      <c r="Y23" s="11" t="inlineStr">
        <is>
          <t>-</t>
        </is>
      </c>
      <c r="Z23" s="11" t="n">
        <v>0</v>
      </c>
      <c r="AA23" s="11" t="inlineStr">
        <is>
          <t>无</t>
        </is>
      </c>
      <c r="AB23" s="12">
        <f>AE22</f>
        <v/>
      </c>
      <c r="AC23" s="12" t="n">
        <v>0</v>
      </c>
      <c r="AD23" s="12" t="n">
        <v>0</v>
      </c>
      <c r="AE23" s="12">
        <f>AB23+AC23+AD23</f>
        <v/>
      </c>
      <c r="AF23" s="13">
        <f>AI22</f>
        <v/>
      </c>
      <c r="AG23" s="13" t="n">
        <v>0</v>
      </c>
      <c r="AH23" s="13" t="n">
        <v>0</v>
      </c>
      <c r="AI23" s="13">
        <f>AF23+AG23+AH23</f>
        <v/>
      </c>
      <c r="AJ23" s="14" t="n">
        <v>0</v>
      </c>
      <c r="AK23" s="14" t="n">
        <v>0</v>
      </c>
      <c r="AL23" s="14" t="n">
        <v>0</v>
      </c>
      <c r="AM23" s="14">
        <f>AJ23+AK23+AL23</f>
        <v/>
      </c>
      <c r="AN23" s="14">
        <f>AN22+AM23</f>
        <v/>
      </c>
    </row>
    <row r="24">
      <c r="A24" s="8" t="n">
        <v>1</v>
      </c>
      <c r="B24" s="8" t="n">
        <v>12</v>
      </c>
      <c r="C24" s="8" t="n">
        <v>1</v>
      </c>
      <c r="D24" s="8" t="inlineStr">
        <is>
          <t>版本免费+义相逢 + 月卡收益 [月卡续费-30元]</t>
        </is>
      </c>
      <c r="E24" s="9">
        <f>K23</f>
        <v/>
      </c>
      <c r="F24" s="9" t="n">
        <v>1540</v>
      </c>
      <c r="G24" s="9" t="n">
        <v>4800</v>
      </c>
      <c r="H24" s="9" t="n">
        <v>0</v>
      </c>
      <c r="I24" s="9" t="n">
        <v>0</v>
      </c>
      <c r="J24" s="9" t="n">
        <v>0</v>
      </c>
      <c r="K24" s="9">
        <f>E24+F24+G24+H24+I24-J24</f>
        <v/>
      </c>
      <c r="L24" s="10">
        <f>Q23</f>
        <v/>
      </c>
      <c r="M24" s="10" t="n">
        <v>85</v>
      </c>
      <c r="N24" s="10" t="n">
        <v>6</v>
      </c>
      <c r="O24" s="10">
        <f>J24/160</f>
        <v/>
      </c>
      <c r="P24" s="10" t="n">
        <v>60</v>
      </c>
      <c r="Q24" s="10">
        <f>L24+M24+N24+O24-P24</f>
        <v/>
      </c>
      <c r="R24" s="11">
        <f>T23</f>
        <v/>
      </c>
      <c r="S24" s="11">
        <f>N(V24) + N(X24) + N(Z24)</f>
        <v/>
      </c>
      <c r="T24" s="11">
        <f>R24+P24-S24</f>
        <v/>
      </c>
      <c r="U24" s="11" t="inlineStr">
        <is>
          <t>是</t>
        </is>
      </c>
      <c r="V24" s="11" t="n">
        <v>49</v>
      </c>
      <c r="W24" s="11" t="inlineStr">
        <is>
          <t>否</t>
        </is>
      </c>
      <c r="X24" s="11" t="inlineStr">
        <is>
          <t>-</t>
        </is>
      </c>
      <c r="Y24" s="11" t="inlineStr">
        <is>
          <t>-</t>
        </is>
      </c>
      <c r="Z24" s="11" t="n">
        <v>0</v>
      </c>
      <c r="AA24" s="11" t="inlineStr">
        <is>
          <t>垫到60抽</t>
        </is>
      </c>
      <c r="AB24" s="12">
        <f>AE23</f>
        <v/>
      </c>
      <c r="AC24" s="12" t="n">
        <v>4</v>
      </c>
      <c r="AD24" s="12" t="n">
        <v>0</v>
      </c>
      <c r="AE24" s="12">
        <f>AB24+AC24+AD24</f>
        <v/>
      </c>
      <c r="AF24" s="13">
        <f>AI23</f>
        <v/>
      </c>
      <c r="AG24" s="13" t="n">
        <v>0</v>
      </c>
      <c r="AH24" s="13" t="n">
        <v>0</v>
      </c>
      <c r="AI24" s="13">
        <f>AF24+AG24+AH24</f>
        <v/>
      </c>
      <c r="AJ24" s="14" t="n">
        <v>30</v>
      </c>
      <c r="AK24" s="14" t="n">
        <v>50</v>
      </c>
      <c r="AL24" s="14" t="n">
        <v>0</v>
      </c>
      <c r="AM24" s="14">
        <f>AJ24+AK24+AL24</f>
        <v/>
      </c>
      <c r="AN24" s="14">
        <f>AN23+AM24</f>
        <v/>
      </c>
    </row>
    <row r="25">
      <c r="A25" s="8" t="n">
        <v>1</v>
      </c>
      <c r="B25" s="8" t="n">
        <v>12</v>
      </c>
      <c r="C25" s="8" t="n">
        <v>2</v>
      </c>
      <c r="D25" s="8" t="inlineStr">
        <is>
          <t>月卡收益</t>
        </is>
      </c>
      <c r="E25" s="9">
        <f>K24</f>
        <v/>
      </c>
      <c r="F25" s="9" t="n">
        <v>1540</v>
      </c>
      <c r="G25" s="9" t="n">
        <v>0</v>
      </c>
      <c r="H25" s="9" t="n">
        <v>0</v>
      </c>
      <c r="I25" s="9" t="n">
        <v>0</v>
      </c>
      <c r="J25" s="9" t="n">
        <v>7680</v>
      </c>
      <c r="K25" s="9">
        <f>E25+F25+G25+H25+I25-J25</f>
        <v/>
      </c>
      <c r="L25" s="10">
        <f>Q24</f>
        <v/>
      </c>
      <c r="M25" s="10" t="n">
        <v>0</v>
      </c>
      <c r="N25" s="10" t="n">
        <v>11</v>
      </c>
      <c r="O25" s="10">
        <f>J25/160</f>
        <v/>
      </c>
      <c r="P25" s="10" t="n">
        <v>90</v>
      </c>
      <c r="Q25" s="10">
        <f>L25+M25+N25+O25-P25</f>
        <v/>
      </c>
      <c r="R25" s="11">
        <f>T24</f>
        <v/>
      </c>
      <c r="S25" s="11">
        <f>N(V25) + N(X25) + N(Z25)</f>
        <v/>
      </c>
      <c r="T25" s="11">
        <f>R25+P25-S25</f>
        <v/>
      </c>
      <c r="U25" s="11" t="inlineStr">
        <is>
          <t>是</t>
        </is>
      </c>
      <c r="V25" s="11" t="n">
        <v>48</v>
      </c>
      <c r="W25" s="11" t="inlineStr">
        <is>
          <t>是</t>
        </is>
      </c>
      <c r="X25" s="11" t="n">
        <v>53</v>
      </c>
      <c r="Y25" s="11" t="inlineStr">
        <is>
          <t>-</t>
        </is>
      </c>
      <c r="Z25" s="11" t="n">
        <v>0</v>
      </c>
      <c r="AA25" s="11" t="inlineStr">
        <is>
          <t>无</t>
        </is>
      </c>
      <c r="AB25" s="12">
        <f>AE24</f>
        <v/>
      </c>
      <c r="AC25" s="12" t="n">
        <v>0</v>
      </c>
      <c r="AD25" s="12" t="n">
        <v>0</v>
      </c>
      <c r="AE25" s="12">
        <f>AB25+AC25+AD25</f>
        <v/>
      </c>
      <c r="AF25" s="13">
        <f>AI24</f>
        <v/>
      </c>
      <c r="AG25" s="13" t="n">
        <v>0</v>
      </c>
      <c r="AH25" s="13" t="n">
        <v>0</v>
      </c>
      <c r="AI25" s="13">
        <f>AF25+AG25+AH25</f>
        <v/>
      </c>
      <c r="AJ25" s="14" t="n">
        <v>0</v>
      </c>
      <c r="AK25" s="14" t="n">
        <v>0</v>
      </c>
      <c r="AL25" s="14" t="n">
        <v>0</v>
      </c>
      <c r="AM25" s="14">
        <f>AJ25+AK25+AL25</f>
        <v/>
      </c>
      <c r="AN25" s="14">
        <f>AN24+AM25</f>
        <v/>
      </c>
    </row>
    <row r="26">
      <c r="A26" s="8" t="n">
        <v>1</v>
      </c>
      <c r="B26" s="8" t="n">
        <v>13</v>
      </c>
      <c r="C26" s="8" t="n">
        <v>1</v>
      </c>
      <c r="D26" s="8" t="inlineStr">
        <is>
          <t>版本免费+义相逢 + 月卡收益 [月卡续费-30元]</t>
        </is>
      </c>
      <c r="E26" s="9">
        <f>K25</f>
        <v/>
      </c>
      <c r="F26" s="9" t="n">
        <v>1540</v>
      </c>
      <c r="G26" s="9" t="n">
        <v>4800</v>
      </c>
      <c r="H26" s="9" t="n">
        <v>0</v>
      </c>
      <c r="I26" s="9" t="n">
        <v>0</v>
      </c>
      <c r="J26" s="9" t="n">
        <v>0</v>
      </c>
      <c r="K26" s="9">
        <f>E26+F26+G26+H26+I26-J26</f>
        <v/>
      </c>
      <c r="L26" s="10">
        <f>Q25</f>
        <v/>
      </c>
      <c r="M26" s="10" t="n">
        <v>85</v>
      </c>
      <c r="N26" s="10" t="n">
        <v>11</v>
      </c>
      <c r="O26" s="10">
        <f>J26/160</f>
        <v/>
      </c>
      <c r="P26" s="10" t="n">
        <v>100</v>
      </c>
      <c r="Q26" s="10">
        <f>L26+M26+N26+O26-P26</f>
        <v/>
      </c>
      <c r="R26" s="11">
        <f>T25</f>
        <v/>
      </c>
      <c r="S26" s="11">
        <f>N(V26) + N(X26) + N(Z26)</f>
        <v/>
      </c>
      <c r="T26" s="11">
        <f>R26+P26-S26</f>
        <v/>
      </c>
      <c r="U26" s="11" t="inlineStr">
        <is>
          <t>是</t>
        </is>
      </c>
      <c r="V26" s="11" t="n">
        <v>48</v>
      </c>
      <c r="W26" s="11" t="inlineStr">
        <is>
          <t>是</t>
        </is>
      </c>
      <c r="X26" s="11" t="n">
        <v>50</v>
      </c>
      <c r="Y26" s="11" t="inlineStr">
        <is>
          <t>-</t>
        </is>
      </c>
      <c r="Z26" s="11" t="n">
        <v>0</v>
      </c>
      <c r="AA26" s="11" t="inlineStr">
        <is>
          <t>无</t>
        </is>
      </c>
      <c r="AB26" s="12">
        <f>AE25</f>
        <v/>
      </c>
      <c r="AC26" s="12" t="n">
        <v>4</v>
      </c>
      <c r="AD26" s="12" t="n">
        <v>0</v>
      </c>
      <c r="AE26" s="12">
        <f>AB26+AC26+AD26</f>
        <v/>
      </c>
      <c r="AF26" s="13">
        <f>AI25</f>
        <v/>
      </c>
      <c r="AG26" s="13" t="n">
        <v>0</v>
      </c>
      <c r="AH26" s="13" t="n">
        <v>0</v>
      </c>
      <c r="AI26" s="13">
        <f>AF26+AG26+AH26</f>
        <v/>
      </c>
      <c r="AJ26" s="14" t="n">
        <v>30</v>
      </c>
      <c r="AK26" s="14" t="n">
        <v>50</v>
      </c>
      <c r="AL26" s="14" t="n">
        <v>0</v>
      </c>
      <c r="AM26" s="14">
        <f>AJ26+AK26+AL26</f>
        <v/>
      </c>
      <c r="AN26" s="14">
        <f>AN25+AM26</f>
        <v/>
      </c>
    </row>
    <row r="27">
      <c r="A27" s="8" t="n">
        <v>1</v>
      </c>
      <c r="B27" s="8" t="n">
        <v>13</v>
      </c>
      <c r="C27" s="8" t="n">
        <v>2</v>
      </c>
      <c r="D27" s="8" t="inlineStr">
        <is>
          <t>月卡收益</t>
        </is>
      </c>
      <c r="E27" s="9">
        <f>K26</f>
        <v/>
      </c>
      <c r="F27" s="9" t="n">
        <v>1540</v>
      </c>
      <c r="G27" s="9" t="n">
        <v>0</v>
      </c>
      <c r="H27" s="9" t="n">
        <v>0</v>
      </c>
      <c r="I27" s="9" t="n">
        <v>0</v>
      </c>
      <c r="J27" s="9" t="n">
        <v>8960</v>
      </c>
      <c r="K27" s="9">
        <f>E27+F27+G27+H27+I27-J27</f>
        <v/>
      </c>
      <c r="L27" s="10">
        <f>Q26</f>
        <v/>
      </c>
      <c r="M27" s="10" t="n">
        <v>0</v>
      </c>
      <c r="N27" s="10" t="n">
        <v>6</v>
      </c>
      <c r="O27" s="10">
        <f>J27/160</f>
        <v/>
      </c>
      <c r="P27" s="10" t="n">
        <v>60</v>
      </c>
      <c r="Q27" s="10">
        <f>L27+M27+N27+O27-P27</f>
        <v/>
      </c>
      <c r="R27" s="11">
        <f>T26</f>
        <v/>
      </c>
      <c r="S27" s="11">
        <f>N(V27) + N(X27) + N(Z27)</f>
        <v/>
      </c>
      <c r="T27" s="11">
        <f>R27+P27-S27</f>
        <v/>
      </c>
      <c r="U27" s="11" t="inlineStr">
        <is>
          <t>是</t>
        </is>
      </c>
      <c r="V27" s="11" t="n">
        <v>48</v>
      </c>
      <c r="W27" s="11" t="inlineStr">
        <is>
          <t>否</t>
        </is>
      </c>
      <c r="X27" s="11" t="inlineStr">
        <is>
          <t>-</t>
        </is>
      </c>
      <c r="Y27" s="11" t="inlineStr">
        <is>
          <t>-</t>
        </is>
      </c>
      <c r="Z27" s="11" t="n">
        <v>0</v>
      </c>
      <c r="AA27" s="11" t="inlineStr">
        <is>
          <t>垫到60抽</t>
        </is>
      </c>
      <c r="AB27" s="12">
        <f>AE26</f>
        <v/>
      </c>
      <c r="AC27" s="12" t="n">
        <v>0</v>
      </c>
      <c r="AD27" s="12" t="n">
        <v>0</v>
      </c>
      <c r="AE27" s="12">
        <f>AB27+AC27+AD27</f>
        <v/>
      </c>
      <c r="AF27" s="13">
        <f>AI26</f>
        <v/>
      </c>
      <c r="AG27" s="13" t="n">
        <v>0</v>
      </c>
      <c r="AH27" s="13" t="n">
        <v>0</v>
      </c>
      <c r="AI27" s="13">
        <f>AF27+AG27+AH27</f>
        <v/>
      </c>
      <c r="AJ27" s="14" t="n">
        <v>0</v>
      </c>
      <c r="AK27" s="14" t="n">
        <v>0</v>
      </c>
      <c r="AL27" s="14" t="n">
        <v>0</v>
      </c>
      <c r="AM27" s="14">
        <f>AJ27+AK27+AL27</f>
        <v/>
      </c>
      <c r="AN27" s="14">
        <f>AN26+AM27</f>
        <v/>
      </c>
    </row>
    <row r="28">
      <c r="A28" s="8" t="n">
        <v>2</v>
      </c>
      <c r="B28" s="8" t="n">
        <v>1</v>
      </c>
      <c r="C28" s="8" t="n">
        <v>1</v>
      </c>
      <c r="D28" s="8" t="inlineStr">
        <is>
          <t>版本免费+义相逢 + 月卡收益 [月卡续费-30元]</t>
        </is>
      </c>
      <c r="E28" s="9" t="n">
        <v>22280</v>
      </c>
      <c r="F28" s="9" t="n">
        <v>1540</v>
      </c>
      <c r="G28" s="9" t="n">
        <v>4800</v>
      </c>
      <c r="H28" s="9" t="n">
        <v>0</v>
      </c>
      <c r="I28" s="9" t="n">
        <v>0</v>
      </c>
      <c r="J28" s="9" t="n">
        <v>0</v>
      </c>
      <c r="K28" s="9">
        <f>E28+F28+G28+H28+I28-J28</f>
        <v/>
      </c>
      <c r="L28" s="10" t="n">
        <v>3</v>
      </c>
      <c r="M28" s="10" t="n">
        <v>85</v>
      </c>
      <c r="N28" s="10" t="n">
        <v>11</v>
      </c>
      <c r="O28" s="10">
        <f>J28/160</f>
        <v/>
      </c>
      <c r="P28" s="10" t="n">
        <v>90</v>
      </c>
      <c r="Q28" s="10">
        <f>L28+M28+N28+O28-P28</f>
        <v/>
      </c>
      <c r="R28" s="11" t="n">
        <v>18</v>
      </c>
      <c r="S28" s="11">
        <f>N(V28) + N(X28) + N(Z28)</f>
        <v/>
      </c>
      <c r="T28" s="11">
        <f>R28+P28-S28</f>
        <v/>
      </c>
      <c r="U28" s="11" t="inlineStr">
        <is>
          <t>是</t>
        </is>
      </c>
      <c r="V28" s="11" t="n">
        <v>49</v>
      </c>
      <c r="W28" s="11" t="inlineStr">
        <is>
          <t>是</t>
        </is>
      </c>
      <c r="X28" s="11" t="n">
        <v>52</v>
      </c>
      <c r="Y28" s="11" t="inlineStr">
        <is>
          <t>-</t>
        </is>
      </c>
      <c r="Z28" s="11" t="n">
        <v>0</v>
      </c>
      <c r="AA28" s="11" t="inlineStr">
        <is>
          <t>无</t>
        </is>
      </c>
      <c r="AB28" s="12" t="n">
        <v>54</v>
      </c>
      <c r="AC28" s="12" t="n">
        <v>4</v>
      </c>
      <c r="AD28" s="12" t="n">
        <v>0</v>
      </c>
      <c r="AE28" s="12">
        <f>AB28+AC28+AD28</f>
        <v/>
      </c>
      <c r="AF28" s="13" t="n">
        <v>10000</v>
      </c>
      <c r="AG28" s="13" t="n">
        <v>0</v>
      </c>
      <c r="AH28" s="13" t="n">
        <v>0</v>
      </c>
      <c r="AI28" s="13">
        <f>AF28+AG28+AH28</f>
        <v/>
      </c>
      <c r="AJ28" s="14" t="n">
        <v>30</v>
      </c>
      <c r="AK28" s="14" t="n">
        <v>50</v>
      </c>
      <c r="AL28" s="14" t="n">
        <v>0</v>
      </c>
      <c r="AM28" s="14">
        <f>AJ28+AK28+AL28</f>
        <v/>
      </c>
      <c r="AN28" s="14">
        <f>AM28</f>
        <v/>
      </c>
    </row>
    <row r="29">
      <c r="A29" s="8" t="n">
        <v>2</v>
      </c>
      <c r="B29" s="8" t="n">
        <v>1</v>
      </c>
      <c r="C29" s="8" t="n">
        <v>2</v>
      </c>
      <c r="D29" s="8" t="inlineStr">
        <is>
          <t>月卡收益</t>
        </is>
      </c>
      <c r="E29" s="9">
        <f>K28</f>
        <v/>
      </c>
      <c r="F29" s="9" t="n">
        <v>1540</v>
      </c>
      <c r="G29" s="9" t="n">
        <v>0</v>
      </c>
      <c r="H29" s="9" t="n">
        <v>0</v>
      </c>
      <c r="I29" s="9" t="n">
        <v>0</v>
      </c>
      <c r="J29" s="9" t="n">
        <v>12800</v>
      </c>
      <c r="K29" s="9">
        <f>E29+F29+G29+H29+I29-J29</f>
        <v/>
      </c>
      <c r="L29" s="10">
        <f>Q28</f>
        <v/>
      </c>
      <c r="M29" s="10" t="n">
        <v>0</v>
      </c>
      <c r="N29" s="10" t="n">
        <v>11</v>
      </c>
      <c r="O29" s="10">
        <f>J29/160</f>
        <v/>
      </c>
      <c r="P29" s="10" t="n">
        <v>100</v>
      </c>
      <c r="Q29" s="10">
        <f>L29+M29+N29+O29-P29</f>
        <v/>
      </c>
      <c r="R29" s="11">
        <f>T28</f>
        <v/>
      </c>
      <c r="S29" s="11">
        <f>N(V29) + N(X29) + N(Z29)</f>
        <v/>
      </c>
      <c r="T29" s="11">
        <f>R29+P29-S29</f>
        <v/>
      </c>
      <c r="U29" s="11" t="inlineStr">
        <is>
          <t>是</t>
        </is>
      </c>
      <c r="V29" s="11" t="n">
        <v>48</v>
      </c>
      <c r="W29" s="11" t="inlineStr">
        <is>
          <t>是</t>
        </is>
      </c>
      <c r="X29" s="11" t="n">
        <v>50</v>
      </c>
      <c r="Y29" s="11" t="inlineStr">
        <is>
          <t>-</t>
        </is>
      </c>
      <c r="Z29" s="11" t="n">
        <v>0</v>
      </c>
      <c r="AA29" s="11" t="inlineStr">
        <is>
          <t>无</t>
        </is>
      </c>
      <c r="AB29" s="12">
        <f>AE28</f>
        <v/>
      </c>
      <c r="AC29" s="12" t="n">
        <v>0</v>
      </c>
      <c r="AD29" s="12" t="n">
        <v>0</v>
      </c>
      <c r="AE29" s="12">
        <f>AB29+AC29+AD29</f>
        <v/>
      </c>
      <c r="AF29" s="13">
        <f>AI28</f>
        <v/>
      </c>
      <c r="AG29" s="13" t="n">
        <v>0</v>
      </c>
      <c r="AH29" s="13" t="n">
        <v>0</v>
      </c>
      <c r="AI29" s="13">
        <f>AF29+AG29+AH29</f>
        <v/>
      </c>
      <c r="AJ29" s="14" t="n">
        <v>0</v>
      </c>
      <c r="AK29" s="14" t="n">
        <v>0</v>
      </c>
      <c r="AL29" s="14" t="n">
        <v>0</v>
      </c>
      <c r="AM29" s="14">
        <f>AJ29+AK29+AL29</f>
        <v/>
      </c>
      <c r="AN29" s="14">
        <f>AN28+AM29</f>
        <v/>
      </c>
    </row>
    <row r="30">
      <c r="A30" s="8" t="n">
        <v>2</v>
      </c>
      <c r="B30" s="8" t="n">
        <v>2</v>
      </c>
      <c r="C30" s="8" t="n">
        <v>1</v>
      </c>
      <c r="D30" s="8" t="inlineStr">
        <is>
          <t>版本免费+义相逢 + 月卡收益 [月卡续费-30元]</t>
        </is>
      </c>
      <c r="E30" s="9">
        <f>K29</f>
        <v/>
      </c>
      <c r="F30" s="9" t="n">
        <v>1540</v>
      </c>
      <c r="G30" s="9" t="n">
        <v>4800</v>
      </c>
      <c r="H30" s="9" t="n">
        <v>0</v>
      </c>
      <c r="I30" s="9" t="n">
        <v>0</v>
      </c>
      <c r="J30" s="9" t="n">
        <v>640</v>
      </c>
      <c r="K30" s="9">
        <f>E30+F30+G30+H30+I30-J30</f>
        <v/>
      </c>
      <c r="L30" s="10">
        <f>Q29</f>
        <v/>
      </c>
      <c r="M30" s="10" t="n">
        <v>85</v>
      </c>
      <c r="N30" s="10" t="n">
        <v>11</v>
      </c>
      <c r="O30" s="10">
        <f>J30/160</f>
        <v/>
      </c>
      <c r="P30" s="10" t="n">
        <v>100</v>
      </c>
      <c r="Q30" s="10">
        <f>L30+M30+N30+O30-P30</f>
        <v/>
      </c>
      <c r="R30" s="11">
        <f>T29</f>
        <v/>
      </c>
      <c r="S30" s="11">
        <f>N(V30) + N(X30) + N(Z30)</f>
        <v/>
      </c>
      <c r="T30" s="11">
        <f>R30+P30-S30</f>
        <v/>
      </c>
      <c r="U30" s="11" t="inlineStr">
        <is>
          <t>是</t>
        </is>
      </c>
      <c r="V30" s="11" t="n">
        <v>50</v>
      </c>
      <c r="W30" s="11" t="inlineStr">
        <is>
          <t>是</t>
        </is>
      </c>
      <c r="X30" s="11" t="n">
        <v>53</v>
      </c>
      <c r="Y30" s="11" t="inlineStr">
        <is>
          <t>-</t>
        </is>
      </c>
      <c r="Z30" s="11" t="n">
        <v>0</v>
      </c>
      <c r="AA30" s="11" t="inlineStr">
        <is>
          <t>无</t>
        </is>
      </c>
      <c r="AB30" s="12">
        <f>AE29</f>
        <v/>
      </c>
      <c r="AC30" s="12" t="n">
        <v>4</v>
      </c>
      <c r="AD30" s="12" t="n">
        <v>0</v>
      </c>
      <c r="AE30" s="12">
        <f>AB30+AC30+AD30</f>
        <v/>
      </c>
      <c r="AF30" s="13">
        <f>AI29</f>
        <v/>
      </c>
      <c r="AG30" s="13" t="n">
        <v>0</v>
      </c>
      <c r="AH30" s="13" t="n">
        <v>0</v>
      </c>
      <c r="AI30" s="13">
        <f>AF30+AG30+AH30</f>
        <v/>
      </c>
      <c r="AJ30" s="14" t="n">
        <v>30</v>
      </c>
      <c r="AK30" s="14" t="n">
        <v>50</v>
      </c>
      <c r="AL30" s="14" t="n">
        <v>0</v>
      </c>
      <c r="AM30" s="14">
        <f>AJ30+AK30+AL30</f>
        <v/>
      </c>
      <c r="AN30" s="14">
        <f>AN29+AM30</f>
        <v/>
      </c>
    </row>
    <row r="31">
      <c r="A31" s="8" t="n">
        <v>2</v>
      </c>
      <c r="B31" s="8" t="n">
        <v>2</v>
      </c>
      <c r="C31" s="8" t="n">
        <v>2</v>
      </c>
      <c r="D31" s="8" t="inlineStr">
        <is>
          <t>月卡收益</t>
        </is>
      </c>
      <c r="E31" s="9">
        <f>K30</f>
        <v/>
      </c>
      <c r="F31" s="9" t="n">
        <v>1540</v>
      </c>
      <c r="G31" s="9" t="n">
        <v>0</v>
      </c>
      <c r="H31" s="9" t="n">
        <v>0</v>
      </c>
      <c r="I31" s="9" t="n">
        <v>0</v>
      </c>
      <c r="J31" s="9" t="n">
        <v>14240</v>
      </c>
      <c r="K31" s="9">
        <f>E31+F31+G31+H31+I31-J31</f>
        <v/>
      </c>
      <c r="L31" s="10">
        <f>Q30</f>
        <v/>
      </c>
      <c r="M31" s="10" t="n">
        <v>0</v>
      </c>
      <c r="N31" s="10" t="n">
        <v>11</v>
      </c>
      <c r="O31" s="10">
        <f>J31/160</f>
        <v/>
      </c>
      <c r="P31" s="10" t="n">
        <v>100</v>
      </c>
      <c r="Q31" s="10">
        <f>L31+M31+N31+O31-P31</f>
        <v/>
      </c>
      <c r="R31" s="11">
        <f>T30</f>
        <v/>
      </c>
      <c r="S31" s="11">
        <f>N(V31) + N(X31) + N(Z31)</f>
        <v/>
      </c>
      <c r="T31" s="11">
        <f>R31+P31-S31</f>
        <v/>
      </c>
      <c r="U31" s="11" t="inlineStr">
        <is>
          <t>是</t>
        </is>
      </c>
      <c r="V31" s="11" t="n">
        <v>51</v>
      </c>
      <c r="W31" s="11" t="inlineStr">
        <is>
          <t>是</t>
        </is>
      </c>
      <c r="X31" s="11" t="n">
        <v>55</v>
      </c>
      <c r="Y31" s="11" t="inlineStr">
        <is>
          <t>-</t>
        </is>
      </c>
      <c r="Z31" s="11" t="n">
        <v>0</v>
      </c>
      <c r="AA31" s="11" t="inlineStr">
        <is>
          <t>无</t>
        </is>
      </c>
      <c r="AB31" s="12">
        <f>AE30</f>
        <v/>
      </c>
      <c r="AC31" s="12" t="n">
        <v>0</v>
      </c>
      <c r="AD31" s="12" t="n">
        <v>0</v>
      </c>
      <c r="AE31" s="12">
        <f>AB31+AC31+AD31</f>
        <v/>
      </c>
      <c r="AF31" s="13">
        <f>AI30</f>
        <v/>
      </c>
      <c r="AG31" s="13" t="n">
        <v>0</v>
      </c>
      <c r="AH31" s="13" t="n">
        <v>0</v>
      </c>
      <c r="AI31" s="13">
        <f>AF31+AG31+AH31</f>
        <v/>
      </c>
      <c r="AJ31" s="14" t="n">
        <v>0</v>
      </c>
      <c r="AK31" s="14" t="n">
        <v>0</v>
      </c>
      <c r="AL31" s="14" t="n">
        <v>0</v>
      </c>
      <c r="AM31" s="14">
        <f>AJ31+AK31+AL31</f>
        <v/>
      </c>
      <c r="AN31" s="14">
        <f>AN30+AM31</f>
        <v/>
      </c>
    </row>
    <row r="32">
      <c r="A32" s="8" t="n">
        <v>2</v>
      </c>
      <c r="B32" s="8" t="n">
        <v>3</v>
      </c>
      <c r="C32" s="8" t="n">
        <v>1</v>
      </c>
      <c r="D32" s="8" t="inlineStr">
        <is>
          <t>版本免费+义相逢 + 月卡收益</t>
        </is>
      </c>
      <c r="E32" s="9">
        <f>K31</f>
        <v/>
      </c>
      <c r="F32" s="9" t="n">
        <v>1540</v>
      </c>
      <c r="G32" s="9" t="n">
        <v>4800</v>
      </c>
      <c r="H32" s="9" t="n">
        <v>0</v>
      </c>
      <c r="I32" s="9" t="n">
        <v>0</v>
      </c>
      <c r="J32" s="9" t="n">
        <v>640</v>
      </c>
      <c r="K32" s="9">
        <f>E32+F32+G32+H32+I32-J32</f>
        <v/>
      </c>
      <c r="L32" s="10">
        <f>Q31</f>
        <v/>
      </c>
      <c r="M32" s="10" t="n">
        <v>85</v>
      </c>
      <c r="N32" s="10" t="n">
        <v>11</v>
      </c>
      <c r="O32" s="10">
        <f>J32/160</f>
        <v/>
      </c>
      <c r="P32" s="10" t="n">
        <v>100</v>
      </c>
      <c r="Q32" s="10">
        <f>L32+M32+N32+O32-P32</f>
        <v/>
      </c>
      <c r="R32" s="11">
        <f>T31</f>
        <v/>
      </c>
      <c r="S32" s="11">
        <f>N(V32) + N(X32) + N(Z32)</f>
        <v/>
      </c>
      <c r="T32" s="11">
        <f>R32+P32-S32</f>
        <v/>
      </c>
      <c r="U32" s="11" t="inlineStr">
        <is>
          <t>是</t>
        </is>
      </c>
      <c r="V32" s="11" t="n">
        <v>49</v>
      </c>
      <c r="W32" s="11" t="inlineStr">
        <is>
          <t>是</t>
        </is>
      </c>
      <c r="X32" s="11" t="n">
        <v>47</v>
      </c>
      <c r="Y32" s="11" t="inlineStr">
        <is>
          <t>-</t>
        </is>
      </c>
      <c r="Z32" s="11" t="n">
        <v>0</v>
      </c>
      <c r="AA32" s="11" t="inlineStr">
        <is>
          <t>无</t>
        </is>
      </c>
      <c r="AB32" s="12">
        <f>AE31</f>
        <v/>
      </c>
      <c r="AC32" s="12" t="n">
        <v>4</v>
      </c>
      <c r="AD32" s="12" t="n">
        <v>0</v>
      </c>
      <c r="AE32" s="12">
        <f>AB32+AC32+AD32</f>
        <v/>
      </c>
      <c r="AF32" s="13">
        <f>AI31</f>
        <v/>
      </c>
      <c r="AG32" s="13" t="n">
        <v>0</v>
      </c>
      <c r="AH32" s="13" t="n">
        <v>0</v>
      </c>
      <c r="AI32" s="13">
        <f>AF32+AG32+AH32</f>
        <v/>
      </c>
      <c r="AJ32" s="14" t="n">
        <v>0</v>
      </c>
      <c r="AK32" s="14" t="n">
        <v>50</v>
      </c>
      <c r="AL32" s="14" t="n">
        <v>0</v>
      </c>
      <c r="AM32" s="14">
        <f>AJ32+AK32+AL32</f>
        <v/>
      </c>
      <c r="AN32" s="14">
        <f>AN31+AM32</f>
        <v/>
      </c>
    </row>
    <row r="33">
      <c r="A33" s="8" t="n">
        <v>2</v>
      </c>
      <c r="B33" s="8" t="n">
        <v>3</v>
      </c>
      <c r="C33" s="8" t="n">
        <v>2</v>
      </c>
      <c r="D33" s="8" t="inlineStr">
        <is>
          <t>月卡收益 [月卡续费-30元]</t>
        </is>
      </c>
      <c r="E33" s="9">
        <f>K32</f>
        <v/>
      </c>
      <c r="F33" s="9" t="n">
        <v>1540</v>
      </c>
      <c r="G33" s="9" t="n">
        <v>0</v>
      </c>
      <c r="H33" s="9" t="n">
        <v>0</v>
      </c>
      <c r="I33" s="9" t="n">
        <v>0</v>
      </c>
      <c r="J33" s="9" t="n">
        <v>14240</v>
      </c>
      <c r="K33" s="9">
        <f>E33+F33+G33+H33+I33-J33</f>
        <v/>
      </c>
      <c r="L33" s="10">
        <f>Q32</f>
        <v/>
      </c>
      <c r="M33" s="10" t="n">
        <v>0</v>
      </c>
      <c r="N33" s="10" t="n">
        <v>11</v>
      </c>
      <c r="O33" s="10">
        <f>J33/160</f>
        <v/>
      </c>
      <c r="P33" s="10" t="n">
        <v>100</v>
      </c>
      <c r="Q33" s="10">
        <f>L33+M33+N33+O33-P33</f>
        <v/>
      </c>
      <c r="R33" s="11">
        <f>T32</f>
        <v/>
      </c>
      <c r="S33" s="11">
        <f>N(V33) + N(X33) + N(Z33)</f>
        <v/>
      </c>
      <c r="T33" s="11">
        <f>R33+P33-S33</f>
        <v/>
      </c>
      <c r="U33" s="11" t="inlineStr">
        <is>
          <t>是</t>
        </is>
      </c>
      <c r="V33" s="11" t="n">
        <v>53</v>
      </c>
      <c r="W33" s="11" t="inlineStr">
        <is>
          <t>是</t>
        </is>
      </c>
      <c r="X33" s="11" t="n">
        <v>49</v>
      </c>
      <c r="Y33" s="11" t="inlineStr">
        <is>
          <t>-</t>
        </is>
      </c>
      <c r="Z33" s="11" t="n">
        <v>0</v>
      </c>
      <c r="AA33" s="11" t="inlineStr">
        <is>
          <t>无</t>
        </is>
      </c>
      <c r="AB33" s="12">
        <f>AE32</f>
        <v/>
      </c>
      <c r="AC33" s="12" t="n">
        <v>0</v>
      </c>
      <c r="AD33" s="12" t="n">
        <v>0</v>
      </c>
      <c r="AE33" s="12">
        <f>AB33+AC33+AD33</f>
        <v/>
      </c>
      <c r="AF33" s="13">
        <f>AI32</f>
        <v/>
      </c>
      <c r="AG33" s="13" t="n">
        <v>0</v>
      </c>
      <c r="AH33" s="13" t="n">
        <v>0</v>
      </c>
      <c r="AI33" s="13">
        <f>AF33+AG33+AH33</f>
        <v/>
      </c>
      <c r="AJ33" s="14" t="n">
        <v>30</v>
      </c>
      <c r="AK33" s="14" t="n">
        <v>0</v>
      </c>
      <c r="AL33" s="14" t="n">
        <v>0</v>
      </c>
      <c r="AM33" s="14">
        <f>AJ33+AK33+AL33</f>
        <v/>
      </c>
      <c r="AN33" s="14">
        <f>AN32+AM33</f>
        <v/>
      </c>
    </row>
    <row r="34">
      <c r="A34" s="8" t="n">
        <v>2</v>
      </c>
      <c r="B34" s="8" t="n">
        <v>4</v>
      </c>
      <c r="C34" s="8" t="n">
        <v>1</v>
      </c>
      <c r="D34" s="8" t="inlineStr">
        <is>
          <t>版本免费+义相逢 + 月卡收益</t>
        </is>
      </c>
      <c r="E34" s="9">
        <f>K33</f>
        <v/>
      </c>
      <c r="F34" s="9" t="n">
        <v>1540</v>
      </c>
      <c r="G34" s="9" t="n">
        <v>4800</v>
      </c>
      <c r="H34" s="9" t="n">
        <v>0</v>
      </c>
      <c r="I34" s="9" t="n">
        <v>0</v>
      </c>
      <c r="J34" s="9" t="n">
        <v>0</v>
      </c>
      <c r="K34" s="9">
        <f>E34+F34+G34+H34+I34-J34</f>
        <v/>
      </c>
      <c r="L34" s="10">
        <f>Q33</f>
        <v/>
      </c>
      <c r="M34" s="10" t="n">
        <v>85</v>
      </c>
      <c r="N34" s="10" t="n">
        <v>6</v>
      </c>
      <c r="O34" s="10">
        <f>J34/160</f>
        <v/>
      </c>
      <c r="P34" s="10" t="n">
        <v>60</v>
      </c>
      <c r="Q34" s="10">
        <f>L34+M34+N34+O34-P34</f>
        <v/>
      </c>
      <c r="R34" s="11">
        <f>T33</f>
        <v/>
      </c>
      <c r="S34" s="11">
        <f>N(V34) + N(X34) + N(Z34)</f>
        <v/>
      </c>
      <c r="T34" s="11">
        <f>R34+P34-S34</f>
        <v/>
      </c>
      <c r="U34" s="11" t="inlineStr">
        <is>
          <t>是</t>
        </is>
      </c>
      <c r="V34" s="11" t="n">
        <v>49</v>
      </c>
      <c r="W34" s="11" t="inlineStr">
        <is>
          <t>否</t>
        </is>
      </c>
      <c r="X34" s="11" t="inlineStr">
        <is>
          <t>-</t>
        </is>
      </c>
      <c r="Y34" s="11" t="inlineStr">
        <is>
          <t>-</t>
        </is>
      </c>
      <c r="Z34" s="11" t="n">
        <v>0</v>
      </c>
      <c r="AA34" s="11" t="inlineStr">
        <is>
          <t>垫到60抽</t>
        </is>
      </c>
      <c r="AB34" s="12">
        <f>AE33</f>
        <v/>
      </c>
      <c r="AC34" s="12" t="n">
        <v>4</v>
      </c>
      <c r="AD34" s="12" t="n">
        <v>0</v>
      </c>
      <c r="AE34" s="12">
        <f>AB34+AC34+AD34</f>
        <v/>
      </c>
      <c r="AF34" s="13">
        <f>AI33</f>
        <v/>
      </c>
      <c r="AG34" s="13" t="n">
        <v>0</v>
      </c>
      <c r="AH34" s="13" t="n">
        <v>0</v>
      </c>
      <c r="AI34" s="13">
        <f>AF34+AG34+AH34</f>
        <v/>
      </c>
      <c r="AJ34" s="14" t="n">
        <v>0</v>
      </c>
      <c r="AK34" s="14" t="n">
        <v>50</v>
      </c>
      <c r="AL34" s="14" t="n">
        <v>0</v>
      </c>
      <c r="AM34" s="14">
        <f>AJ34+AK34+AL34</f>
        <v/>
      </c>
      <c r="AN34" s="14">
        <f>AN33+AM34</f>
        <v/>
      </c>
    </row>
    <row r="35">
      <c r="A35" s="8" t="n">
        <v>2</v>
      </c>
      <c r="B35" s="8" t="n">
        <v>4</v>
      </c>
      <c r="C35" s="8" t="n">
        <v>2</v>
      </c>
      <c r="D35" s="8" t="inlineStr">
        <is>
          <t>月卡收益 [月卡续费-30元]</t>
        </is>
      </c>
      <c r="E35" s="9">
        <f>K34</f>
        <v/>
      </c>
      <c r="F35" s="9" t="n">
        <v>1540</v>
      </c>
      <c r="G35" s="9" t="n">
        <v>0</v>
      </c>
      <c r="H35" s="9" t="n">
        <v>0</v>
      </c>
      <c r="I35" s="9" t="n">
        <v>0</v>
      </c>
      <c r="J35" s="9" t="n">
        <v>0</v>
      </c>
      <c r="K35" s="9">
        <f>E35+F35+G35+H35+I35-J35</f>
        <v/>
      </c>
      <c r="L35" s="10">
        <f>Q34</f>
        <v/>
      </c>
      <c r="M35" s="10" t="n">
        <v>0</v>
      </c>
      <c r="N35" s="10" t="n">
        <v>1</v>
      </c>
      <c r="O35" s="10">
        <f>J35/160</f>
        <v/>
      </c>
      <c r="P35" s="10" t="n">
        <v>20</v>
      </c>
      <c r="Q35" s="10">
        <f>L35+M35+N35+O35-P35</f>
        <v/>
      </c>
      <c r="R35" s="11">
        <f>T34</f>
        <v/>
      </c>
      <c r="S35" s="11">
        <f>N(V35) + N(X35) + N(Z35)</f>
        <v/>
      </c>
      <c r="T35" s="11">
        <f>R35+P35-S35</f>
        <v/>
      </c>
      <c r="U35" s="11" t="inlineStr">
        <is>
          <t>是</t>
        </is>
      </c>
      <c r="V35" s="11" t="n">
        <v>29</v>
      </c>
      <c r="W35" s="11" t="inlineStr">
        <is>
          <t>否</t>
        </is>
      </c>
      <c r="X35" s="11" t="inlineStr">
        <is>
          <t>-</t>
        </is>
      </c>
      <c r="Y35" s="11" t="inlineStr">
        <is>
          <t>-</t>
        </is>
      </c>
      <c r="Z35" s="11" t="n">
        <v>0</v>
      </c>
      <c r="AA35" s="11" t="inlineStr">
        <is>
          <t>无</t>
        </is>
      </c>
      <c r="AB35" s="12">
        <f>AE34</f>
        <v/>
      </c>
      <c r="AC35" s="12" t="n">
        <v>0</v>
      </c>
      <c r="AD35" s="12" t="n">
        <v>0</v>
      </c>
      <c r="AE35" s="12">
        <f>AB35+AC35+AD35</f>
        <v/>
      </c>
      <c r="AF35" s="13">
        <f>AI34</f>
        <v/>
      </c>
      <c r="AG35" s="13" t="n">
        <v>0</v>
      </c>
      <c r="AH35" s="13" t="n">
        <v>0</v>
      </c>
      <c r="AI35" s="13">
        <f>AF35+AG35+AH35</f>
        <v/>
      </c>
      <c r="AJ35" s="14" t="n">
        <v>30</v>
      </c>
      <c r="AK35" s="14" t="n">
        <v>0</v>
      </c>
      <c r="AL35" s="14" t="n">
        <v>0</v>
      </c>
      <c r="AM35" s="14">
        <f>AJ35+AK35+AL35</f>
        <v/>
      </c>
      <c r="AN35" s="14">
        <f>AN34+AM35</f>
        <v/>
      </c>
    </row>
    <row r="36">
      <c r="A36" s="8" t="n">
        <v>2</v>
      </c>
      <c r="B36" s="8" t="n">
        <v>5</v>
      </c>
      <c r="C36" s="8" t="n">
        <v>1</v>
      </c>
      <c r="D36" s="8" t="inlineStr">
        <is>
          <t>版本免费+义相逢 + 月卡收益</t>
        </is>
      </c>
      <c r="E36" s="9">
        <f>K35</f>
        <v/>
      </c>
      <c r="F36" s="9" t="n">
        <v>1540</v>
      </c>
      <c r="G36" s="9" t="n">
        <v>4800</v>
      </c>
      <c r="H36" s="9" t="n">
        <v>0</v>
      </c>
      <c r="I36" s="9" t="n">
        <v>0</v>
      </c>
      <c r="J36" s="9" t="n">
        <v>0</v>
      </c>
      <c r="K36" s="9">
        <f>E36+F36+G36+H36+I36-J36</f>
        <v/>
      </c>
      <c r="L36" s="10">
        <f>Q35</f>
        <v/>
      </c>
      <c r="M36" s="10" t="n">
        <v>85</v>
      </c>
      <c r="N36" s="10" t="n">
        <v>11</v>
      </c>
      <c r="O36" s="10">
        <f>J36/160</f>
        <v/>
      </c>
      <c r="P36" s="10" t="n">
        <v>100</v>
      </c>
      <c r="Q36" s="10">
        <f>L36+M36+N36+O36-P36</f>
        <v/>
      </c>
      <c r="R36" s="11">
        <f>T35</f>
        <v/>
      </c>
      <c r="S36" s="11">
        <f>N(V36) + N(X36) + N(Z36)</f>
        <v/>
      </c>
      <c r="T36" s="11">
        <f>R36+P36-S36</f>
        <v/>
      </c>
      <c r="U36" s="11" t="inlineStr">
        <is>
          <t>是</t>
        </is>
      </c>
      <c r="V36" s="11" t="n">
        <v>48</v>
      </c>
      <c r="W36" s="11" t="inlineStr">
        <is>
          <t>是</t>
        </is>
      </c>
      <c r="X36" s="11" t="n">
        <v>51</v>
      </c>
      <c r="Y36" s="11" t="inlineStr">
        <is>
          <t>-</t>
        </is>
      </c>
      <c r="Z36" s="11" t="n">
        <v>0</v>
      </c>
      <c r="AA36" s="11" t="inlineStr">
        <is>
          <t>无</t>
        </is>
      </c>
      <c r="AB36" s="12">
        <f>AE35</f>
        <v/>
      </c>
      <c r="AC36" s="12" t="n">
        <v>4</v>
      </c>
      <c r="AD36" s="12" t="n">
        <v>0</v>
      </c>
      <c r="AE36" s="12">
        <f>AB36+AC36+AD36</f>
        <v/>
      </c>
      <c r="AF36" s="13">
        <f>AI35</f>
        <v/>
      </c>
      <c r="AG36" s="13" t="n">
        <v>0</v>
      </c>
      <c r="AH36" s="13" t="n">
        <v>0</v>
      </c>
      <c r="AI36" s="13">
        <f>AF36+AG36+AH36</f>
        <v/>
      </c>
      <c r="AJ36" s="14" t="n">
        <v>0</v>
      </c>
      <c r="AK36" s="14" t="n">
        <v>50</v>
      </c>
      <c r="AL36" s="14" t="n">
        <v>0</v>
      </c>
      <c r="AM36" s="14">
        <f>AJ36+AK36+AL36</f>
        <v/>
      </c>
      <c r="AN36" s="14">
        <f>AN35+AM36</f>
        <v/>
      </c>
    </row>
    <row r="37">
      <c r="A37" s="8" t="n">
        <v>2</v>
      </c>
      <c r="B37" s="8" t="n">
        <v>5</v>
      </c>
      <c r="C37" s="8" t="n">
        <v>2</v>
      </c>
      <c r="D37" s="8" t="inlineStr">
        <is>
          <t>月卡收益 [月卡续费-30元]</t>
        </is>
      </c>
      <c r="E37" s="9">
        <f>K36</f>
        <v/>
      </c>
      <c r="F37" s="9" t="n">
        <v>1540</v>
      </c>
      <c r="G37" s="9" t="n">
        <v>0</v>
      </c>
      <c r="H37" s="9" t="n">
        <v>0</v>
      </c>
      <c r="I37" s="9" t="n">
        <v>0</v>
      </c>
      <c r="J37" s="9" t="n">
        <v>12960</v>
      </c>
      <c r="K37" s="9">
        <f>E37+F37+G37+H37+I37-J37</f>
        <v/>
      </c>
      <c r="L37" s="10">
        <f>Q36</f>
        <v/>
      </c>
      <c r="M37" s="10" t="n">
        <v>0</v>
      </c>
      <c r="N37" s="10" t="n">
        <v>11</v>
      </c>
      <c r="O37" s="10">
        <f>J37/160</f>
        <v/>
      </c>
      <c r="P37" s="10" t="n">
        <v>100</v>
      </c>
      <c r="Q37" s="10">
        <f>L37+M37+N37+O37-P37</f>
        <v/>
      </c>
      <c r="R37" s="11">
        <f>T36</f>
        <v/>
      </c>
      <c r="S37" s="11">
        <f>N(V37) + N(X37) + N(Z37)</f>
        <v/>
      </c>
      <c r="T37" s="11">
        <f>R37+P37-S37</f>
        <v/>
      </c>
      <c r="U37" s="11" t="inlineStr">
        <is>
          <t>是</t>
        </is>
      </c>
      <c r="V37" s="11" t="n">
        <v>53</v>
      </c>
      <c r="W37" s="11" t="inlineStr">
        <is>
          <t>是</t>
        </is>
      </c>
      <c r="X37" s="11" t="n">
        <v>47</v>
      </c>
      <c r="Y37" s="11" t="inlineStr">
        <is>
          <t>-</t>
        </is>
      </c>
      <c r="Z37" s="11" t="n">
        <v>0</v>
      </c>
      <c r="AA37" s="11" t="inlineStr">
        <is>
          <t>无</t>
        </is>
      </c>
      <c r="AB37" s="12">
        <f>AE36</f>
        <v/>
      </c>
      <c r="AC37" s="12" t="n">
        <v>0</v>
      </c>
      <c r="AD37" s="12" t="n">
        <v>0</v>
      </c>
      <c r="AE37" s="12">
        <f>AB37+AC37+AD37</f>
        <v/>
      </c>
      <c r="AF37" s="13">
        <f>AI36</f>
        <v/>
      </c>
      <c r="AG37" s="13" t="n">
        <v>0</v>
      </c>
      <c r="AH37" s="13" t="n">
        <v>0</v>
      </c>
      <c r="AI37" s="13">
        <f>AF37+AG37+AH37</f>
        <v/>
      </c>
      <c r="AJ37" s="14" t="n">
        <v>30</v>
      </c>
      <c r="AK37" s="14" t="n">
        <v>0</v>
      </c>
      <c r="AL37" s="14" t="n">
        <v>0</v>
      </c>
      <c r="AM37" s="14">
        <f>AJ37+AK37+AL37</f>
        <v/>
      </c>
      <c r="AN37" s="14">
        <f>AN36+AM37</f>
        <v/>
      </c>
    </row>
    <row r="38">
      <c r="A38" s="8" t="n">
        <v>2</v>
      </c>
      <c r="B38" s="8" t="n">
        <v>6</v>
      </c>
      <c r="C38" s="8" t="n">
        <v>1</v>
      </c>
      <c r="D38" s="8" t="inlineStr">
        <is>
          <t>版本免费+义相逢 + 月卡收益</t>
        </is>
      </c>
      <c r="E38" s="9">
        <f>K37</f>
        <v/>
      </c>
      <c r="F38" s="9" t="n">
        <v>1540</v>
      </c>
      <c r="G38" s="9" t="n">
        <v>4800</v>
      </c>
      <c r="H38" s="9" t="n">
        <v>0</v>
      </c>
      <c r="I38" s="9" t="n">
        <v>0</v>
      </c>
      <c r="J38" s="9" t="n">
        <v>0</v>
      </c>
      <c r="K38" s="9">
        <f>E38+F38+G38+H38+I38-J38</f>
        <v/>
      </c>
      <c r="L38" s="10">
        <f>Q37</f>
        <v/>
      </c>
      <c r="M38" s="10" t="n">
        <v>85</v>
      </c>
      <c r="N38" s="10" t="n">
        <v>6</v>
      </c>
      <c r="O38" s="10">
        <f>J38/160</f>
        <v/>
      </c>
      <c r="P38" s="10" t="n">
        <v>60</v>
      </c>
      <c r="Q38" s="10">
        <f>L38+M38+N38+O38-P38</f>
        <v/>
      </c>
      <c r="R38" s="11">
        <f>T37</f>
        <v/>
      </c>
      <c r="S38" s="11">
        <f>N(V38) + N(X38) + N(Z38)</f>
        <v/>
      </c>
      <c r="T38" s="11">
        <f>R38+P38-S38</f>
        <v/>
      </c>
      <c r="U38" s="11" t="inlineStr">
        <is>
          <t>是</t>
        </is>
      </c>
      <c r="V38" s="11" t="n">
        <v>52</v>
      </c>
      <c r="W38" s="11" t="inlineStr">
        <is>
          <t>否</t>
        </is>
      </c>
      <c r="X38" s="11" t="inlineStr">
        <is>
          <t>-</t>
        </is>
      </c>
      <c r="Y38" s="11" t="inlineStr">
        <is>
          <t>-</t>
        </is>
      </c>
      <c r="Z38" s="11" t="n">
        <v>0</v>
      </c>
      <c r="AA38" s="11" t="inlineStr">
        <is>
          <t>垫到60抽</t>
        </is>
      </c>
      <c r="AB38" s="12">
        <f>AE37</f>
        <v/>
      </c>
      <c r="AC38" s="12" t="n">
        <v>4</v>
      </c>
      <c r="AD38" s="12" t="n">
        <v>0</v>
      </c>
      <c r="AE38" s="12">
        <f>AB38+AC38+AD38</f>
        <v/>
      </c>
      <c r="AF38" s="13">
        <f>AI37</f>
        <v/>
      </c>
      <c r="AG38" s="13" t="n">
        <v>0</v>
      </c>
      <c r="AH38" s="13" t="n">
        <v>0</v>
      </c>
      <c r="AI38" s="13">
        <f>AF38+AG38+AH38</f>
        <v/>
      </c>
      <c r="AJ38" s="14" t="n">
        <v>0</v>
      </c>
      <c r="AK38" s="14" t="n">
        <v>50</v>
      </c>
      <c r="AL38" s="14" t="n">
        <v>0</v>
      </c>
      <c r="AM38" s="14">
        <f>AJ38+AK38+AL38</f>
        <v/>
      </c>
      <c r="AN38" s="14">
        <f>AN37+AM38</f>
        <v/>
      </c>
    </row>
    <row r="39">
      <c r="A39" s="8" t="n">
        <v>2</v>
      </c>
      <c r="B39" s="8" t="n">
        <v>6</v>
      </c>
      <c r="C39" s="8" t="n">
        <v>2</v>
      </c>
      <c r="D39" s="8" t="inlineStr">
        <is>
          <t>月卡收益 [月卡续费-30元]</t>
        </is>
      </c>
      <c r="E39" s="9">
        <f>K38</f>
        <v/>
      </c>
      <c r="F39" s="9" t="n">
        <v>1540</v>
      </c>
      <c r="G39" s="9" t="n">
        <v>0</v>
      </c>
      <c r="H39" s="9" t="n">
        <v>0</v>
      </c>
      <c r="I39" s="9" t="n">
        <v>0</v>
      </c>
      <c r="J39" s="9" t="n">
        <v>8480</v>
      </c>
      <c r="K39" s="9">
        <f>E39+F39+G39+H39+I39-J39</f>
        <v/>
      </c>
      <c r="L39" s="10">
        <f>Q38</f>
        <v/>
      </c>
      <c r="M39" s="10" t="n">
        <v>0</v>
      </c>
      <c r="N39" s="10" t="n">
        <v>11</v>
      </c>
      <c r="O39" s="10">
        <f>J39/160</f>
        <v/>
      </c>
      <c r="P39" s="10" t="n">
        <v>90</v>
      </c>
      <c r="Q39" s="10">
        <f>L39+M39+N39+O39-P39</f>
        <v/>
      </c>
      <c r="R39" s="11">
        <f>T38</f>
        <v/>
      </c>
      <c r="S39" s="11">
        <f>N(V39) + N(X39) + N(Z39)</f>
        <v/>
      </c>
      <c r="T39" s="11">
        <f>R39+P39-S39</f>
        <v/>
      </c>
      <c r="U39" s="11" t="inlineStr">
        <is>
          <t>是</t>
        </is>
      </c>
      <c r="V39" s="11" t="n">
        <v>49</v>
      </c>
      <c r="W39" s="11" t="inlineStr">
        <is>
          <t>是</t>
        </is>
      </c>
      <c r="X39" s="11" t="n">
        <v>51</v>
      </c>
      <c r="Y39" s="11" t="inlineStr">
        <is>
          <t>-</t>
        </is>
      </c>
      <c r="Z39" s="11" t="n">
        <v>0</v>
      </c>
      <c r="AA39" s="11" t="inlineStr">
        <is>
          <t>无</t>
        </is>
      </c>
      <c r="AB39" s="12">
        <f>AE38</f>
        <v/>
      </c>
      <c r="AC39" s="12" t="n">
        <v>0</v>
      </c>
      <c r="AD39" s="12" t="n">
        <v>0</v>
      </c>
      <c r="AE39" s="12">
        <f>AB39+AC39+AD39</f>
        <v/>
      </c>
      <c r="AF39" s="13">
        <f>AI38</f>
        <v/>
      </c>
      <c r="AG39" s="13" t="n">
        <v>0</v>
      </c>
      <c r="AH39" s="13" t="n">
        <v>0</v>
      </c>
      <c r="AI39" s="13">
        <f>AF39+AG39+AH39</f>
        <v/>
      </c>
      <c r="AJ39" s="14" t="n">
        <v>30</v>
      </c>
      <c r="AK39" s="14" t="n">
        <v>0</v>
      </c>
      <c r="AL39" s="14" t="n">
        <v>0</v>
      </c>
      <c r="AM39" s="14">
        <f>AJ39+AK39+AL39</f>
        <v/>
      </c>
      <c r="AN39" s="14">
        <f>AN38+AM39</f>
        <v/>
      </c>
    </row>
    <row r="40">
      <c r="A40" s="8" t="n">
        <v>2</v>
      </c>
      <c r="B40" s="8" t="n">
        <v>7</v>
      </c>
      <c r="C40" s="8" t="n">
        <v>1</v>
      </c>
      <c r="D40" s="8" t="inlineStr">
        <is>
          <t>版本免费+义相逢 + 月卡收益</t>
        </is>
      </c>
      <c r="E40" s="9">
        <f>K39</f>
        <v/>
      </c>
      <c r="F40" s="9" t="n">
        <v>1540</v>
      </c>
      <c r="G40" s="9" t="n">
        <v>4800</v>
      </c>
      <c r="H40" s="9" t="n">
        <v>0</v>
      </c>
      <c r="I40" s="9" t="n">
        <v>0</v>
      </c>
      <c r="J40" s="9" t="n">
        <v>0</v>
      </c>
      <c r="K40" s="9">
        <f>E40+F40+G40+H40+I40-J40</f>
        <v/>
      </c>
      <c r="L40" s="10">
        <f>Q39</f>
        <v/>
      </c>
      <c r="M40" s="10" t="n">
        <v>85</v>
      </c>
      <c r="N40" s="10" t="n">
        <v>11</v>
      </c>
      <c r="O40" s="10">
        <f>J40/160</f>
        <v/>
      </c>
      <c r="P40" s="10" t="n">
        <v>100</v>
      </c>
      <c r="Q40" s="10">
        <f>L40+M40+N40+O40-P40</f>
        <v/>
      </c>
      <c r="R40" s="11">
        <f>T39</f>
        <v/>
      </c>
      <c r="S40" s="11">
        <f>N(V40) + N(X40) + N(Z40)</f>
        <v/>
      </c>
      <c r="T40" s="11">
        <f>R40+P40-S40</f>
        <v/>
      </c>
      <c r="U40" s="11" t="inlineStr">
        <is>
          <t>是</t>
        </is>
      </c>
      <c r="V40" s="11" t="n">
        <v>48</v>
      </c>
      <c r="W40" s="11" t="inlineStr">
        <is>
          <t>是</t>
        </is>
      </c>
      <c r="X40" s="11" t="n">
        <v>47</v>
      </c>
      <c r="Y40" s="11" t="inlineStr">
        <is>
          <t>-</t>
        </is>
      </c>
      <c r="Z40" s="11" t="n">
        <v>0</v>
      </c>
      <c r="AA40" s="11" t="inlineStr">
        <is>
          <t>无</t>
        </is>
      </c>
      <c r="AB40" s="12">
        <f>AE39</f>
        <v/>
      </c>
      <c r="AC40" s="12" t="n">
        <v>4</v>
      </c>
      <c r="AD40" s="12" t="n">
        <v>0</v>
      </c>
      <c r="AE40" s="12">
        <f>AB40+AC40+AD40</f>
        <v/>
      </c>
      <c r="AF40" s="13">
        <f>AI39</f>
        <v/>
      </c>
      <c r="AG40" s="13" t="n">
        <v>0</v>
      </c>
      <c r="AH40" s="13" t="n">
        <v>0</v>
      </c>
      <c r="AI40" s="13">
        <f>AF40+AG40+AH40</f>
        <v/>
      </c>
      <c r="AJ40" s="14" t="n">
        <v>0</v>
      </c>
      <c r="AK40" s="14" t="n">
        <v>50</v>
      </c>
      <c r="AL40" s="14" t="n">
        <v>0</v>
      </c>
      <c r="AM40" s="14">
        <f>AJ40+AK40+AL40</f>
        <v/>
      </c>
      <c r="AN40" s="14">
        <f>AN39+AM40</f>
        <v/>
      </c>
    </row>
    <row r="41">
      <c r="A41" s="8" t="n">
        <v>2</v>
      </c>
      <c r="B41" s="8" t="n">
        <v>7</v>
      </c>
      <c r="C41" s="8" t="n">
        <v>2</v>
      </c>
      <c r="D41" s="8" t="inlineStr">
        <is>
          <t>月卡收益 [月卡续费-30元]</t>
        </is>
      </c>
      <c r="E41" s="9">
        <f>K40</f>
        <v/>
      </c>
      <c r="F41" s="9" t="n">
        <v>1540</v>
      </c>
      <c r="G41" s="9" t="n">
        <v>0</v>
      </c>
      <c r="H41" s="9" t="n">
        <v>0</v>
      </c>
      <c r="I41" s="9" t="n">
        <v>0</v>
      </c>
      <c r="J41" s="9" t="n">
        <v>13280</v>
      </c>
      <c r="K41" s="9">
        <f>E41+F41+G41+H41+I41-J41</f>
        <v/>
      </c>
      <c r="L41" s="10">
        <f>Q40</f>
        <v/>
      </c>
      <c r="M41" s="10" t="n">
        <v>0</v>
      </c>
      <c r="N41" s="10" t="n">
        <v>11</v>
      </c>
      <c r="O41" s="10">
        <f>J41/160</f>
        <v/>
      </c>
      <c r="P41" s="10" t="n">
        <v>90</v>
      </c>
      <c r="Q41" s="10">
        <f>L41+M41+N41+O41-P41</f>
        <v/>
      </c>
      <c r="R41" s="11">
        <f>T40</f>
        <v/>
      </c>
      <c r="S41" s="11">
        <f>N(V41) + N(X41) + N(Z41)</f>
        <v/>
      </c>
      <c r="T41" s="11">
        <f>R41+P41-S41</f>
        <v/>
      </c>
      <c r="U41" s="11" t="inlineStr">
        <is>
          <t>否</t>
        </is>
      </c>
      <c r="V41" s="11" t="inlineStr">
        <is>
          <t>-</t>
        </is>
      </c>
      <c r="W41" s="11" t="inlineStr">
        <is>
          <t>是</t>
        </is>
      </c>
      <c r="X41" s="11" t="n">
        <v>48</v>
      </c>
      <c r="Y41" s="11" t="inlineStr">
        <is>
          <t>-</t>
        </is>
      </c>
      <c r="Z41" s="11" t="n">
        <v>0</v>
      </c>
      <c r="AA41" s="11" t="inlineStr">
        <is>
          <t>无</t>
        </is>
      </c>
      <c r="AB41" s="12">
        <f>AE40</f>
        <v/>
      </c>
      <c r="AC41" s="12" t="n">
        <v>0</v>
      </c>
      <c r="AD41" s="12" t="n">
        <v>0</v>
      </c>
      <c r="AE41" s="12">
        <f>AB41+AC41+AD41</f>
        <v/>
      </c>
      <c r="AF41" s="13">
        <f>AI40</f>
        <v/>
      </c>
      <c r="AG41" s="13" t="n">
        <v>0</v>
      </c>
      <c r="AH41" s="13" t="n">
        <v>0</v>
      </c>
      <c r="AI41" s="13">
        <f>AF41+AG41+AH41</f>
        <v/>
      </c>
      <c r="AJ41" s="14" t="n">
        <v>30</v>
      </c>
      <c r="AK41" s="14" t="n">
        <v>0</v>
      </c>
      <c r="AL41" s="14" t="n">
        <v>0</v>
      </c>
      <c r="AM41" s="14">
        <f>AJ41+AK41+AL41</f>
        <v/>
      </c>
      <c r="AN41" s="14">
        <f>AN40+AM41</f>
        <v/>
      </c>
    </row>
    <row r="42">
      <c r="A42" s="8" t="n">
        <v>2</v>
      </c>
      <c r="B42" s="8" t="n">
        <v>8</v>
      </c>
      <c r="C42" s="8" t="n">
        <v>1</v>
      </c>
      <c r="D42" s="8" t="inlineStr">
        <is>
          <t>版本免费+义相逢 + 月卡收益</t>
        </is>
      </c>
      <c r="E42" s="9">
        <f>K41</f>
        <v/>
      </c>
      <c r="F42" s="9" t="n">
        <v>1540</v>
      </c>
      <c r="G42" s="9" t="n">
        <v>4800</v>
      </c>
      <c r="H42" s="9" t="n">
        <v>0</v>
      </c>
      <c r="I42" s="9" t="n">
        <v>0</v>
      </c>
      <c r="J42" s="9" t="n">
        <v>0</v>
      </c>
      <c r="K42" s="9">
        <f>E42+F42+G42+H42+I42-J42</f>
        <v/>
      </c>
      <c r="L42" s="10">
        <f>Q41</f>
        <v/>
      </c>
      <c r="M42" s="10" t="n">
        <v>85</v>
      </c>
      <c r="N42" s="10" t="n">
        <v>1</v>
      </c>
      <c r="O42" s="10">
        <f>J42/160</f>
        <v/>
      </c>
      <c r="P42" s="10" t="n">
        <v>10</v>
      </c>
      <c r="Q42" s="10">
        <f>L42+M42+N42+O42-P42</f>
        <v/>
      </c>
      <c r="R42" s="11">
        <f>T41</f>
        <v/>
      </c>
      <c r="S42" s="11">
        <f>N(V42) + N(X42) + N(Z42)</f>
        <v/>
      </c>
      <c r="T42" s="11">
        <f>R42+P42-S42</f>
        <v/>
      </c>
      <c r="U42" s="11" t="inlineStr">
        <is>
          <t>是</t>
        </is>
      </c>
      <c r="V42" s="11" t="n">
        <v>56</v>
      </c>
      <c r="W42" s="11" t="inlineStr">
        <is>
          <t>否</t>
        </is>
      </c>
      <c r="X42" s="11" t="inlineStr">
        <is>
          <t>-</t>
        </is>
      </c>
      <c r="Y42" s="11" t="inlineStr">
        <is>
          <t>-</t>
        </is>
      </c>
      <c r="Z42" s="11" t="n">
        <v>0</v>
      </c>
      <c r="AA42" s="11" t="inlineStr">
        <is>
          <t>无</t>
        </is>
      </c>
      <c r="AB42" s="12">
        <f>AE41</f>
        <v/>
      </c>
      <c r="AC42" s="12" t="n">
        <v>4</v>
      </c>
      <c r="AD42" s="12" t="n">
        <v>0</v>
      </c>
      <c r="AE42" s="12">
        <f>AB42+AC42+AD42</f>
        <v/>
      </c>
      <c r="AF42" s="13">
        <f>AI41</f>
        <v/>
      </c>
      <c r="AG42" s="13" t="n">
        <v>0</v>
      </c>
      <c r="AH42" s="13" t="n">
        <v>0</v>
      </c>
      <c r="AI42" s="13">
        <f>AF42+AG42+AH42</f>
        <v/>
      </c>
      <c r="AJ42" s="14" t="n">
        <v>0</v>
      </c>
      <c r="AK42" s="14" t="n">
        <v>50</v>
      </c>
      <c r="AL42" s="14" t="n">
        <v>0</v>
      </c>
      <c r="AM42" s="14">
        <f>AJ42+AK42+AL42</f>
        <v/>
      </c>
      <c r="AN42" s="14">
        <f>AN41+AM42</f>
        <v/>
      </c>
    </row>
    <row r="43">
      <c r="A43" s="8" t="n">
        <v>2</v>
      </c>
      <c r="B43" s="8" t="n">
        <v>8</v>
      </c>
      <c r="C43" s="8" t="n">
        <v>2</v>
      </c>
      <c r="D43" s="8" t="inlineStr">
        <is>
          <t>月卡收益 [月卡续费-30元]</t>
        </is>
      </c>
      <c r="E43" s="9">
        <f>K42</f>
        <v/>
      </c>
      <c r="F43" s="9" t="n">
        <v>1540</v>
      </c>
      <c r="G43" s="9" t="n">
        <v>0</v>
      </c>
      <c r="H43" s="9" t="n">
        <v>0</v>
      </c>
      <c r="I43" s="9" t="n">
        <v>0</v>
      </c>
      <c r="J43" s="9" t="n">
        <v>0</v>
      </c>
      <c r="K43" s="9">
        <f>E43+F43+G43+H43+I43-J43</f>
        <v/>
      </c>
      <c r="L43" s="10">
        <f>Q42</f>
        <v/>
      </c>
      <c r="M43" s="10" t="n">
        <v>0</v>
      </c>
      <c r="N43" s="10" t="n">
        <v>3</v>
      </c>
      <c r="O43" s="10">
        <f>J43/160</f>
        <v/>
      </c>
      <c r="P43" s="10" t="n">
        <v>40</v>
      </c>
      <c r="Q43" s="10">
        <f>L43+M43+N43+O43-P43</f>
        <v/>
      </c>
      <c r="R43" s="11">
        <f>T42</f>
        <v/>
      </c>
      <c r="S43" s="11">
        <f>N(V43) + N(X43) + N(Z43)</f>
        <v/>
      </c>
      <c r="T43" s="11">
        <f>R43+P43-S43</f>
        <v/>
      </c>
      <c r="U43" s="11" t="inlineStr">
        <is>
          <t>是</t>
        </is>
      </c>
      <c r="V43" s="11" t="n">
        <v>44</v>
      </c>
      <c r="W43" s="11" t="inlineStr">
        <is>
          <t>否</t>
        </is>
      </c>
      <c r="X43" s="11" t="inlineStr">
        <is>
          <t>-</t>
        </is>
      </c>
      <c r="Y43" s="11" t="inlineStr">
        <is>
          <t>-</t>
        </is>
      </c>
      <c r="Z43" s="11" t="n">
        <v>0</v>
      </c>
      <c r="AA43" s="11" t="inlineStr">
        <is>
          <t>无</t>
        </is>
      </c>
      <c r="AB43" s="12">
        <f>AE42</f>
        <v/>
      </c>
      <c r="AC43" s="12" t="n">
        <v>0</v>
      </c>
      <c r="AD43" s="12" t="n">
        <v>0</v>
      </c>
      <c r="AE43" s="12">
        <f>AB43+AC43+AD43</f>
        <v/>
      </c>
      <c r="AF43" s="13">
        <f>AI42</f>
        <v/>
      </c>
      <c r="AG43" s="13" t="n">
        <v>0</v>
      </c>
      <c r="AH43" s="13" t="n">
        <v>0</v>
      </c>
      <c r="AI43" s="13">
        <f>AF43+AG43+AH43</f>
        <v/>
      </c>
      <c r="AJ43" s="14" t="n">
        <v>30</v>
      </c>
      <c r="AK43" s="14" t="n">
        <v>0</v>
      </c>
      <c r="AL43" s="14" t="n">
        <v>0</v>
      </c>
      <c r="AM43" s="14">
        <f>AJ43+AK43+AL43</f>
        <v/>
      </c>
      <c r="AN43" s="14">
        <f>AN42+AM43</f>
        <v/>
      </c>
    </row>
    <row r="44">
      <c r="A44" s="8" t="n">
        <v>2</v>
      </c>
      <c r="B44" s="8" t="n">
        <v>9</v>
      </c>
      <c r="C44" s="8" t="n">
        <v>1</v>
      </c>
      <c r="D44" s="8" t="inlineStr">
        <is>
          <t>版本免费+义相逢 + 月卡收益</t>
        </is>
      </c>
      <c r="E44" s="9">
        <f>K43</f>
        <v/>
      </c>
      <c r="F44" s="9" t="n">
        <v>1540</v>
      </c>
      <c r="G44" s="9" t="n">
        <v>4800</v>
      </c>
      <c r="H44" s="9" t="n">
        <v>0</v>
      </c>
      <c r="I44" s="9" t="n">
        <v>0</v>
      </c>
      <c r="J44" s="9" t="n">
        <v>0</v>
      </c>
      <c r="K44" s="9">
        <f>E44+F44+G44+H44+I44-J44</f>
        <v/>
      </c>
      <c r="L44" s="10">
        <f>Q43</f>
        <v/>
      </c>
      <c r="M44" s="10" t="n">
        <v>85</v>
      </c>
      <c r="N44" s="10" t="n">
        <v>6</v>
      </c>
      <c r="O44" s="10">
        <f>J44/160</f>
        <v/>
      </c>
      <c r="P44" s="10" t="n">
        <v>60</v>
      </c>
      <c r="Q44" s="10">
        <f>L44+M44+N44+O44-P44</f>
        <v/>
      </c>
      <c r="R44" s="11">
        <f>T43</f>
        <v/>
      </c>
      <c r="S44" s="11">
        <f>N(V44) + N(X44) + N(Z44)</f>
        <v/>
      </c>
      <c r="T44" s="11">
        <f>R44+P44-S44</f>
        <v/>
      </c>
      <c r="U44" s="11" t="inlineStr">
        <is>
          <t>是</t>
        </is>
      </c>
      <c r="V44" s="11" t="n">
        <v>49</v>
      </c>
      <c r="W44" s="11" t="inlineStr">
        <is>
          <t>否</t>
        </is>
      </c>
      <c r="X44" s="11" t="inlineStr">
        <is>
          <t>-</t>
        </is>
      </c>
      <c r="Y44" s="11" t="inlineStr">
        <is>
          <t>-</t>
        </is>
      </c>
      <c r="Z44" s="11" t="n">
        <v>0</v>
      </c>
      <c r="AA44" s="11" t="inlineStr">
        <is>
          <t>垫到60抽</t>
        </is>
      </c>
      <c r="AB44" s="12">
        <f>AE43</f>
        <v/>
      </c>
      <c r="AC44" s="12" t="n">
        <v>4</v>
      </c>
      <c r="AD44" s="12" t="n">
        <v>0</v>
      </c>
      <c r="AE44" s="12">
        <f>AB44+AC44+AD44</f>
        <v/>
      </c>
      <c r="AF44" s="13">
        <f>AI43</f>
        <v/>
      </c>
      <c r="AG44" s="13" t="n">
        <v>0</v>
      </c>
      <c r="AH44" s="13" t="n">
        <v>0</v>
      </c>
      <c r="AI44" s="13">
        <f>AF44+AG44+AH44</f>
        <v/>
      </c>
      <c r="AJ44" s="14" t="n">
        <v>0</v>
      </c>
      <c r="AK44" s="14" t="n">
        <v>50</v>
      </c>
      <c r="AL44" s="14" t="n">
        <v>0</v>
      </c>
      <c r="AM44" s="14">
        <f>AJ44+AK44+AL44</f>
        <v/>
      </c>
      <c r="AN44" s="14">
        <f>AN43+AM44</f>
        <v/>
      </c>
    </row>
    <row r="45">
      <c r="A45" s="8" t="n">
        <v>2</v>
      </c>
      <c r="B45" s="8" t="n">
        <v>9</v>
      </c>
      <c r="C45" s="8" t="n">
        <v>2</v>
      </c>
      <c r="D45" s="8" t="inlineStr">
        <is>
          <t>月卡收益 [月卡续费-30元]</t>
        </is>
      </c>
      <c r="E45" s="9">
        <f>K44</f>
        <v/>
      </c>
      <c r="F45" s="9" t="n">
        <v>1540</v>
      </c>
      <c r="G45" s="9" t="n">
        <v>0</v>
      </c>
      <c r="H45" s="9" t="n">
        <v>0</v>
      </c>
      <c r="I45" s="9" t="n">
        <v>0</v>
      </c>
      <c r="J45" s="9" t="n">
        <v>0</v>
      </c>
      <c r="K45" s="9">
        <f>E45+F45+G45+H45+I45-J45</f>
        <v/>
      </c>
      <c r="L45" s="10">
        <f>Q44</f>
        <v/>
      </c>
      <c r="M45" s="10" t="n">
        <v>0</v>
      </c>
      <c r="N45" s="10" t="n">
        <v>3</v>
      </c>
      <c r="O45" s="10">
        <f>J45/160</f>
        <v/>
      </c>
      <c r="P45" s="10" t="n">
        <v>40</v>
      </c>
      <c r="Q45" s="10">
        <f>L45+M45+N45+O45-P45</f>
        <v/>
      </c>
      <c r="R45" s="11">
        <f>T44</f>
        <v/>
      </c>
      <c r="S45" s="11">
        <f>N(V45) + N(X45) + N(Z45)</f>
        <v/>
      </c>
      <c r="T45" s="11">
        <f>R45+P45-S45</f>
        <v/>
      </c>
      <c r="U45" s="11" t="inlineStr">
        <is>
          <t>是</t>
        </is>
      </c>
      <c r="V45" s="11" t="n">
        <v>46</v>
      </c>
      <c r="W45" s="11" t="inlineStr">
        <is>
          <t>否</t>
        </is>
      </c>
      <c r="X45" s="11" t="inlineStr">
        <is>
          <t>-</t>
        </is>
      </c>
      <c r="Y45" s="11" t="inlineStr">
        <is>
          <t>-</t>
        </is>
      </c>
      <c r="Z45" s="11" t="n">
        <v>0</v>
      </c>
      <c r="AA45" s="11" t="inlineStr">
        <is>
          <t>无</t>
        </is>
      </c>
      <c r="AB45" s="12">
        <f>AE44</f>
        <v/>
      </c>
      <c r="AC45" s="12" t="n">
        <v>0</v>
      </c>
      <c r="AD45" s="12" t="n">
        <v>0</v>
      </c>
      <c r="AE45" s="12">
        <f>AB45+AC45+AD45</f>
        <v/>
      </c>
      <c r="AF45" s="13">
        <f>AI44</f>
        <v/>
      </c>
      <c r="AG45" s="13" t="n">
        <v>0</v>
      </c>
      <c r="AH45" s="13" t="n">
        <v>0</v>
      </c>
      <c r="AI45" s="13">
        <f>AF45+AG45+AH45</f>
        <v/>
      </c>
      <c r="AJ45" s="14" t="n">
        <v>30</v>
      </c>
      <c r="AK45" s="14" t="n">
        <v>0</v>
      </c>
      <c r="AL45" s="14" t="n">
        <v>0</v>
      </c>
      <c r="AM45" s="14">
        <f>AJ45+AK45+AL45</f>
        <v/>
      </c>
      <c r="AN45" s="14">
        <f>AN44+AM45</f>
        <v/>
      </c>
    </row>
    <row r="46">
      <c r="A46" s="8" t="n">
        <v>2</v>
      </c>
      <c r="B46" s="8" t="n">
        <v>10</v>
      </c>
      <c r="C46" s="8" t="n">
        <v>1</v>
      </c>
      <c r="D46" s="8" t="inlineStr">
        <is>
          <t>版本免费+义相逢 + 月卡收益</t>
        </is>
      </c>
      <c r="E46" s="9">
        <f>K45</f>
        <v/>
      </c>
      <c r="F46" s="9" t="n">
        <v>1540</v>
      </c>
      <c r="G46" s="9" t="n">
        <v>4800</v>
      </c>
      <c r="H46" s="9" t="n">
        <v>0</v>
      </c>
      <c r="I46" s="9" t="n">
        <v>0</v>
      </c>
      <c r="J46" s="9" t="n">
        <v>0</v>
      </c>
      <c r="K46" s="9">
        <f>E46+F46+G46+H46+I46-J46</f>
        <v/>
      </c>
      <c r="L46" s="10">
        <f>Q45</f>
        <v/>
      </c>
      <c r="M46" s="10" t="n">
        <v>85</v>
      </c>
      <c r="N46" s="10" t="n">
        <v>11</v>
      </c>
      <c r="O46" s="10">
        <f>J46/160</f>
        <v/>
      </c>
      <c r="P46" s="10" t="n">
        <v>100</v>
      </c>
      <c r="Q46" s="10">
        <f>L46+M46+N46+O46-P46</f>
        <v/>
      </c>
      <c r="R46" s="11">
        <f>T45</f>
        <v/>
      </c>
      <c r="S46" s="11">
        <f>N(V46) + N(X46) + N(Z46)</f>
        <v/>
      </c>
      <c r="T46" s="11">
        <f>R46+P46-S46</f>
        <v/>
      </c>
      <c r="U46" s="11" t="inlineStr">
        <is>
          <t>是</t>
        </is>
      </c>
      <c r="V46" s="11" t="n">
        <v>48</v>
      </c>
      <c r="W46" s="11" t="inlineStr">
        <is>
          <t>是</t>
        </is>
      </c>
      <c r="X46" s="11" t="n">
        <v>52</v>
      </c>
      <c r="Y46" s="11" t="inlineStr">
        <is>
          <t>-</t>
        </is>
      </c>
      <c r="Z46" s="11" t="n">
        <v>0</v>
      </c>
      <c r="AA46" s="11" t="inlineStr">
        <is>
          <t>无</t>
        </is>
      </c>
      <c r="AB46" s="12">
        <f>AE45</f>
        <v/>
      </c>
      <c r="AC46" s="12" t="n">
        <v>4</v>
      </c>
      <c r="AD46" s="12" t="n">
        <v>0</v>
      </c>
      <c r="AE46" s="12">
        <f>AB46+AC46+AD46</f>
        <v/>
      </c>
      <c r="AF46" s="13">
        <f>AI45</f>
        <v/>
      </c>
      <c r="AG46" s="13" t="n">
        <v>0</v>
      </c>
      <c r="AH46" s="13" t="n">
        <v>0</v>
      </c>
      <c r="AI46" s="13">
        <f>AF46+AG46+AH46</f>
        <v/>
      </c>
      <c r="AJ46" s="14" t="n">
        <v>0</v>
      </c>
      <c r="AK46" s="14" t="n">
        <v>50</v>
      </c>
      <c r="AL46" s="14" t="n">
        <v>0</v>
      </c>
      <c r="AM46" s="14">
        <f>AJ46+AK46+AL46</f>
        <v/>
      </c>
      <c r="AN46" s="14">
        <f>AN45+AM46</f>
        <v/>
      </c>
    </row>
    <row r="47">
      <c r="A47" s="8" t="n">
        <v>2</v>
      </c>
      <c r="B47" s="8" t="n">
        <v>10</v>
      </c>
      <c r="C47" s="8" t="n">
        <v>2</v>
      </c>
      <c r="D47" s="8" t="inlineStr">
        <is>
          <t>月卡收益</t>
        </is>
      </c>
      <c r="E47" s="9">
        <f>K46</f>
        <v/>
      </c>
      <c r="F47" s="9" t="n">
        <v>1540</v>
      </c>
      <c r="G47" s="9" t="n">
        <v>0</v>
      </c>
      <c r="H47" s="9" t="n">
        <v>0</v>
      </c>
      <c r="I47" s="9" t="n">
        <v>0</v>
      </c>
      <c r="J47" s="9" t="n">
        <v>8800</v>
      </c>
      <c r="K47" s="9">
        <f>E47+F47+G47+H47+I47-J47</f>
        <v/>
      </c>
      <c r="L47" s="10">
        <f>Q46</f>
        <v/>
      </c>
      <c r="M47" s="10" t="n">
        <v>0</v>
      </c>
      <c r="N47" s="10" t="n">
        <v>11</v>
      </c>
      <c r="O47" s="10">
        <f>J47/160</f>
        <v/>
      </c>
      <c r="P47" s="10" t="n">
        <v>100</v>
      </c>
      <c r="Q47" s="10">
        <f>L47+M47+N47+O47-P47</f>
        <v/>
      </c>
      <c r="R47" s="11">
        <f>T46</f>
        <v/>
      </c>
      <c r="S47" s="11">
        <f>N(V47) + N(X47) + N(Z47)</f>
        <v/>
      </c>
      <c r="T47" s="11">
        <f>R47+P47-S47</f>
        <v/>
      </c>
      <c r="U47" s="11" t="inlineStr">
        <is>
          <t>是</t>
        </is>
      </c>
      <c r="V47" s="11" t="n">
        <v>54</v>
      </c>
      <c r="W47" s="11" t="inlineStr">
        <is>
          <t>是</t>
        </is>
      </c>
      <c r="X47" s="11" t="n">
        <v>47</v>
      </c>
      <c r="Y47" s="11" t="inlineStr">
        <is>
          <t>-</t>
        </is>
      </c>
      <c r="Z47" s="11" t="n">
        <v>0</v>
      </c>
      <c r="AA47" s="11" t="inlineStr">
        <is>
          <t>无</t>
        </is>
      </c>
      <c r="AB47" s="12">
        <f>AE46</f>
        <v/>
      </c>
      <c r="AC47" s="12" t="n">
        <v>0</v>
      </c>
      <c r="AD47" s="12" t="n">
        <v>0</v>
      </c>
      <c r="AE47" s="12">
        <f>AB47+AC47+AD47</f>
        <v/>
      </c>
      <c r="AF47" s="13">
        <f>AI46</f>
        <v/>
      </c>
      <c r="AG47" s="13" t="n">
        <v>0</v>
      </c>
      <c r="AH47" s="13" t="n">
        <v>0</v>
      </c>
      <c r="AI47" s="13">
        <f>AF47+AG47+AH47</f>
        <v/>
      </c>
      <c r="AJ47" s="14" t="n">
        <v>0</v>
      </c>
      <c r="AK47" s="14" t="n">
        <v>0</v>
      </c>
      <c r="AL47" s="14" t="n">
        <v>0</v>
      </c>
      <c r="AM47" s="14">
        <f>AJ47+AK47+AL47</f>
        <v/>
      </c>
      <c r="AN47" s="14">
        <f>AN46+AM47</f>
        <v/>
      </c>
    </row>
    <row r="48">
      <c r="A48" s="8" t="n">
        <v>2</v>
      </c>
      <c r="B48" s="8" t="n">
        <v>11</v>
      </c>
      <c r="C48" s="8" t="n">
        <v>1</v>
      </c>
      <c r="D48" s="8" t="inlineStr">
        <is>
          <t>版本免费+义相逢 + 月卡收益 [月卡续费-30元]</t>
        </is>
      </c>
      <c r="E48" s="9">
        <f>K47</f>
        <v/>
      </c>
      <c r="F48" s="9" t="n">
        <v>1540</v>
      </c>
      <c r="G48" s="9" t="n">
        <v>4800</v>
      </c>
      <c r="H48" s="9" t="n">
        <v>0</v>
      </c>
      <c r="I48" s="9" t="n">
        <v>0</v>
      </c>
      <c r="J48" s="9" t="n">
        <v>0</v>
      </c>
      <c r="K48" s="9">
        <f>E48+F48+G48+H48+I48-J48</f>
        <v/>
      </c>
      <c r="L48" s="10">
        <f>Q47</f>
        <v/>
      </c>
      <c r="M48" s="10" t="n">
        <v>85</v>
      </c>
      <c r="N48" s="10" t="n">
        <v>6</v>
      </c>
      <c r="O48" s="10">
        <f>J48/160</f>
        <v/>
      </c>
      <c r="P48" s="10" t="n">
        <v>60</v>
      </c>
      <c r="Q48" s="10">
        <f>L48+M48+N48+O48-P48</f>
        <v/>
      </c>
      <c r="R48" s="11">
        <f>T47</f>
        <v/>
      </c>
      <c r="S48" s="11">
        <f>N(V48) + N(X48) + N(Z48)</f>
        <v/>
      </c>
      <c r="T48" s="11">
        <f>R48+P48-S48</f>
        <v/>
      </c>
      <c r="U48" s="11" t="inlineStr">
        <is>
          <t>是</t>
        </is>
      </c>
      <c r="V48" s="11" t="n">
        <v>51</v>
      </c>
      <c r="W48" s="11" t="inlineStr">
        <is>
          <t>否</t>
        </is>
      </c>
      <c r="X48" s="11" t="inlineStr">
        <is>
          <t>-</t>
        </is>
      </c>
      <c r="Y48" s="11" t="inlineStr">
        <is>
          <t>-</t>
        </is>
      </c>
      <c r="Z48" s="11" t="n">
        <v>0</v>
      </c>
      <c r="AA48" s="11" t="inlineStr">
        <is>
          <t>垫到60抽</t>
        </is>
      </c>
      <c r="AB48" s="12">
        <f>AE47</f>
        <v/>
      </c>
      <c r="AC48" s="12" t="n">
        <v>4</v>
      </c>
      <c r="AD48" s="12" t="n">
        <v>0</v>
      </c>
      <c r="AE48" s="12">
        <f>AB48+AC48+AD48</f>
        <v/>
      </c>
      <c r="AF48" s="13">
        <f>AI47</f>
        <v/>
      </c>
      <c r="AG48" s="13" t="n">
        <v>0</v>
      </c>
      <c r="AH48" s="13" t="n">
        <v>0</v>
      </c>
      <c r="AI48" s="13">
        <f>AF48+AG48+AH48</f>
        <v/>
      </c>
      <c r="AJ48" s="14" t="n">
        <v>30</v>
      </c>
      <c r="AK48" s="14" t="n">
        <v>50</v>
      </c>
      <c r="AL48" s="14" t="n">
        <v>0</v>
      </c>
      <c r="AM48" s="14">
        <f>AJ48+AK48+AL48</f>
        <v/>
      </c>
      <c r="AN48" s="14">
        <f>AN47+AM48</f>
        <v/>
      </c>
    </row>
    <row r="49">
      <c r="A49" s="8" t="n">
        <v>2</v>
      </c>
      <c r="B49" s="8" t="n">
        <v>11</v>
      </c>
      <c r="C49" s="8" t="n">
        <v>2</v>
      </c>
      <c r="D49" s="8" t="inlineStr">
        <is>
          <t>月卡收益</t>
        </is>
      </c>
      <c r="E49" s="9">
        <f>K48</f>
        <v/>
      </c>
      <c r="F49" s="9" t="n">
        <v>1540</v>
      </c>
      <c r="G49" s="9" t="n">
        <v>0</v>
      </c>
      <c r="H49" s="9" t="n">
        <v>0</v>
      </c>
      <c r="I49" s="9" t="n">
        <v>0</v>
      </c>
      <c r="J49" s="9" t="n">
        <v>8480</v>
      </c>
      <c r="K49" s="9">
        <f>E49+F49+G49+H49+I49-J49</f>
        <v/>
      </c>
      <c r="L49" s="10">
        <f>Q48</f>
        <v/>
      </c>
      <c r="M49" s="10" t="n">
        <v>0</v>
      </c>
      <c r="N49" s="10" t="n">
        <v>11</v>
      </c>
      <c r="O49" s="10">
        <f>J49/160</f>
        <v/>
      </c>
      <c r="P49" s="10" t="n">
        <v>90</v>
      </c>
      <c r="Q49" s="10">
        <f>L49+M49+N49+O49-P49</f>
        <v/>
      </c>
      <c r="R49" s="11">
        <f>T48</f>
        <v/>
      </c>
      <c r="S49" s="11">
        <f>N(V49) + N(X49) + N(Z49)</f>
        <v/>
      </c>
      <c r="T49" s="11">
        <f>R49+P49-S49</f>
        <v/>
      </c>
      <c r="U49" s="11" t="inlineStr">
        <is>
          <t>是</t>
        </is>
      </c>
      <c r="V49" s="11" t="n">
        <v>47</v>
      </c>
      <c r="W49" s="11" t="inlineStr">
        <is>
          <t>是</t>
        </is>
      </c>
      <c r="X49" s="11" t="n">
        <v>48</v>
      </c>
      <c r="Y49" s="11" t="inlineStr">
        <is>
          <t>-</t>
        </is>
      </c>
      <c r="Z49" s="11" t="n">
        <v>0</v>
      </c>
      <c r="AA49" s="11" t="inlineStr">
        <is>
          <t>无</t>
        </is>
      </c>
      <c r="AB49" s="12">
        <f>AE48</f>
        <v/>
      </c>
      <c r="AC49" s="12" t="n">
        <v>0</v>
      </c>
      <c r="AD49" s="12" t="n">
        <v>0</v>
      </c>
      <c r="AE49" s="12">
        <f>AB49+AC49+AD49</f>
        <v/>
      </c>
      <c r="AF49" s="13">
        <f>AI48</f>
        <v/>
      </c>
      <c r="AG49" s="13" t="n">
        <v>0</v>
      </c>
      <c r="AH49" s="13" t="n">
        <v>0</v>
      </c>
      <c r="AI49" s="13">
        <f>AF49+AG49+AH49</f>
        <v/>
      </c>
      <c r="AJ49" s="14" t="n">
        <v>0</v>
      </c>
      <c r="AK49" s="14" t="n">
        <v>0</v>
      </c>
      <c r="AL49" s="14" t="n">
        <v>0</v>
      </c>
      <c r="AM49" s="14">
        <f>AJ49+AK49+AL49</f>
        <v/>
      </c>
      <c r="AN49" s="14">
        <f>AN48+AM49</f>
        <v/>
      </c>
    </row>
    <row r="50">
      <c r="A50" s="8" t="n">
        <v>2</v>
      </c>
      <c r="B50" s="8" t="n">
        <v>12</v>
      </c>
      <c r="C50" s="8" t="n">
        <v>1</v>
      </c>
      <c r="D50" s="8" t="inlineStr">
        <is>
          <t>版本免费+义相逢 + 月卡收益 [月卡续费-30元]</t>
        </is>
      </c>
      <c r="E50" s="9">
        <f>K49</f>
        <v/>
      </c>
      <c r="F50" s="9" t="n">
        <v>1540</v>
      </c>
      <c r="G50" s="9" t="n">
        <v>4800</v>
      </c>
      <c r="H50" s="9" t="n">
        <v>0</v>
      </c>
      <c r="I50" s="9" t="n">
        <v>0</v>
      </c>
      <c r="J50" s="9" t="n">
        <v>0</v>
      </c>
      <c r="K50" s="9">
        <f>E50+F50+G50+H50+I50-J50</f>
        <v/>
      </c>
      <c r="L50" s="10">
        <f>Q49</f>
        <v/>
      </c>
      <c r="M50" s="10" t="n">
        <v>85</v>
      </c>
      <c r="N50" s="10" t="n">
        <v>6</v>
      </c>
      <c r="O50" s="10">
        <f>J50/160</f>
        <v/>
      </c>
      <c r="P50" s="10" t="n">
        <v>60</v>
      </c>
      <c r="Q50" s="10">
        <f>L50+M50+N50+O50-P50</f>
        <v/>
      </c>
      <c r="R50" s="11">
        <f>T49</f>
        <v/>
      </c>
      <c r="S50" s="11">
        <f>N(V50) + N(X50) + N(Z50)</f>
        <v/>
      </c>
      <c r="T50" s="11">
        <f>R50+P50-S50</f>
        <v/>
      </c>
      <c r="U50" s="11" t="inlineStr">
        <is>
          <t>是</t>
        </is>
      </c>
      <c r="V50" s="11" t="n">
        <v>53</v>
      </c>
      <c r="W50" s="11" t="inlineStr">
        <is>
          <t>否</t>
        </is>
      </c>
      <c r="X50" s="11" t="inlineStr">
        <is>
          <t>-</t>
        </is>
      </c>
      <c r="Y50" s="11" t="inlineStr">
        <is>
          <t>-</t>
        </is>
      </c>
      <c r="Z50" s="11" t="n">
        <v>0</v>
      </c>
      <c r="AA50" s="11" t="inlineStr">
        <is>
          <t>垫到60抽</t>
        </is>
      </c>
      <c r="AB50" s="12">
        <f>AE49</f>
        <v/>
      </c>
      <c r="AC50" s="12" t="n">
        <v>4</v>
      </c>
      <c r="AD50" s="12" t="n">
        <v>0</v>
      </c>
      <c r="AE50" s="12">
        <f>AB50+AC50+AD50</f>
        <v/>
      </c>
      <c r="AF50" s="13">
        <f>AI49</f>
        <v/>
      </c>
      <c r="AG50" s="13" t="n">
        <v>0</v>
      </c>
      <c r="AH50" s="13" t="n">
        <v>0</v>
      </c>
      <c r="AI50" s="13">
        <f>AF50+AG50+AH50</f>
        <v/>
      </c>
      <c r="AJ50" s="14" t="n">
        <v>30</v>
      </c>
      <c r="AK50" s="14" t="n">
        <v>50</v>
      </c>
      <c r="AL50" s="14" t="n">
        <v>0</v>
      </c>
      <c r="AM50" s="14">
        <f>AJ50+AK50+AL50</f>
        <v/>
      </c>
      <c r="AN50" s="14">
        <f>AN49+AM50</f>
        <v/>
      </c>
    </row>
    <row r="51">
      <c r="A51" s="8" t="n">
        <v>2</v>
      </c>
      <c r="B51" s="8" t="n">
        <v>12</v>
      </c>
      <c r="C51" s="8" t="n">
        <v>2</v>
      </c>
      <c r="D51" s="8" t="inlineStr">
        <is>
          <t>月卡收益</t>
        </is>
      </c>
      <c r="E51" s="9">
        <f>K50</f>
        <v/>
      </c>
      <c r="F51" s="9" t="n">
        <v>1540</v>
      </c>
      <c r="G51" s="9" t="n">
        <v>0</v>
      </c>
      <c r="H51" s="9" t="n">
        <v>0</v>
      </c>
      <c r="I51" s="9" t="n">
        <v>0</v>
      </c>
      <c r="J51" s="9" t="n">
        <v>160</v>
      </c>
      <c r="K51" s="9">
        <f>E51+F51+G51+H51+I51-J51</f>
        <v/>
      </c>
      <c r="L51" s="10">
        <f>Q50</f>
        <v/>
      </c>
      <c r="M51" s="10" t="n">
        <v>0</v>
      </c>
      <c r="N51" s="10" t="n">
        <v>3</v>
      </c>
      <c r="O51" s="10">
        <f>J51/160</f>
        <v/>
      </c>
      <c r="P51" s="10" t="n">
        <v>40</v>
      </c>
      <c r="Q51" s="10">
        <f>L51+M51+N51+O51-P51</f>
        <v/>
      </c>
      <c r="R51" s="11">
        <f>T50</f>
        <v/>
      </c>
      <c r="S51" s="11">
        <f>N(V51) + N(X51) + N(Z51)</f>
        <v/>
      </c>
      <c r="T51" s="11">
        <f>R51+P51-S51</f>
        <v/>
      </c>
      <c r="U51" s="11" t="inlineStr">
        <is>
          <t>是</t>
        </is>
      </c>
      <c r="V51" s="11" t="n">
        <v>49</v>
      </c>
      <c r="W51" s="11" t="inlineStr">
        <is>
          <t>否</t>
        </is>
      </c>
      <c r="X51" s="11" t="inlineStr">
        <is>
          <t>-</t>
        </is>
      </c>
      <c r="Y51" s="11" t="inlineStr">
        <is>
          <t>-</t>
        </is>
      </c>
      <c r="Z51" s="11" t="n">
        <v>0</v>
      </c>
      <c r="AA51" s="11" t="inlineStr">
        <is>
          <t>无</t>
        </is>
      </c>
      <c r="AB51" s="12">
        <f>AE50</f>
        <v/>
      </c>
      <c r="AC51" s="12" t="n">
        <v>0</v>
      </c>
      <c r="AD51" s="12" t="n">
        <v>0</v>
      </c>
      <c r="AE51" s="12">
        <f>AB51+AC51+AD51</f>
        <v/>
      </c>
      <c r="AF51" s="13">
        <f>AI50</f>
        <v/>
      </c>
      <c r="AG51" s="13" t="n">
        <v>0</v>
      </c>
      <c r="AH51" s="13" t="n">
        <v>0</v>
      </c>
      <c r="AI51" s="13">
        <f>AF51+AG51+AH51</f>
        <v/>
      </c>
      <c r="AJ51" s="14" t="n">
        <v>0</v>
      </c>
      <c r="AK51" s="14" t="n">
        <v>0</v>
      </c>
      <c r="AL51" s="14" t="n">
        <v>0</v>
      </c>
      <c r="AM51" s="14">
        <f>AJ51+AK51+AL51</f>
        <v/>
      </c>
      <c r="AN51" s="14">
        <f>AN50+AM51</f>
        <v/>
      </c>
    </row>
    <row r="52">
      <c r="A52" s="8" t="n">
        <v>2</v>
      </c>
      <c r="B52" s="8" t="n">
        <v>13</v>
      </c>
      <c r="C52" s="8" t="n">
        <v>1</v>
      </c>
      <c r="D52" s="8" t="inlineStr">
        <is>
          <t>版本免费+义相逢 + 月卡收益 [月卡续费-30元]</t>
        </is>
      </c>
      <c r="E52" s="9">
        <f>K51</f>
        <v/>
      </c>
      <c r="F52" s="9" t="n">
        <v>1540</v>
      </c>
      <c r="G52" s="9" t="n">
        <v>4800</v>
      </c>
      <c r="H52" s="9" t="n">
        <v>0</v>
      </c>
      <c r="I52" s="9" t="n">
        <v>0</v>
      </c>
      <c r="J52" s="9" t="n">
        <v>0</v>
      </c>
      <c r="K52" s="9">
        <f>E52+F52+G52+H52+I52-J52</f>
        <v/>
      </c>
      <c r="L52" s="10">
        <f>Q51</f>
        <v/>
      </c>
      <c r="M52" s="10" t="n">
        <v>85</v>
      </c>
      <c r="N52" s="10" t="n">
        <v>6</v>
      </c>
      <c r="O52" s="10">
        <f>J52/160</f>
        <v/>
      </c>
      <c r="P52" s="10" t="n">
        <v>60</v>
      </c>
      <c r="Q52" s="10">
        <f>L52+M52+N52+O52-P52</f>
        <v/>
      </c>
      <c r="R52" s="11">
        <f>T51</f>
        <v/>
      </c>
      <c r="S52" s="11">
        <f>N(V52) + N(X52) + N(Z52)</f>
        <v/>
      </c>
      <c r="T52" s="11">
        <f>R52+P52-S52</f>
        <v/>
      </c>
      <c r="U52" s="11" t="inlineStr">
        <is>
          <t>是</t>
        </is>
      </c>
      <c r="V52" s="11" t="n">
        <v>51</v>
      </c>
      <c r="W52" s="11" t="inlineStr">
        <is>
          <t>否</t>
        </is>
      </c>
      <c r="X52" s="11" t="inlineStr">
        <is>
          <t>-</t>
        </is>
      </c>
      <c r="Y52" s="11" t="inlineStr">
        <is>
          <t>-</t>
        </is>
      </c>
      <c r="Z52" s="11" t="n">
        <v>0</v>
      </c>
      <c r="AA52" s="11" t="inlineStr">
        <is>
          <t>垫到60抽</t>
        </is>
      </c>
      <c r="AB52" s="12">
        <f>AE51</f>
        <v/>
      </c>
      <c r="AC52" s="12" t="n">
        <v>4</v>
      </c>
      <c r="AD52" s="12" t="n">
        <v>0</v>
      </c>
      <c r="AE52" s="12">
        <f>AB52+AC52+AD52</f>
        <v/>
      </c>
      <c r="AF52" s="13">
        <f>AI51</f>
        <v/>
      </c>
      <c r="AG52" s="13" t="n">
        <v>0</v>
      </c>
      <c r="AH52" s="13" t="n">
        <v>0</v>
      </c>
      <c r="AI52" s="13">
        <f>AF52+AG52+AH52</f>
        <v/>
      </c>
      <c r="AJ52" s="14" t="n">
        <v>30</v>
      </c>
      <c r="AK52" s="14" t="n">
        <v>50</v>
      </c>
      <c r="AL52" s="14" t="n">
        <v>0</v>
      </c>
      <c r="AM52" s="14">
        <f>AJ52+AK52+AL52</f>
        <v/>
      </c>
      <c r="AN52" s="14">
        <f>AN51+AM52</f>
        <v/>
      </c>
    </row>
    <row r="53">
      <c r="A53" s="8" t="n">
        <v>2</v>
      </c>
      <c r="B53" s="8" t="n">
        <v>13</v>
      </c>
      <c r="C53" s="8" t="n">
        <v>2</v>
      </c>
      <c r="D53" s="8" t="inlineStr">
        <is>
          <t>月卡收益</t>
        </is>
      </c>
      <c r="E53" s="9">
        <f>K52</f>
        <v/>
      </c>
      <c r="F53" s="9" t="n">
        <v>1540</v>
      </c>
      <c r="G53" s="9" t="n">
        <v>0</v>
      </c>
      <c r="H53" s="9" t="n">
        <v>0</v>
      </c>
      <c r="I53" s="9" t="n">
        <v>0</v>
      </c>
      <c r="J53" s="9" t="n">
        <v>960</v>
      </c>
      <c r="K53" s="9">
        <f>E53+F53+G53+H53+I53-J53</f>
        <v/>
      </c>
      <c r="L53" s="10">
        <f>Q52</f>
        <v/>
      </c>
      <c r="M53" s="10" t="n">
        <v>0</v>
      </c>
      <c r="N53" s="10" t="n">
        <v>3</v>
      </c>
      <c r="O53" s="10">
        <f>J53/160</f>
        <v/>
      </c>
      <c r="P53" s="10" t="n">
        <v>40</v>
      </c>
      <c r="Q53" s="10">
        <f>L53+M53+N53+O53-P53</f>
        <v/>
      </c>
      <c r="R53" s="11">
        <f>T52</f>
        <v/>
      </c>
      <c r="S53" s="11">
        <f>N(V53) + N(X53) + N(Z53)</f>
        <v/>
      </c>
      <c r="T53" s="11">
        <f>R53+P53-S53</f>
        <v/>
      </c>
      <c r="U53" s="11" t="inlineStr">
        <is>
          <t>是</t>
        </is>
      </c>
      <c r="V53" s="11" t="n">
        <v>46</v>
      </c>
      <c r="W53" s="11" t="inlineStr">
        <is>
          <t>否</t>
        </is>
      </c>
      <c r="X53" s="11" t="inlineStr">
        <is>
          <t>-</t>
        </is>
      </c>
      <c r="Y53" s="11" t="inlineStr">
        <is>
          <t>-</t>
        </is>
      </c>
      <c r="Z53" s="11" t="n">
        <v>0</v>
      </c>
      <c r="AA53" s="11" t="inlineStr">
        <is>
          <t>无</t>
        </is>
      </c>
      <c r="AB53" s="12">
        <f>AE52</f>
        <v/>
      </c>
      <c r="AC53" s="12" t="n">
        <v>0</v>
      </c>
      <c r="AD53" s="12" t="n">
        <v>0</v>
      </c>
      <c r="AE53" s="12">
        <f>AB53+AC53+AD53</f>
        <v/>
      </c>
      <c r="AF53" s="13">
        <f>AI52</f>
        <v/>
      </c>
      <c r="AG53" s="13" t="n">
        <v>0</v>
      </c>
      <c r="AH53" s="13" t="n">
        <v>0</v>
      </c>
      <c r="AI53" s="13">
        <f>AF53+AG53+AH53</f>
        <v/>
      </c>
      <c r="AJ53" s="14" t="n">
        <v>0</v>
      </c>
      <c r="AK53" s="14" t="n">
        <v>0</v>
      </c>
      <c r="AL53" s="14" t="n">
        <v>0</v>
      </c>
      <c r="AM53" s="14">
        <f>AJ53+AK53+AL53</f>
        <v/>
      </c>
      <c r="AN53" s="14">
        <f>AN52+AM53</f>
        <v/>
      </c>
    </row>
    <row r="54">
      <c r="A54" s="8" t="n">
        <v>3</v>
      </c>
      <c r="B54" s="8" t="n">
        <v>1</v>
      </c>
      <c r="C54" s="8" t="n">
        <v>1</v>
      </c>
      <c r="D54" s="8" t="inlineStr">
        <is>
          <t>版本免费+义相逢 + 月卡收益 [月卡续费-30元]</t>
        </is>
      </c>
      <c r="E54" s="9" t="n">
        <v>29040</v>
      </c>
      <c r="F54" s="9" t="n">
        <v>1540</v>
      </c>
      <c r="G54" s="9" t="n">
        <v>4800</v>
      </c>
      <c r="H54" s="9" t="n">
        <v>0</v>
      </c>
      <c r="I54" s="9" t="n">
        <v>0</v>
      </c>
      <c r="J54" s="9" t="n">
        <v>0</v>
      </c>
      <c r="K54" s="9">
        <f>E54+F54+G54+H54+I54-J54</f>
        <v/>
      </c>
      <c r="L54" s="10" t="n">
        <v>0</v>
      </c>
      <c r="M54" s="10" t="n">
        <v>85</v>
      </c>
      <c r="N54" s="10" t="n">
        <v>6</v>
      </c>
      <c r="O54" s="10">
        <f>J54/160</f>
        <v/>
      </c>
      <c r="P54" s="10" t="n">
        <v>60</v>
      </c>
      <c r="Q54" s="10">
        <f>L54+M54+N54+O54-P54</f>
        <v/>
      </c>
      <c r="R54" s="11" t="n">
        <v>9</v>
      </c>
      <c r="S54" s="11">
        <f>N(V54) + N(X54) + N(Z54)</f>
        <v/>
      </c>
      <c r="T54" s="11">
        <f>R54+P54-S54</f>
        <v/>
      </c>
      <c r="U54" s="11" t="inlineStr">
        <is>
          <t>是</t>
        </is>
      </c>
      <c r="V54" s="11" t="n">
        <v>52</v>
      </c>
      <c r="W54" s="11" t="inlineStr">
        <is>
          <t>否</t>
        </is>
      </c>
      <c r="X54" s="11" t="inlineStr">
        <is>
          <t>-</t>
        </is>
      </c>
      <c r="Y54" s="11" t="inlineStr">
        <is>
          <t>-</t>
        </is>
      </c>
      <c r="Z54" s="11" t="n">
        <v>0</v>
      </c>
      <c r="AA54" s="11" t="inlineStr">
        <is>
          <t>垫到60抽</t>
        </is>
      </c>
      <c r="AB54" s="12" t="n">
        <v>106</v>
      </c>
      <c r="AC54" s="12" t="n">
        <v>4</v>
      </c>
      <c r="AD54" s="12" t="n">
        <v>0</v>
      </c>
      <c r="AE54" s="12">
        <f>AB54+AC54+AD54</f>
        <v/>
      </c>
      <c r="AF54" s="13" t="n">
        <v>10000</v>
      </c>
      <c r="AG54" s="13" t="n">
        <v>0</v>
      </c>
      <c r="AH54" s="13" t="n">
        <v>0</v>
      </c>
      <c r="AI54" s="13">
        <f>AF54+AG54+AH54</f>
        <v/>
      </c>
      <c r="AJ54" s="14" t="n">
        <v>30</v>
      </c>
      <c r="AK54" s="14" t="n">
        <v>50</v>
      </c>
      <c r="AL54" s="14" t="n">
        <v>0</v>
      </c>
      <c r="AM54" s="14">
        <f>AJ54+AK54+AL54</f>
        <v/>
      </c>
      <c r="AN54" s="14">
        <f>AM54</f>
        <v/>
      </c>
    </row>
    <row r="55">
      <c r="A55" s="8" t="n">
        <v>3</v>
      </c>
      <c r="B55" s="8" t="n">
        <v>1</v>
      </c>
      <c r="C55" s="8" t="n">
        <v>2</v>
      </c>
      <c r="D55" s="8" t="inlineStr">
        <is>
          <t>月卡收益</t>
        </is>
      </c>
      <c r="E55" s="9">
        <f>K54</f>
        <v/>
      </c>
      <c r="F55" s="9" t="n">
        <v>1540</v>
      </c>
      <c r="G55" s="9" t="n">
        <v>0</v>
      </c>
      <c r="H55" s="9" t="n">
        <v>0</v>
      </c>
      <c r="I55" s="9" t="n">
        <v>0</v>
      </c>
      <c r="J55" s="9" t="n">
        <v>8480</v>
      </c>
      <c r="K55" s="9">
        <f>E55+F55+G55+H55+I55-J55</f>
        <v/>
      </c>
      <c r="L55" s="10">
        <f>Q54</f>
        <v/>
      </c>
      <c r="M55" s="10" t="n">
        <v>0</v>
      </c>
      <c r="N55" s="10" t="n">
        <v>11</v>
      </c>
      <c r="O55" s="10">
        <f>J55/160</f>
        <v/>
      </c>
      <c r="P55" s="10" t="n">
        <v>90</v>
      </c>
      <c r="Q55" s="10">
        <f>L55+M55+N55+O55-P55</f>
        <v/>
      </c>
      <c r="R55" s="11">
        <f>T54</f>
        <v/>
      </c>
      <c r="S55" s="11">
        <f>N(V55) + N(X55) + N(Z55)</f>
        <v/>
      </c>
      <c r="T55" s="11">
        <f>R55+P55-S55</f>
        <v/>
      </c>
      <c r="U55" s="11" t="inlineStr">
        <is>
          <t>是</t>
        </is>
      </c>
      <c r="V55" s="11" t="n">
        <v>50</v>
      </c>
      <c r="W55" s="11" t="inlineStr">
        <is>
          <t>是</t>
        </is>
      </c>
      <c r="X55" s="11" t="n">
        <v>49</v>
      </c>
      <c r="Y55" s="11" t="inlineStr">
        <is>
          <t>-</t>
        </is>
      </c>
      <c r="Z55" s="11" t="n">
        <v>0</v>
      </c>
      <c r="AA55" s="11" t="inlineStr">
        <is>
          <t>无</t>
        </is>
      </c>
      <c r="AB55" s="12">
        <f>AE54</f>
        <v/>
      </c>
      <c r="AC55" s="12" t="n">
        <v>0</v>
      </c>
      <c r="AD55" s="12" t="n">
        <v>0</v>
      </c>
      <c r="AE55" s="12">
        <f>AB55+AC55+AD55</f>
        <v/>
      </c>
      <c r="AF55" s="13">
        <f>AI54</f>
        <v/>
      </c>
      <c r="AG55" s="13" t="n">
        <v>0</v>
      </c>
      <c r="AH55" s="13" t="n">
        <v>0</v>
      </c>
      <c r="AI55" s="13">
        <f>AF55+AG55+AH55</f>
        <v/>
      </c>
      <c r="AJ55" s="14" t="n">
        <v>0</v>
      </c>
      <c r="AK55" s="14" t="n">
        <v>0</v>
      </c>
      <c r="AL55" s="14" t="n">
        <v>0</v>
      </c>
      <c r="AM55" s="14">
        <f>AJ55+AK55+AL55</f>
        <v/>
      </c>
      <c r="AN55" s="14">
        <f>AN54+AM55</f>
        <v/>
      </c>
    </row>
    <row r="56">
      <c r="A56" s="8" t="n">
        <v>3</v>
      </c>
      <c r="B56" s="8" t="n">
        <v>2</v>
      </c>
      <c r="C56" s="8" t="n">
        <v>1</v>
      </c>
      <c r="D56" s="8" t="inlineStr">
        <is>
          <t>版本免费+义相逢 + 月卡收益 [月卡续费-30元]</t>
        </is>
      </c>
      <c r="E56" s="9">
        <f>K55</f>
        <v/>
      </c>
      <c r="F56" s="9" t="n">
        <v>1540</v>
      </c>
      <c r="G56" s="9" t="n">
        <v>4800</v>
      </c>
      <c r="H56" s="9" t="n">
        <v>0</v>
      </c>
      <c r="I56" s="9" t="n">
        <v>0</v>
      </c>
      <c r="J56" s="9" t="n">
        <v>0</v>
      </c>
      <c r="K56" s="9">
        <f>E56+F56+G56+H56+I56-J56</f>
        <v/>
      </c>
      <c r="L56" s="10">
        <f>Q55</f>
        <v/>
      </c>
      <c r="M56" s="10" t="n">
        <v>85</v>
      </c>
      <c r="N56" s="10" t="n">
        <v>11</v>
      </c>
      <c r="O56" s="10">
        <f>J56/160</f>
        <v/>
      </c>
      <c r="P56" s="10" t="n">
        <v>90</v>
      </c>
      <c r="Q56" s="10">
        <f>L56+M56+N56+O56-P56</f>
        <v/>
      </c>
      <c r="R56" s="11">
        <f>T55</f>
        <v/>
      </c>
      <c r="S56" s="11">
        <f>N(V56) + N(X56) + N(Z56)</f>
        <v/>
      </c>
      <c r="T56" s="11">
        <f>R56+P56-S56</f>
        <v/>
      </c>
      <c r="U56" s="11" t="inlineStr">
        <is>
          <t>是</t>
        </is>
      </c>
      <c r="V56" s="11" t="n">
        <v>47</v>
      </c>
      <c r="W56" s="11" t="inlineStr">
        <is>
          <t>是</t>
        </is>
      </c>
      <c r="X56" s="11" t="n">
        <v>48</v>
      </c>
      <c r="Y56" s="11" t="inlineStr">
        <is>
          <t>-</t>
        </is>
      </c>
      <c r="Z56" s="11" t="n">
        <v>0</v>
      </c>
      <c r="AA56" s="11" t="inlineStr">
        <is>
          <t>无</t>
        </is>
      </c>
      <c r="AB56" s="12">
        <f>AE55</f>
        <v/>
      </c>
      <c r="AC56" s="12" t="n">
        <v>4</v>
      </c>
      <c r="AD56" s="12" t="n">
        <v>0</v>
      </c>
      <c r="AE56" s="12">
        <f>AB56+AC56+AD56</f>
        <v/>
      </c>
      <c r="AF56" s="13">
        <f>AI55</f>
        <v/>
      </c>
      <c r="AG56" s="13" t="n">
        <v>0</v>
      </c>
      <c r="AH56" s="13" t="n">
        <v>0</v>
      </c>
      <c r="AI56" s="13">
        <f>AF56+AG56+AH56</f>
        <v/>
      </c>
      <c r="AJ56" s="14" t="n">
        <v>30</v>
      </c>
      <c r="AK56" s="14" t="n">
        <v>50</v>
      </c>
      <c r="AL56" s="14" t="n">
        <v>0</v>
      </c>
      <c r="AM56" s="14">
        <f>AJ56+AK56+AL56</f>
        <v/>
      </c>
      <c r="AN56" s="14">
        <f>AN55+AM56</f>
        <v/>
      </c>
    </row>
    <row r="57">
      <c r="A57" s="8" t="n">
        <v>3</v>
      </c>
      <c r="B57" s="8" t="n">
        <v>2</v>
      </c>
      <c r="C57" s="8" t="n">
        <v>2</v>
      </c>
      <c r="D57" s="8" t="inlineStr">
        <is>
          <t>月卡收益</t>
        </is>
      </c>
      <c r="E57" s="9">
        <f>K56</f>
        <v/>
      </c>
      <c r="F57" s="9" t="n">
        <v>1540</v>
      </c>
      <c r="G57" s="9" t="n">
        <v>0</v>
      </c>
      <c r="H57" s="9" t="n">
        <v>0</v>
      </c>
      <c r="I57" s="9" t="n">
        <v>0</v>
      </c>
      <c r="J57" s="9" t="n">
        <v>7360</v>
      </c>
      <c r="K57" s="9">
        <f>E57+F57+G57+H57+I57-J57</f>
        <v/>
      </c>
      <c r="L57" s="10">
        <f>Q56</f>
        <v/>
      </c>
      <c r="M57" s="10" t="n">
        <v>0</v>
      </c>
      <c r="N57" s="10" t="n">
        <v>6</v>
      </c>
      <c r="O57" s="10">
        <f>J57/160</f>
        <v/>
      </c>
      <c r="P57" s="10" t="n">
        <v>60</v>
      </c>
      <c r="Q57" s="10">
        <f>L57+M57+N57+O57-P57</f>
        <v/>
      </c>
      <c r="R57" s="11">
        <f>T56</f>
        <v/>
      </c>
      <c r="S57" s="11">
        <f>N(V57) + N(X57) + N(Z57)</f>
        <v/>
      </c>
      <c r="T57" s="11">
        <f>R57+P57-S57</f>
        <v/>
      </c>
      <c r="U57" s="11" t="inlineStr">
        <is>
          <t>是</t>
        </is>
      </c>
      <c r="V57" s="11" t="n">
        <v>50</v>
      </c>
      <c r="W57" s="11" t="inlineStr">
        <is>
          <t>否</t>
        </is>
      </c>
      <c r="X57" s="11" t="inlineStr">
        <is>
          <t>-</t>
        </is>
      </c>
      <c r="Y57" s="11" t="inlineStr">
        <is>
          <t>-</t>
        </is>
      </c>
      <c r="Z57" s="11" t="n">
        <v>0</v>
      </c>
      <c r="AA57" s="11" t="inlineStr">
        <is>
          <t>垫到60抽</t>
        </is>
      </c>
      <c r="AB57" s="12">
        <f>AE56</f>
        <v/>
      </c>
      <c r="AC57" s="12" t="n">
        <v>0</v>
      </c>
      <c r="AD57" s="12" t="n">
        <v>0</v>
      </c>
      <c r="AE57" s="12">
        <f>AB57+AC57+AD57</f>
        <v/>
      </c>
      <c r="AF57" s="13">
        <f>AI56</f>
        <v/>
      </c>
      <c r="AG57" s="13" t="n">
        <v>0</v>
      </c>
      <c r="AH57" s="13" t="n">
        <v>0</v>
      </c>
      <c r="AI57" s="13">
        <f>AF57+AG57+AH57</f>
        <v/>
      </c>
      <c r="AJ57" s="14" t="n">
        <v>0</v>
      </c>
      <c r="AK57" s="14" t="n">
        <v>0</v>
      </c>
      <c r="AL57" s="14" t="n">
        <v>0</v>
      </c>
      <c r="AM57" s="14">
        <f>AJ57+AK57+AL57</f>
        <v/>
      </c>
      <c r="AN57" s="14">
        <f>AN56+AM57</f>
        <v/>
      </c>
    </row>
    <row r="58">
      <c r="A58" s="8" t="n">
        <v>3</v>
      </c>
      <c r="B58" s="8" t="n">
        <v>3</v>
      </c>
      <c r="C58" s="8" t="n">
        <v>1</v>
      </c>
      <c r="D58" s="8" t="inlineStr">
        <is>
          <t>版本免费+义相逢 + 月卡收益 [月卡续费-30元]</t>
        </is>
      </c>
      <c r="E58" s="9">
        <f>K57</f>
        <v/>
      </c>
      <c r="F58" s="9" t="n">
        <v>1540</v>
      </c>
      <c r="G58" s="9" t="n">
        <v>4800</v>
      </c>
      <c r="H58" s="9" t="n">
        <v>0</v>
      </c>
      <c r="I58" s="9" t="n">
        <v>0</v>
      </c>
      <c r="J58" s="9" t="n">
        <v>0</v>
      </c>
      <c r="K58" s="9">
        <f>E58+F58+G58+H58+I58-J58</f>
        <v/>
      </c>
      <c r="L58" s="10">
        <f>Q57</f>
        <v/>
      </c>
      <c r="M58" s="10" t="n">
        <v>85</v>
      </c>
      <c r="N58" s="10" t="n">
        <v>3</v>
      </c>
      <c r="O58" s="10">
        <f>J58/160</f>
        <v/>
      </c>
      <c r="P58" s="10" t="n">
        <v>40</v>
      </c>
      <c r="Q58" s="10">
        <f>L58+M58+N58+O58-P58</f>
        <v/>
      </c>
      <c r="R58" s="11">
        <f>T57</f>
        <v/>
      </c>
      <c r="S58" s="11">
        <f>N(V58) + N(X58) + N(Z58)</f>
        <v/>
      </c>
      <c r="T58" s="11">
        <f>R58+P58-S58</f>
        <v/>
      </c>
      <c r="U58" s="11" t="inlineStr">
        <is>
          <t>是</t>
        </is>
      </c>
      <c r="V58" s="11" t="n">
        <v>46</v>
      </c>
      <c r="W58" s="11" t="inlineStr">
        <is>
          <t>否</t>
        </is>
      </c>
      <c r="X58" s="11" t="inlineStr">
        <is>
          <t>-</t>
        </is>
      </c>
      <c r="Y58" s="11" t="inlineStr">
        <is>
          <t>-</t>
        </is>
      </c>
      <c r="Z58" s="11" t="n">
        <v>0</v>
      </c>
      <c r="AA58" s="11" t="inlineStr">
        <is>
          <t>无</t>
        </is>
      </c>
      <c r="AB58" s="12">
        <f>AE57</f>
        <v/>
      </c>
      <c r="AC58" s="12" t="n">
        <v>4</v>
      </c>
      <c r="AD58" s="12" t="n">
        <v>0</v>
      </c>
      <c r="AE58" s="12">
        <f>AB58+AC58+AD58</f>
        <v/>
      </c>
      <c r="AF58" s="13">
        <f>AI57</f>
        <v/>
      </c>
      <c r="AG58" s="13" t="n">
        <v>0</v>
      </c>
      <c r="AH58" s="13" t="n">
        <v>0</v>
      </c>
      <c r="AI58" s="13">
        <f>AF58+AG58+AH58</f>
        <v/>
      </c>
      <c r="AJ58" s="14" t="n">
        <v>30</v>
      </c>
      <c r="AK58" s="14" t="n">
        <v>50</v>
      </c>
      <c r="AL58" s="14" t="n">
        <v>0</v>
      </c>
      <c r="AM58" s="14">
        <f>AJ58+AK58+AL58</f>
        <v/>
      </c>
      <c r="AN58" s="14">
        <f>AN57+AM58</f>
        <v/>
      </c>
    </row>
    <row r="59">
      <c r="A59" s="8" t="n">
        <v>3</v>
      </c>
      <c r="B59" s="8" t="n">
        <v>3</v>
      </c>
      <c r="C59" s="8" t="n">
        <v>2</v>
      </c>
      <c r="D59" s="8" t="inlineStr">
        <is>
          <t>月卡收益</t>
        </is>
      </c>
      <c r="E59" s="9">
        <f>K58</f>
        <v/>
      </c>
      <c r="F59" s="9" t="n">
        <v>1540</v>
      </c>
      <c r="G59" s="9" t="n">
        <v>0</v>
      </c>
      <c r="H59" s="9" t="n">
        <v>0</v>
      </c>
      <c r="I59" s="9" t="n">
        <v>0</v>
      </c>
      <c r="J59" s="9" t="n">
        <v>960</v>
      </c>
      <c r="K59" s="9">
        <f>E59+F59+G59+H59+I59-J59</f>
        <v/>
      </c>
      <c r="L59" s="10">
        <f>Q58</f>
        <v/>
      </c>
      <c r="M59" s="10" t="n">
        <v>0</v>
      </c>
      <c r="N59" s="10" t="n">
        <v>6</v>
      </c>
      <c r="O59" s="10">
        <f>J59/160</f>
        <v/>
      </c>
      <c r="P59" s="10" t="n">
        <v>60</v>
      </c>
      <c r="Q59" s="10">
        <f>L59+M59+N59+O59-P59</f>
        <v/>
      </c>
      <c r="R59" s="11">
        <f>T58</f>
        <v/>
      </c>
      <c r="S59" s="11">
        <f>N(V59) + N(X59) + N(Z59)</f>
        <v/>
      </c>
      <c r="T59" s="11">
        <f>R59+P59-S59</f>
        <v/>
      </c>
      <c r="U59" s="11" t="inlineStr">
        <is>
          <t>是</t>
        </is>
      </c>
      <c r="V59" s="11" t="n">
        <v>49</v>
      </c>
      <c r="W59" s="11" t="inlineStr">
        <is>
          <t>否</t>
        </is>
      </c>
      <c r="X59" s="11" t="inlineStr">
        <is>
          <t>-</t>
        </is>
      </c>
      <c r="Y59" s="11" t="inlineStr">
        <is>
          <t>-</t>
        </is>
      </c>
      <c r="Z59" s="11" t="n">
        <v>0</v>
      </c>
      <c r="AA59" s="11" t="inlineStr">
        <is>
          <t>垫到60抽</t>
        </is>
      </c>
      <c r="AB59" s="12">
        <f>AE58</f>
        <v/>
      </c>
      <c r="AC59" s="12" t="n">
        <v>0</v>
      </c>
      <c r="AD59" s="12" t="n">
        <v>0</v>
      </c>
      <c r="AE59" s="12">
        <f>AB59+AC59+AD59</f>
        <v/>
      </c>
      <c r="AF59" s="13">
        <f>AI58</f>
        <v/>
      </c>
      <c r="AG59" s="13" t="n">
        <v>0</v>
      </c>
      <c r="AH59" s="13" t="n">
        <v>0</v>
      </c>
      <c r="AI59" s="13">
        <f>AF59+AG59+AH59</f>
        <v/>
      </c>
      <c r="AJ59" s="14" t="n">
        <v>0</v>
      </c>
      <c r="AK59" s="14" t="n">
        <v>0</v>
      </c>
      <c r="AL59" s="14" t="n">
        <v>0</v>
      </c>
      <c r="AM59" s="14">
        <f>AJ59+AK59+AL59</f>
        <v/>
      </c>
      <c r="AN59" s="14">
        <f>AN58+AM59</f>
        <v/>
      </c>
    </row>
    <row r="60">
      <c r="A60" s="8" t="n">
        <v>3</v>
      </c>
      <c r="B60" s="8" t="n">
        <v>4</v>
      </c>
      <c r="C60" s="8" t="n">
        <v>1</v>
      </c>
      <c r="D60" s="8" t="inlineStr">
        <is>
          <t>版本免费+义相逢 + 月卡收益 [月卡续费-30元]</t>
        </is>
      </c>
      <c r="E60" s="9">
        <f>K59</f>
        <v/>
      </c>
      <c r="F60" s="9" t="n">
        <v>1540</v>
      </c>
      <c r="G60" s="9" t="n">
        <v>4800</v>
      </c>
      <c r="H60" s="9" t="n">
        <v>0</v>
      </c>
      <c r="I60" s="9" t="n">
        <v>0</v>
      </c>
      <c r="J60" s="9" t="n">
        <v>0</v>
      </c>
      <c r="K60" s="9">
        <f>E60+F60+G60+H60+I60-J60</f>
        <v/>
      </c>
      <c r="L60" s="10">
        <f>Q59</f>
        <v/>
      </c>
      <c r="M60" s="10" t="n">
        <v>85</v>
      </c>
      <c r="N60" s="10" t="n">
        <v>3</v>
      </c>
      <c r="O60" s="10">
        <f>J60/160</f>
        <v/>
      </c>
      <c r="P60" s="10" t="n">
        <v>30</v>
      </c>
      <c r="Q60" s="10">
        <f>L60+M60+N60+O60-P60</f>
        <v/>
      </c>
      <c r="R60" s="11">
        <f>T59</f>
        <v/>
      </c>
      <c r="S60" s="11">
        <f>N(V60) + N(X60) + N(Z60)</f>
        <v/>
      </c>
      <c r="T60" s="11">
        <f>R60+P60-S60</f>
        <v/>
      </c>
      <c r="U60" s="11" t="inlineStr">
        <is>
          <t>是</t>
        </is>
      </c>
      <c r="V60" s="11" t="n">
        <v>48</v>
      </c>
      <c r="W60" s="11" t="inlineStr">
        <is>
          <t>否</t>
        </is>
      </c>
      <c r="X60" s="11" t="inlineStr">
        <is>
          <t>-</t>
        </is>
      </c>
      <c r="Y60" s="11" t="inlineStr">
        <is>
          <t>-</t>
        </is>
      </c>
      <c r="Z60" s="11" t="n">
        <v>0</v>
      </c>
      <c r="AA60" s="11" t="inlineStr">
        <is>
          <t>无</t>
        </is>
      </c>
      <c r="AB60" s="12">
        <f>AE59</f>
        <v/>
      </c>
      <c r="AC60" s="12" t="n">
        <v>4</v>
      </c>
      <c r="AD60" s="12" t="n">
        <v>0</v>
      </c>
      <c r="AE60" s="12">
        <f>AB60+AC60+AD60</f>
        <v/>
      </c>
      <c r="AF60" s="13">
        <f>AI59</f>
        <v/>
      </c>
      <c r="AG60" s="13" t="n">
        <v>0</v>
      </c>
      <c r="AH60" s="13" t="n">
        <v>0</v>
      </c>
      <c r="AI60" s="13">
        <f>AF60+AG60+AH60</f>
        <v/>
      </c>
      <c r="AJ60" s="14" t="n">
        <v>30</v>
      </c>
      <c r="AK60" s="14" t="n">
        <v>50</v>
      </c>
      <c r="AL60" s="14" t="n">
        <v>0</v>
      </c>
      <c r="AM60" s="14">
        <f>AJ60+AK60+AL60</f>
        <v/>
      </c>
      <c r="AN60" s="14">
        <f>AN59+AM60</f>
        <v/>
      </c>
    </row>
    <row r="61">
      <c r="A61" s="8" t="n">
        <v>3</v>
      </c>
      <c r="B61" s="8" t="n">
        <v>4</v>
      </c>
      <c r="C61" s="8" t="n">
        <v>2</v>
      </c>
      <c r="D61" s="8" t="inlineStr">
        <is>
          <t>月卡收益</t>
        </is>
      </c>
      <c r="E61" s="9">
        <f>K60</f>
        <v/>
      </c>
      <c r="F61" s="9" t="n">
        <v>1540</v>
      </c>
      <c r="G61" s="9" t="n">
        <v>0</v>
      </c>
      <c r="H61" s="9" t="n">
        <v>0</v>
      </c>
      <c r="I61" s="9" t="n">
        <v>0</v>
      </c>
      <c r="J61" s="9" t="n">
        <v>0</v>
      </c>
      <c r="K61" s="9">
        <f>E61+F61+G61+H61+I61-J61</f>
        <v/>
      </c>
      <c r="L61" s="10">
        <f>Q60</f>
        <v/>
      </c>
      <c r="M61" s="10" t="n">
        <v>0</v>
      </c>
      <c r="N61" s="10" t="n">
        <v>6</v>
      </c>
      <c r="O61" s="10">
        <f>J61/160</f>
        <v/>
      </c>
      <c r="P61" s="10" t="n">
        <v>60</v>
      </c>
      <c r="Q61" s="10">
        <f>L61+M61+N61+O61-P61</f>
        <v/>
      </c>
      <c r="R61" s="11">
        <f>T60</f>
        <v/>
      </c>
      <c r="S61" s="11">
        <f>N(V61) + N(X61) + N(Z61)</f>
        <v/>
      </c>
      <c r="T61" s="11">
        <f>R61+P61-S61</f>
        <v/>
      </c>
      <c r="U61" s="11" t="inlineStr">
        <is>
          <t>是</t>
        </is>
      </c>
      <c r="V61" s="11" t="n">
        <v>48</v>
      </c>
      <c r="W61" s="11" t="inlineStr">
        <is>
          <t>否</t>
        </is>
      </c>
      <c r="X61" s="11" t="inlineStr">
        <is>
          <t>-</t>
        </is>
      </c>
      <c r="Y61" s="11" t="inlineStr">
        <is>
          <t>-</t>
        </is>
      </c>
      <c r="Z61" s="11" t="n">
        <v>0</v>
      </c>
      <c r="AA61" s="11" t="inlineStr">
        <is>
          <t>垫到60抽</t>
        </is>
      </c>
      <c r="AB61" s="12">
        <f>AE60</f>
        <v/>
      </c>
      <c r="AC61" s="12" t="n">
        <v>0</v>
      </c>
      <c r="AD61" s="12" t="n">
        <v>0</v>
      </c>
      <c r="AE61" s="12">
        <f>AB61+AC61+AD61</f>
        <v/>
      </c>
      <c r="AF61" s="13">
        <f>AI60</f>
        <v/>
      </c>
      <c r="AG61" s="13" t="n">
        <v>0</v>
      </c>
      <c r="AH61" s="13" t="n">
        <v>0</v>
      </c>
      <c r="AI61" s="13">
        <f>AF61+AG61+AH61</f>
        <v/>
      </c>
      <c r="AJ61" s="14" t="n">
        <v>0</v>
      </c>
      <c r="AK61" s="14" t="n">
        <v>0</v>
      </c>
      <c r="AL61" s="14" t="n">
        <v>0</v>
      </c>
      <c r="AM61" s="14">
        <f>AJ61+AK61+AL61</f>
        <v/>
      </c>
      <c r="AN61" s="14">
        <f>AN60+AM61</f>
        <v/>
      </c>
    </row>
    <row r="62">
      <c r="A62" s="8" t="n">
        <v>3</v>
      </c>
      <c r="B62" s="8" t="n">
        <v>5</v>
      </c>
      <c r="C62" s="8" t="n">
        <v>1</v>
      </c>
      <c r="D62" s="8" t="inlineStr">
        <is>
          <t>版本免费+义相逢 + 月卡收益</t>
        </is>
      </c>
      <c r="E62" s="9">
        <f>K61</f>
        <v/>
      </c>
      <c r="F62" s="9" t="n">
        <v>1540</v>
      </c>
      <c r="G62" s="9" t="n">
        <v>4800</v>
      </c>
      <c r="H62" s="9" t="n">
        <v>0</v>
      </c>
      <c r="I62" s="9" t="n">
        <v>0</v>
      </c>
      <c r="J62" s="9" t="n">
        <v>13920</v>
      </c>
      <c r="K62" s="9">
        <f>E62+F62+G62+H62+I62-J62</f>
        <v/>
      </c>
      <c r="L62" s="10">
        <f>Q61</f>
        <v/>
      </c>
      <c r="M62" s="10" t="n">
        <v>85</v>
      </c>
      <c r="N62" s="10" t="n">
        <v>21</v>
      </c>
      <c r="O62" s="10">
        <f>J62/160</f>
        <v/>
      </c>
      <c r="P62" s="10" t="n">
        <v>200</v>
      </c>
      <c r="Q62" s="10">
        <f>L62+M62+N62+O62-P62</f>
        <v/>
      </c>
      <c r="R62" s="11">
        <f>T61</f>
        <v/>
      </c>
      <c r="S62" s="11">
        <f>N(V62) + N(X62) + N(Z62)</f>
        <v/>
      </c>
      <c r="T62" s="11">
        <f>R62+P62-S62</f>
        <v/>
      </c>
      <c r="U62" s="11" t="inlineStr">
        <is>
          <t>是</t>
        </is>
      </c>
      <c r="V62" s="11" t="n">
        <v>50</v>
      </c>
      <c r="W62" s="11" t="inlineStr">
        <is>
          <t>是</t>
        </is>
      </c>
      <c r="X62" s="11" t="n">
        <v>50</v>
      </c>
      <c r="Y62" s="11" t="inlineStr">
        <is>
          <t>歪(50), UP(52)</t>
        </is>
      </c>
      <c r="Z62" s="11" t="n">
        <v>102</v>
      </c>
      <c r="AA62" s="11" t="inlineStr">
        <is>
          <t>冲刺200(动态80)</t>
        </is>
      </c>
      <c r="AB62" s="12">
        <f>AE61</f>
        <v/>
      </c>
      <c r="AC62" s="12" t="n">
        <v>4</v>
      </c>
      <c r="AD62" s="12" t="n">
        <v>1</v>
      </c>
      <c r="AE62" s="12">
        <f>AB62+AC62+AD62</f>
        <v/>
      </c>
      <c r="AF62" s="13">
        <f>AI61</f>
        <v/>
      </c>
      <c r="AG62" s="13" t="n">
        <v>0</v>
      </c>
      <c r="AH62" s="13" t="n">
        <v>5000</v>
      </c>
      <c r="AI62" s="13">
        <f>AF62+AG62+AH62</f>
        <v/>
      </c>
      <c r="AJ62" s="14" t="n">
        <v>0</v>
      </c>
      <c r="AK62" s="14" t="n">
        <v>50</v>
      </c>
      <c r="AL62" s="14" t="n">
        <v>0</v>
      </c>
      <c r="AM62" s="14">
        <f>AJ62+AK62+AL62</f>
        <v/>
      </c>
      <c r="AN62" s="14">
        <f>AN61+AM62</f>
        <v/>
      </c>
    </row>
    <row r="63">
      <c r="A63" s="8" t="n">
        <v>3</v>
      </c>
      <c r="B63" s="8" t="n">
        <v>5</v>
      </c>
      <c r="C63" s="8" t="n">
        <v>2</v>
      </c>
      <c r="D63" s="8" t="inlineStr">
        <is>
          <t>月卡收益 [月卡续费-30元]</t>
        </is>
      </c>
      <c r="E63" s="9">
        <f>K62</f>
        <v/>
      </c>
      <c r="F63" s="9" t="n">
        <v>1540</v>
      </c>
      <c r="G63" s="9" t="n">
        <v>0</v>
      </c>
      <c r="H63" s="9" t="n">
        <v>0</v>
      </c>
      <c r="I63" s="9" t="n">
        <v>0</v>
      </c>
      <c r="J63" s="9" t="n">
        <v>1600</v>
      </c>
      <c r="K63" s="9">
        <f>E63+F63+G63+H63+I63-J63</f>
        <v/>
      </c>
      <c r="L63" s="10">
        <f>Q62</f>
        <v/>
      </c>
      <c r="M63" s="10" t="n">
        <v>0</v>
      </c>
      <c r="N63" s="10" t="n">
        <v>1</v>
      </c>
      <c r="O63" s="10">
        <f>J63/160</f>
        <v/>
      </c>
      <c r="P63" s="10" t="n">
        <v>10</v>
      </c>
      <c r="Q63" s="10">
        <f>L63+M63+N63+O63-P63</f>
        <v/>
      </c>
      <c r="R63" s="11">
        <f>T62</f>
        <v/>
      </c>
      <c r="S63" s="11">
        <f>N(V63) + N(X63) + N(Z63)</f>
        <v/>
      </c>
      <c r="T63" s="11">
        <f>R63+P63-S63</f>
        <v/>
      </c>
      <c r="U63" s="11" t="inlineStr">
        <is>
          <t>是</t>
        </is>
      </c>
      <c r="V63" s="11" t="n">
        <v>15</v>
      </c>
      <c r="W63" s="11" t="inlineStr">
        <is>
          <t>否</t>
        </is>
      </c>
      <c r="X63" s="11" t="inlineStr">
        <is>
          <t>-</t>
        </is>
      </c>
      <c r="Y63" s="11" t="inlineStr">
        <is>
          <t>-</t>
        </is>
      </c>
      <c r="Z63" s="11" t="n">
        <v>0</v>
      </c>
      <c r="AA63" s="11" t="inlineStr">
        <is>
          <t>无</t>
        </is>
      </c>
      <c r="AB63" s="12">
        <f>AE62</f>
        <v/>
      </c>
      <c r="AC63" s="12" t="n">
        <v>0</v>
      </c>
      <c r="AD63" s="12" t="n">
        <v>0</v>
      </c>
      <c r="AE63" s="12">
        <f>AB63+AC63+AD63</f>
        <v/>
      </c>
      <c r="AF63" s="13">
        <f>AI62</f>
        <v/>
      </c>
      <c r="AG63" s="13" t="n">
        <v>0</v>
      </c>
      <c r="AH63" s="13" t="n">
        <v>0</v>
      </c>
      <c r="AI63" s="13">
        <f>AF63+AG63+AH63</f>
        <v/>
      </c>
      <c r="AJ63" s="14" t="n">
        <v>30</v>
      </c>
      <c r="AK63" s="14" t="n">
        <v>0</v>
      </c>
      <c r="AL63" s="14" t="n">
        <v>0</v>
      </c>
      <c r="AM63" s="14">
        <f>AJ63+AK63+AL63</f>
        <v/>
      </c>
      <c r="AN63" s="14">
        <f>AN62+AM63</f>
        <v/>
      </c>
    </row>
    <row r="64">
      <c r="A64" s="8" t="n">
        <v>3</v>
      </c>
      <c r="B64" s="8" t="n">
        <v>6</v>
      </c>
      <c r="C64" s="8" t="n">
        <v>1</v>
      </c>
      <c r="D64" s="8" t="inlineStr">
        <is>
          <t>版本免费+义相逢 + 月卡收益</t>
        </is>
      </c>
      <c r="E64" s="9">
        <f>K63</f>
        <v/>
      </c>
      <c r="F64" s="9" t="n">
        <v>1540</v>
      </c>
      <c r="G64" s="9" t="n">
        <v>4800</v>
      </c>
      <c r="H64" s="9" t="n">
        <v>0</v>
      </c>
      <c r="I64" s="9" t="n">
        <v>0</v>
      </c>
      <c r="J64" s="9" t="n">
        <v>14880</v>
      </c>
      <c r="K64" s="9">
        <f>E64+F64+G64+H64+I64-J64</f>
        <v/>
      </c>
      <c r="L64" s="10">
        <f>Q63</f>
        <v/>
      </c>
      <c r="M64" s="10" t="n">
        <v>85</v>
      </c>
      <c r="N64" s="10" t="n">
        <v>21</v>
      </c>
      <c r="O64" s="10">
        <f>J64/160</f>
        <v/>
      </c>
      <c r="P64" s="10" t="n">
        <v>200</v>
      </c>
      <c r="Q64" s="10">
        <f>L64+M64+N64+O64-P64</f>
        <v/>
      </c>
      <c r="R64" s="11">
        <f>T63</f>
        <v/>
      </c>
      <c r="S64" s="11">
        <f>N(V64) + N(X64) + N(Z64)</f>
        <v/>
      </c>
      <c r="T64" s="11">
        <f>R64+P64-S64</f>
        <v/>
      </c>
      <c r="U64" s="11" t="inlineStr">
        <is>
          <t>是</t>
        </is>
      </c>
      <c r="V64" s="11" t="n">
        <v>48</v>
      </c>
      <c r="W64" s="11" t="inlineStr">
        <is>
          <t>是</t>
        </is>
      </c>
      <c r="X64" s="11" t="n">
        <v>49</v>
      </c>
      <c r="Y64" s="11" t="inlineStr">
        <is>
          <t>UP(34), UP(50)</t>
        </is>
      </c>
      <c r="Z64" s="11" t="n">
        <v>84</v>
      </c>
      <c r="AA64" s="11" t="inlineStr">
        <is>
          <t>冲刺200(动态90)</t>
        </is>
      </c>
      <c r="AB64" s="12">
        <f>AE63</f>
        <v/>
      </c>
      <c r="AC64" s="12" t="n">
        <v>4</v>
      </c>
      <c r="AD64" s="12" t="n">
        <v>1</v>
      </c>
      <c r="AE64" s="12">
        <f>AB64+AC64+AD64</f>
        <v/>
      </c>
      <c r="AF64" s="13">
        <f>AI63</f>
        <v/>
      </c>
      <c r="AG64" s="13" t="n">
        <v>0</v>
      </c>
      <c r="AH64" s="13" t="n">
        <v>5000</v>
      </c>
      <c r="AI64" s="13">
        <f>AF64+AG64+AH64</f>
        <v/>
      </c>
      <c r="AJ64" s="14" t="n">
        <v>0</v>
      </c>
      <c r="AK64" s="14" t="n">
        <v>50</v>
      </c>
      <c r="AL64" s="14" t="n">
        <v>0</v>
      </c>
      <c r="AM64" s="14">
        <f>AJ64+AK64+AL64</f>
        <v/>
      </c>
      <c r="AN64" s="14">
        <f>AN63+AM64</f>
        <v/>
      </c>
    </row>
    <row r="65">
      <c r="A65" s="8" t="n">
        <v>3</v>
      </c>
      <c r="B65" s="8" t="n">
        <v>6</v>
      </c>
      <c r="C65" s="8" t="n">
        <v>2</v>
      </c>
      <c r="D65" s="8" t="inlineStr">
        <is>
          <t>月卡收益 [月卡续费-30元]</t>
        </is>
      </c>
      <c r="E65" s="9">
        <f>K64</f>
        <v/>
      </c>
      <c r="F65" s="9" t="n">
        <v>1540</v>
      </c>
      <c r="G65" s="9" t="n">
        <v>0</v>
      </c>
      <c r="H65" s="9" t="n">
        <v>0</v>
      </c>
      <c r="I65" s="9" t="n">
        <v>0</v>
      </c>
      <c r="J65" s="9" t="n">
        <v>4640</v>
      </c>
      <c r="K65" s="9">
        <f>E65+F65+G65+H65+I65-J65</f>
        <v/>
      </c>
      <c r="L65" s="10">
        <f>Q64</f>
        <v/>
      </c>
      <c r="M65" s="10" t="n">
        <v>0</v>
      </c>
      <c r="N65" s="10" t="n">
        <v>3</v>
      </c>
      <c r="O65" s="10">
        <f>J65/160</f>
        <v/>
      </c>
      <c r="P65" s="10" t="n">
        <v>30</v>
      </c>
      <c r="Q65" s="10">
        <f>L65+M65+N65+O65-P65</f>
        <v/>
      </c>
      <c r="R65" s="11">
        <f>T64</f>
        <v/>
      </c>
      <c r="S65" s="11">
        <f>N(V65) + N(X65) + N(Z65)</f>
        <v/>
      </c>
      <c r="T65" s="11">
        <f>R65+P65-S65</f>
        <v/>
      </c>
      <c r="U65" s="11" t="inlineStr">
        <is>
          <t>是</t>
        </is>
      </c>
      <c r="V65" s="11" t="n">
        <v>48</v>
      </c>
      <c r="W65" s="11" t="inlineStr">
        <is>
          <t>否</t>
        </is>
      </c>
      <c r="X65" s="11" t="inlineStr">
        <is>
          <t>-</t>
        </is>
      </c>
      <c r="Y65" s="11" t="inlineStr">
        <is>
          <t>UP(5)</t>
        </is>
      </c>
      <c r="Z65" s="11" t="n">
        <v>5</v>
      </c>
      <c r="AA65" s="11" t="inlineStr">
        <is>
          <t>无</t>
        </is>
      </c>
      <c r="AB65" s="12">
        <f>AE64</f>
        <v/>
      </c>
      <c r="AC65" s="12" t="n">
        <v>0</v>
      </c>
      <c r="AD65" s="12" t="n">
        <v>0</v>
      </c>
      <c r="AE65" s="12">
        <f>AB65+AC65+AD65</f>
        <v/>
      </c>
      <c r="AF65" s="13">
        <f>AI64</f>
        <v/>
      </c>
      <c r="AG65" s="13" t="n">
        <v>0</v>
      </c>
      <c r="AH65" s="13" t="n">
        <v>0</v>
      </c>
      <c r="AI65" s="13">
        <f>AF65+AG65+AH65</f>
        <v/>
      </c>
      <c r="AJ65" s="14" t="n">
        <v>30</v>
      </c>
      <c r="AK65" s="14" t="n">
        <v>0</v>
      </c>
      <c r="AL65" s="14" t="n">
        <v>0</v>
      </c>
      <c r="AM65" s="14">
        <f>AJ65+AK65+AL65</f>
        <v/>
      </c>
      <c r="AN65" s="14">
        <f>AN64+AM65</f>
        <v/>
      </c>
    </row>
    <row r="66">
      <c r="A66" s="8" t="n">
        <v>3</v>
      </c>
      <c r="B66" s="8" t="n">
        <v>7</v>
      </c>
      <c r="C66" s="8" t="n">
        <v>1</v>
      </c>
      <c r="D66" s="8" t="inlineStr">
        <is>
          <t>版本免费+义相逢 + 月卡收益</t>
        </is>
      </c>
      <c r="E66" s="9">
        <f>K65</f>
        <v/>
      </c>
      <c r="F66" s="9" t="n">
        <v>1540</v>
      </c>
      <c r="G66" s="9" t="n">
        <v>4800</v>
      </c>
      <c r="H66" s="9" t="n">
        <v>0</v>
      </c>
      <c r="I66" s="9" t="n">
        <v>0</v>
      </c>
      <c r="J66" s="9" t="n">
        <v>14720</v>
      </c>
      <c r="K66" s="9">
        <f>E66+F66+G66+H66+I66-J66</f>
        <v/>
      </c>
      <c r="L66" s="10">
        <f>Q65</f>
        <v/>
      </c>
      <c r="M66" s="10" t="n">
        <v>85</v>
      </c>
      <c r="N66" s="10" t="n">
        <v>21</v>
      </c>
      <c r="O66" s="10">
        <f>J66/160</f>
        <v/>
      </c>
      <c r="P66" s="10" t="n">
        <v>200</v>
      </c>
      <c r="Q66" s="10">
        <f>L66+M66+N66+O66-P66</f>
        <v/>
      </c>
      <c r="R66" s="11">
        <f>T65</f>
        <v/>
      </c>
      <c r="S66" s="11">
        <f>N(V66) + N(X66) + N(Z66)</f>
        <v/>
      </c>
      <c r="T66" s="11">
        <f>R66+P66-S66</f>
        <v/>
      </c>
      <c r="U66" s="11" t="inlineStr">
        <is>
          <t>是</t>
        </is>
      </c>
      <c r="V66" s="11" t="n">
        <v>49</v>
      </c>
      <c r="W66" s="11" t="inlineStr">
        <is>
          <t>是</t>
        </is>
      </c>
      <c r="X66" s="11" t="n">
        <v>50</v>
      </c>
      <c r="Y66" s="11" t="inlineStr">
        <is>
          <t>歪(50), UP(49)</t>
        </is>
      </c>
      <c r="Z66" s="11" t="n">
        <v>99</v>
      </c>
      <c r="AA66" s="11" t="inlineStr">
        <is>
          <t>冲刺200(动态100)</t>
        </is>
      </c>
      <c r="AB66" s="12">
        <f>AE65</f>
        <v/>
      </c>
      <c r="AC66" s="12" t="n">
        <v>4</v>
      </c>
      <c r="AD66" s="12" t="n">
        <v>1</v>
      </c>
      <c r="AE66" s="12">
        <f>AB66+AC66+AD66</f>
        <v/>
      </c>
      <c r="AF66" s="13">
        <f>AI65</f>
        <v/>
      </c>
      <c r="AG66" s="13" t="n">
        <v>0</v>
      </c>
      <c r="AH66" s="13" t="n">
        <v>5000</v>
      </c>
      <c r="AI66" s="13">
        <f>AF66+AG66+AH66</f>
        <v/>
      </c>
      <c r="AJ66" s="14" t="n">
        <v>0</v>
      </c>
      <c r="AK66" s="14" t="n">
        <v>50</v>
      </c>
      <c r="AL66" s="14" t="n">
        <v>0</v>
      </c>
      <c r="AM66" s="14">
        <f>AJ66+AK66+AL66</f>
        <v/>
      </c>
      <c r="AN66" s="14">
        <f>AN65+AM66</f>
        <v/>
      </c>
    </row>
    <row r="67">
      <c r="A67" s="8" t="n">
        <v>3</v>
      </c>
      <c r="B67" s="8" t="n">
        <v>7</v>
      </c>
      <c r="C67" s="8" t="n">
        <v>2</v>
      </c>
      <c r="D67" s="8" t="inlineStr">
        <is>
          <t>月卡收益 [月卡续费-30元]</t>
        </is>
      </c>
      <c r="E67" s="9">
        <f>K66</f>
        <v/>
      </c>
      <c r="F67" s="9" t="n">
        <v>1540</v>
      </c>
      <c r="G67" s="9" t="n">
        <v>0</v>
      </c>
      <c r="H67" s="9" t="n">
        <v>0</v>
      </c>
      <c r="I67" s="9" t="n">
        <v>0</v>
      </c>
      <c r="J67" s="9" t="n">
        <v>9120</v>
      </c>
      <c r="K67" s="9">
        <f>E67+F67+G67+H67+I67-J67</f>
        <v/>
      </c>
      <c r="L67" s="10">
        <f>Q66</f>
        <v/>
      </c>
      <c r="M67" s="10" t="n">
        <v>0</v>
      </c>
      <c r="N67" s="10" t="n">
        <v>6</v>
      </c>
      <c r="O67" s="10">
        <f>J67/160</f>
        <v/>
      </c>
      <c r="P67" s="10" t="n">
        <v>60</v>
      </c>
      <c r="Q67" s="10">
        <f>L67+M67+N67+O67-P67</f>
        <v/>
      </c>
      <c r="R67" s="11">
        <f>T66</f>
        <v/>
      </c>
      <c r="S67" s="11">
        <f>N(V67) + N(X67) + N(Z67)</f>
        <v/>
      </c>
      <c r="T67" s="11">
        <f>R67+P67-S67</f>
        <v/>
      </c>
      <c r="U67" s="11" t="inlineStr">
        <is>
          <t>是</t>
        </is>
      </c>
      <c r="V67" s="11" t="n">
        <v>49</v>
      </c>
      <c r="W67" s="11" t="inlineStr">
        <is>
          <t>否</t>
        </is>
      </c>
      <c r="X67" s="11" t="inlineStr">
        <is>
          <t>-</t>
        </is>
      </c>
      <c r="Y67" s="11" t="inlineStr">
        <is>
          <t>-</t>
        </is>
      </c>
      <c r="Z67" s="11" t="n">
        <v>0</v>
      </c>
      <c r="AA67" s="11" t="inlineStr">
        <is>
          <t>垫到60抽</t>
        </is>
      </c>
      <c r="AB67" s="12">
        <f>AE66</f>
        <v/>
      </c>
      <c r="AC67" s="12" t="n">
        <v>0</v>
      </c>
      <c r="AD67" s="12" t="n">
        <v>0</v>
      </c>
      <c r="AE67" s="12">
        <f>AB67+AC67+AD67</f>
        <v/>
      </c>
      <c r="AF67" s="13">
        <f>AI66</f>
        <v/>
      </c>
      <c r="AG67" s="13" t="n">
        <v>0</v>
      </c>
      <c r="AH67" s="13" t="n">
        <v>0</v>
      </c>
      <c r="AI67" s="13">
        <f>AF67+AG67+AH67</f>
        <v/>
      </c>
      <c r="AJ67" s="14" t="n">
        <v>30</v>
      </c>
      <c r="AK67" s="14" t="n">
        <v>0</v>
      </c>
      <c r="AL67" s="14" t="n">
        <v>0</v>
      </c>
      <c r="AM67" s="14">
        <f>AJ67+AK67+AL67</f>
        <v/>
      </c>
      <c r="AN67" s="14">
        <f>AN66+AM67</f>
        <v/>
      </c>
    </row>
    <row r="68">
      <c r="A68" s="8" t="n">
        <v>3</v>
      </c>
      <c r="B68" s="8" t="n">
        <v>8</v>
      </c>
      <c r="C68" s="8" t="n">
        <v>1</v>
      </c>
      <c r="D68" s="8" t="inlineStr">
        <is>
          <t>版本免费+义相逢 + 月卡收益</t>
        </is>
      </c>
      <c r="E68" s="9">
        <f>K67</f>
        <v/>
      </c>
      <c r="F68" s="9" t="n">
        <v>1540</v>
      </c>
      <c r="G68" s="9" t="n">
        <v>4800</v>
      </c>
      <c r="H68" s="9" t="n">
        <v>0</v>
      </c>
      <c r="I68" s="9" t="n">
        <v>0</v>
      </c>
      <c r="J68" s="9" t="n">
        <v>0</v>
      </c>
      <c r="K68" s="9">
        <f>E68+F68+G68+H68+I68-J68</f>
        <v/>
      </c>
      <c r="L68" s="10">
        <f>Q67</f>
        <v/>
      </c>
      <c r="M68" s="10" t="n">
        <v>85</v>
      </c>
      <c r="N68" s="10" t="n">
        <v>11</v>
      </c>
      <c r="O68" s="10">
        <f>J68/160</f>
        <v/>
      </c>
      <c r="P68" s="10" t="n">
        <v>90</v>
      </c>
      <c r="Q68" s="10">
        <f>L68+M68+N68+O68-P68</f>
        <v/>
      </c>
      <c r="R68" s="11">
        <f>T67</f>
        <v/>
      </c>
      <c r="S68" s="11">
        <f>N(V68) + N(X68) + N(Z68)</f>
        <v/>
      </c>
      <c r="T68" s="11">
        <f>R68+P68-S68</f>
        <v/>
      </c>
      <c r="U68" s="11" t="inlineStr">
        <is>
          <t>是</t>
        </is>
      </c>
      <c r="V68" s="11" t="n">
        <v>48</v>
      </c>
      <c r="W68" s="11" t="inlineStr">
        <is>
          <t>是</t>
        </is>
      </c>
      <c r="X68" s="11" t="n">
        <v>47</v>
      </c>
      <c r="Y68" s="11" t="inlineStr">
        <is>
          <t>-</t>
        </is>
      </c>
      <c r="Z68" s="11" t="n">
        <v>0</v>
      </c>
      <c r="AA68" s="11" t="inlineStr">
        <is>
          <t>无</t>
        </is>
      </c>
      <c r="AB68" s="12">
        <f>AE67</f>
        <v/>
      </c>
      <c r="AC68" s="12" t="n">
        <v>4</v>
      </c>
      <c r="AD68" s="12" t="n">
        <v>0</v>
      </c>
      <c r="AE68" s="12">
        <f>AB68+AC68+AD68</f>
        <v/>
      </c>
      <c r="AF68" s="13">
        <f>AI67</f>
        <v/>
      </c>
      <c r="AG68" s="13" t="n">
        <v>0</v>
      </c>
      <c r="AH68" s="13" t="n">
        <v>0</v>
      </c>
      <c r="AI68" s="13">
        <f>AF68+AG68+AH68</f>
        <v/>
      </c>
      <c r="AJ68" s="14" t="n">
        <v>0</v>
      </c>
      <c r="AK68" s="14" t="n">
        <v>50</v>
      </c>
      <c r="AL68" s="14" t="n">
        <v>0</v>
      </c>
      <c r="AM68" s="14">
        <f>AJ68+AK68+AL68</f>
        <v/>
      </c>
      <c r="AN68" s="14">
        <f>AN67+AM68</f>
        <v/>
      </c>
    </row>
    <row r="69">
      <c r="A69" s="8" t="n">
        <v>3</v>
      </c>
      <c r="B69" s="8" t="n">
        <v>8</v>
      </c>
      <c r="C69" s="8" t="n">
        <v>2</v>
      </c>
      <c r="D69" s="8" t="inlineStr">
        <is>
          <t>月卡收益 [月卡续费-30元]</t>
        </is>
      </c>
      <c r="E69" s="9">
        <f>K68</f>
        <v/>
      </c>
      <c r="F69" s="9" t="n">
        <v>1540</v>
      </c>
      <c r="G69" s="9" t="n">
        <v>0</v>
      </c>
      <c r="H69" s="9" t="n">
        <v>0</v>
      </c>
      <c r="I69" s="9" t="n">
        <v>0</v>
      </c>
      <c r="J69" s="9" t="n">
        <v>7680</v>
      </c>
      <c r="K69" s="9">
        <f>E69+F69+G69+H69+I69-J69</f>
        <v/>
      </c>
      <c r="L69" s="10">
        <f>Q68</f>
        <v/>
      </c>
      <c r="M69" s="10" t="n">
        <v>0</v>
      </c>
      <c r="N69" s="10" t="n">
        <v>6</v>
      </c>
      <c r="O69" s="10">
        <f>J69/160</f>
        <v/>
      </c>
      <c r="P69" s="10" t="n">
        <v>60</v>
      </c>
      <c r="Q69" s="10">
        <f>L69+M69+N69+O69-P69</f>
        <v/>
      </c>
      <c r="R69" s="11">
        <f>T68</f>
        <v/>
      </c>
      <c r="S69" s="11">
        <f>N(V69) + N(X69) + N(Z69)</f>
        <v/>
      </c>
      <c r="T69" s="11">
        <f>R69+P69-S69</f>
        <v/>
      </c>
      <c r="U69" s="11" t="inlineStr">
        <is>
          <t>是</t>
        </is>
      </c>
      <c r="V69" s="11" t="n">
        <v>14</v>
      </c>
      <c r="W69" s="11" t="inlineStr">
        <is>
          <t>是</t>
        </is>
      </c>
      <c r="X69" s="11" t="n">
        <v>50</v>
      </c>
      <c r="Y69" s="11" t="inlineStr">
        <is>
          <t>-</t>
        </is>
      </c>
      <c r="Z69" s="11" t="n">
        <v>0</v>
      </c>
      <c r="AA69" s="11" t="inlineStr">
        <is>
          <t>无</t>
        </is>
      </c>
      <c r="AB69" s="12">
        <f>AE68</f>
        <v/>
      </c>
      <c r="AC69" s="12" t="n">
        <v>0</v>
      </c>
      <c r="AD69" s="12" t="n">
        <v>0</v>
      </c>
      <c r="AE69" s="12">
        <f>AB69+AC69+AD69</f>
        <v/>
      </c>
      <c r="AF69" s="13">
        <f>AI68</f>
        <v/>
      </c>
      <c r="AG69" s="13" t="n">
        <v>0</v>
      </c>
      <c r="AH69" s="13" t="n">
        <v>0</v>
      </c>
      <c r="AI69" s="13">
        <f>AF69+AG69+AH69</f>
        <v/>
      </c>
      <c r="AJ69" s="14" t="n">
        <v>30</v>
      </c>
      <c r="AK69" s="14" t="n">
        <v>0</v>
      </c>
      <c r="AL69" s="14" t="n">
        <v>0</v>
      </c>
      <c r="AM69" s="14">
        <f>AJ69+AK69+AL69</f>
        <v/>
      </c>
      <c r="AN69" s="14">
        <f>AN68+AM69</f>
        <v/>
      </c>
    </row>
    <row r="70">
      <c r="A70" s="8" t="n">
        <v>3</v>
      </c>
      <c r="B70" s="8" t="n">
        <v>9</v>
      </c>
      <c r="C70" s="8" t="n">
        <v>1</v>
      </c>
      <c r="D70" s="8" t="inlineStr">
        <is>
          <t>版本免费+义相逢 + 月卡收益</t>
        </is>
      </c>
      <c r="E70" s="9">
        <f>K69</f>
        <v/>
      </c>
      <c r="F70" s="9" t="n">
        <v>1540</v>
      </c>
      <c r="G70" s="9" t="n">
        <v>4800</v>
      </c>
      <c r="H70" s="9" t="n">
        <v>0</v>
      </c>
      <c r="I70" s="9" t="n">
        <v>0</v>
      </c>
      <c r="J70" s="9" t="n">
        <v>0</v>
      </c>
      <c r="K70" s="9">
        <f>E70+F70+G70+H70+I70-J70</f>
        <v/>
      </c>
      <c r="L70" s="10">
        <f>Q69</f>
        <v/>
      </c>
      <c r="M70" s="10" t="n">
        <v>85</v>
      </c>
      <c r="N70" s="10" t="n">
        <v>11</v>
      </c>
      <c r="O70" s="10">
        <f>J70/160</f>
        <v/>
      </c>
      <c r="P70" s="10" t="n">
        <v>90</v>
      </c>
      <c r="Q70" s="10">
        <f>L70+M70+N70+O70-P70</f>
        <v/>
      </c>
      <c r="R70" s="11">
        <f>T69</f>
        <v/>
      </c>
      <c r="S70" s="11">
        <f>N(V70) + N(X70) + N(Z70)</f>
        <v/>
      </c>
      <c r="T70" s="11">
        <f>R70+P70-S70</f>
        <v/>
      </c>
      <c r="U70" s="11" t="inlineStr">
        <is>
          <t>是</t>
        </is>
      </c>
      <c r="V70" s="11" t="n">
        <v>46</v>
      </c>
      <c r="W70" s="11" t="inlineStr">
        <is>
          <t>是</t>
        </is>
      </c>
      <c r="X70" s="11" t="n">
        <v>48</v>
      </c>
      <c r="Y70" s="11" t="inlineStr">
        <is>
          <t>-</t>
        </is>
      </c>
      <c r="Z70" s="11" t="n">
        <v>0</v>
      </c>
      <c r="AA70" s="11" t="inlineStr">
        <is>
          <t>无</t>
        </is>
      </c>
      <c r="AB70" s="12">
        <f>AE69</f>
        <v/>
      </c>
      <c r="AC70" s="12" t="n">
        <v>4</v>
      </c>
      <c r="AD70" s="12" t="n">
        <v>0</v>
      </c>
      <c r="AE70" s="12">
        <f>AB70+AC70+AD70</f>
        <v/>
      </c>
      <c r="AF70" s="13">
        <f>AI69</f>
        <v/>
      </c>
      <c r="AG70" s="13" t="n">
        <v>0</v>
      </c>
      <c r="AH70" s="13" t="n">
        <v>0</v>
      </c>
      <c r="AI70" s="13">
        <f>AF70+AG70+AH70</f>
        <v/>
      </c>
      <c r="AJ70" s="14" t="n">
        <v>0</v>
      </c>
      <c r="AK70" s="14" t="n">
        <v>50</v>
      </c>
      <c r="AL70" s="14" t="n">
        <v>0</v>
      </c>
      <c r="AM70" s="14">
        <f>AJ70+AK70+AL70</f>
        <v/>
      </c>
      <c r="AN70" s="14">
        <f>AN69+AM70</f>
        <v/>
      </c>
    </row>
    <row r="71">
      <c r="A71" s="8" t="n">
        <v>3</v>
      </c>
      <c r="B71" s="8" t="n">
        <v>9</v>
      </c>
      <c r="C71" s="8" t="n">
        <v>2</v>
      </c>
      <c r="D71" s="8" t="inlineStr">
        <is>
          <t>月卡收益 [月卡续费-30元]</t>
        </is>
      </c>
      <c r="E71" s="9">
        <f>K70</f>
        <v/>
      </c>
      <c r="F71" s="9" t="n">
        <v>1540</v>
      </c>
      <c r="G71" s="9" t="n">
        <v>0</v>
      </c>
      <c r="H71" s="9" t="n">
        <v>0</v>
      </c>
      <c r="I71" s="9" t="n">
        <v>0</v>
      </c>
      <c r="J71" s="9" t="n">
        <v>7680</v>
      </c>
      <c r="K71" s="9">
        <f>E71+F71+G71+H71+I71-J71</f>
        <v/>
      </c>
      <c r="L71" s="10">
        <f>Q70</f>
        <v/>
      </c>
      <c r="M71" s="10" t="n">
        <v>0</v>
      </c>
      <c r="N71" s="10" t="n">
        <v>6</v>
      </c>
      <c r="O71" s="10">
        <f>J71/160</f>
        <v/>
      </c>
      <c r="P71" s="10" t="n">
        <v>60</v>
      </c>
      <c r="Q71" s="10">
        <f>L71+M71+N71+O71-P71</f>
        <v/>
      </c>
      <c r="R71" s="11">
        <f>T70</f>
        <v/>
      </c>
      <c r="S71" s="11">
        <f>N(V71) + N(X71) + N(Z71)</f>
        <v/>
      </c>
      <c r="T71" s="11">
        <f>R71+P71-S71</f>
        <v/>
      </c>
      <c r="U71" s="11" t="inlineStr">
        <is>
          <t>是</t>
        </is>
      </c>
      <c r="V71" s="11" t="n">
        <v>51</v>
      </c>
      <c r="W71" s="11" t="inlineStr">
        <is>
          <t>否</t>
        </is>
      </c>
      <c r="X71" s="11" t="inlineStr">
        <is>
          <t>-</t>
        </is>
      </c>
      <c r="Y71" s="11" t="inlineStr">
        <is>
          <t>-</t>
        </is>
      </c>
      <c r="Z71" s="11" t="n">
        <v>0</v>
      </c>
      <c r="AA71" s="11" t="inlineStr">
        <is>
          <t>垫到60抽</t>
        </is>
      </c>
      <c r="AB71" s="12">
        <f>AE70</f>
        <v/>
      </c>
      <c r="AC71" s="12" t="n">
        <v>0</v>
      </c>
      <c r="AD71" s="12" t="n">
        <v>0</v>
      </c>
      <c r="AE71" s="12">
        <f>AB71+AC71+AD71</f>
        <v/>
      </c>
      <c r="AF71" s="13">
        <f>AI70</f>
        <v/>
      </c>
      <c r="AG71" s="13" t="n">
        <v>0</v>
      </c>
      <c r="AH71" s="13" t="n">
        <v>0</v>
      </c>
      <c r="AI71" s="13">
        <f>AF71+AG71+AH71</f>
        <v/>
      </c>
      <c r="AJ71" s="14" t="n">
        <v>30</v>
      </c>
      <c r="AK71" s="14" t="n">
        <v>0</v>
      </c>
      <c r="AL71" s="14" t="n">
        <v>0</v>
      </c>
      <c r="AM71" s="14">
        <f>AJ71+AK71+AL71</f>
        <v/>
      </c>
      <c r="AN71" s="14">
        <f>AN70+AM71</f>
        <v/>
      </c>
    </row>
    <row r="72">
      <c r="A72" s="8" t="n">
        <v>3</v>
      </c>
      <c r="B72" s="8" t="n">
        <v>10</v>
      </c>
      <c r="C72" s="8" t="n">
        <v>1</v>
      </c>
      <c r="D72" s="8" t="inlineStr">
        <is>
          <t>版本免费+义相逢 + 月卡收益</t>
        </is>
      </c>
      <c r="E72" s="9">
        <f>K71</f>
        <v/>
      </c>
      <c r="F72" s="9" t="n">
        <v>1540</v>
      </c>
      <c r="G72" s="9" t="n">
        <v>4800</v>
      </c>
      <c r="H72" s="9" t="n">
        <v>0</v>
      </c>
      <c r="I72" s="9" t="n">
        <v>0</v>
      </c>
      <c r="J72" s="9" t="n">
        <v>0</v>
      </c>
      <c r="K72" s="9">
        <f>E72+F72+G72+H72+I72-J72</f>
        <v/>
      </c>
      <c r="L72" s="10">
        <f>Q71</f>
        <v/>
      </c>
      <c r="M72" s="10" t="n">
        <v>85</v>
      </c>
      <c r="N72" s="10" t="n">
        <v>11</v>
      </c>
      <c r="O72" s="10">
        <f>J72/160</f>
        <v/>
      </c>
      <c r="P72" s="10" t="n">
        <v>90</v>
      </c>
      <c r="Q72" s="10">
        <f>L72+M72+N72+O72-P72</f>
        <v/>
      </c>
      <c r="R72" s="11">
        <f>T71</f>
        <v/>
      </c>
      <c r="S72" s="11">
        <f>N(V72) + N(X72) + N(Z72)</f>
        <v/>
      </c>
      <c r="T72" s="11">
        <f>R72+P72-S72</f>
        <v/>
      </c>
      <c r="U72" s="11" t="inlineStr">
        <is>
          <t>是</t>
        </is>
      </c>
      <c r="V72" s="11" t="n">
        <v>46</v>
      </c>
      <c r="W72" s="11" t="inlineStr">
        <is>
          <t>是</t>
        </is>
      </c>
      <c r="X72" s="11" t="n">
        <v>49</v>
      </c>
      <c r="Y72" s="11" t="inlineStr">
        <is>
          <t>-</t>
        </is>
      </c>
      <c r="Z72" s="11" t="n">
        <v>0</v>
      </c>
      <c r="AA72" s="11" t="inlineStr">
        <is>
          <t>无</t>
        </is>
      </c>
      <c r="AB72" s="12">
        <f>AE71</f>
        <v/>
      </c>
      <c r="AC72" s="12" t="n">
        <v>4</v>
      </c>
      <c r="AD72" s="12" t="n">
        <v>0</v>
      </c>
      <c r="AE72" s="12">
        <f>AB72+AC72+AD72</f>
        <v/>
      </c>
      <c r="AF72" s="13">
        <f>AI71</f>
        <v/>
      </c>
      <c r="AG72" s="13" t="n">
        <v>0</v>
      </c>
      <c r="AH72" s="13" t="n">
        <v>0</v>
      </c>
      <c r="AI72" s="13">
        <f>AF72+AG72+AH72</f>
        <v/>
      </c>
      <c r="AJ72" s="14" t="n">
        <v>0</v>
      </c>
      <c r="AK72" s="14" t="n">
        <v>50</v>
      </c>
      <c r="AL72" s="14" t="n">
        <v>0</v>
      </c>
      <c r="AM72" s="14">
        <f>AJ72+AK72+AL72</f>
        <v/>
      </c>
      <c r="AN72" s="14">
        <f>AN71+AM72</f>
        <v/>
      </c>
    </row>
    <row r="73">
      <c r="A73" s="8" t="n">
        <v>3</v>
      </c>
      <c r="B73" s="8" t="n">
        <v>10</v>
      </c>
      <c r="C73" s="8" t="n">
        <v>2</v>
      </c>
      <c r="D73" s="8" t="inlineStr">
        <is>
          <t>月卡收益 [月卡续费-30元]</t>
        </is>
      </c>
      <c r="E73" s="9">
        <f>K72</f>
        <v/>
      </c>
      <c r="F73" s="9" t="n">
        <v>1540</v>
      </c>
      <c r="G73" s="9" t="n">
        <v>0</v>
      </c>
      <c r="H73" s="9" t="n">
        <v>0</v>
      </c>
      <c r="I73" s="9" t="n">
        <v>0</v>
      </c>
      <c r="J73" s="9" t="n">
        <v>7680</v>
      </c>
      <c r="K73" s="9">
        <f>E73+F73+G73+H73+I73-J73</f>
        <v/>
      </c>
      <c r="L73" s="10">
        <f>Q72</f>
        <v/>
      </c>
      <c r="M73" s="10" t="n">
        <v>0</v>
      </c>
      <c r="N73" s="10" t="n">
        <v>6</v>
      </c>
      <c r="O73" s="10">
        <f>J73/160</f>
        <v/>
      </c>
      <c r="P73" s="10" t="n">
        <v>60</v>
      </c>
      <c r="Q73" s="10">
        <f>L73+M73+N73+O73-P73</f>
        <v/>
      </c>
      <c r="R73" s="11">
        <f>T72</f>
        <v/>
      </c>
      <c r="S73" s="11">
        <f>N(V73) + N(X73) + N(Z73)</f>
        <v/>
      </c>
      <c r="T73" s="11">
        <f>R73+P73-S73</f>
        <v/>
      </c>
      <c r="U73" s="11" t="inlineStr">
        <is>
          <t>是</t>
        </is>
      </c>
      <c r="V73" s="11" t="n">
        <v>51</v>
      </c>
      <c r="W73" s="11" t="inlineStr">
        <is>
          <t>否</t>
        </is>
      </c>
      <c r="X73" s="11" t="inlineStr">
        <is>
          <t>-</t>
        </is>
      </c>
      <c r="Y73" s="11" t="inlineStr">
        <is>
          <t>-</t>
        </is>
      </c>
      <c r="Z73" s="11" t="n">
        <v>0</v>
      </c>
      <c r="AA73" s="11" t="inlineStr">
        <is>
          <t>垫到60抽</t>
        </is>
      </c>
      <c r="AB73" s="12">
        <f>AE72</f>
        <v/>
      </c>
      <c r="AC73" s="12" t="n">
        <v>0</v>
      </c>
      <c r="AD73" s="12" t="n">
        <v>0</v>
      </c>
      <c r="AE73" s="12">
        <f>AB73+AC73+AD73</f>
        <v/>
      </c>
      <c r="AF73" s="13">
        <f>AI72</f>
        <v/>
      </c>
      <c r="AG73" s="13" t="n">
        <v>0</v>
      </c>
      <c r="AH73" s="13" t="n">
        <v>0</v>
      </c>
      <c r="AI73" s="13">
        <f>AF73+AG73+AH73</f>
        <v/>
      </c>
      <c r="AJ73" s="14" t="n">
        <v>30</v>
      </c>
      <c r="AK73" s="14" t="n">
        <v>0</v>
      </c>
      <c r="AL73" s="14" t="n">
        <v>0</v>
      </c>
      <c r="AM73" s="14">
        <f>AJ73+AK73+AL73</f>
        <v/>
      </c>
      <c r="AN73" s="14">
        <f>AN72+AM73</f>
        <v/>
      </c>
    </row>
    <row r="74">
      <c r="A74" s="8" t="n">
        <v>3</v>
      </c>
      <c r="B74" s="8" t="n">
        <v>11</v>
      </c>
      <c r="C74" s="8" t="n">
        <v>1</v>
      </c>
      <c r="D74" s="8" t="inlineStr">
        <is>
          <t>版本免费+义相逢 + 月卡收益</t>
        </is>
      </c>
      <c r="E74" s="9">
        <f>K73</f>
        <v/>
      </c>
      <c r="F74" s="9" t="n">
        <v>1540</v>
      </c>
      <c r="G74" s="9" t="n">
        <v>4800</v>
      </c>
      <c r="H74" s="9" t="n">
        <v>0</v>
      </c>
      <c r="I74" s="9" t="n">
        <v>0</v>
      </c>
      <c r="J74" s="9" t="n">
        <v>0</v>
      </c>
      <c r="K74" s="9">
        <f>E74+F74+G74+H74+I74-J74</f>
        <v/>
      </c>
      <c r="L74" s="10">
        <f>Q73</f>
        <v/>
      </c>
      <c r="M74" s="10" t="n">
        <v>85</v>
      </c>
      <c r="N74" s="10" t="n">
        <v>11</v>
      </c>
      <c r="O74" s="10">
        <f>J74/160</f>
        <v/>
      </c>
      <c r="P74" s="10" t="n">
        <v>90</v>
      </c>
      <c r="Q74" s="10">
        <f>L74+M74+N74+O74-P74</f>
        <v/>
      </c>
      <c r="R74" s="11">
        <f>T73</f>
        <v/>
      </c>
      <c r="S74" s="11">
        <f>N(V74) + N(X74) + N(Z74)</f>
        <v/>
      </c>
      <c r="T74" s="11">
        <f>R74+P74-S74</f>
        <v/>
      </c>
      <c r="U74" s="11" t="inlineStr">
        <is>
          <t>是</t>
        </is>
      </c>
      <c r="V74" s="11" t="n">
        <v>54</v>
      </c>
      <c r="W74" s="11" t="inlineStr">
        <is>
          <t>是</t>
        </is>
      </c>
      <c r="X74" s="11" t="n">
        <v>48</v>
      </c>
      <c r="Y74" s="11" t="inlineStr">
        <is>
          <t>-</t>
        </is>
      </c>
      <c r="Z74" s="11" t="n">
        <v>0</v>
      </c>
      <c r="AA74" s="11" t="inlineStr">
        <is>
          <t>无</t>
        </is>
      </c>
      <c r="AB74" s="12">
        <f>AE73</f>
        <v/>
      </c>
      <c r="AC74" s="12" t="n">
        <v>4</v>
      </c>
      <c r="AD74" s="12" t="n">
        <v>0</v>
      </c>
      <c r="AE74" s="12">
        <f>AB74+AC74+AD74</f>
        <v/>
      </c>
      <c r="AF74" s="13">
        <f>AI73</f>
        <v/>
      </c>
      <c r="AG74" s="13" t="n">
        <v>0</v>
      </c>
      <c r="AH74" s="13" t="n">
        <v>0</v>
      </c>
      <c r="AI74" s="13">
        <f>AF74+AG74+AH74</f>
        <v/>
      </c>
      <c r="AJ74" s="14" t="n">
        <v>0</v>
      </c>
      <c r="AK74" s="14" t="n">
        <v>50</v>
      </c>
      <c r="AL74" s="14" t="n">
        <v>0</v>
      </c>
      <c r="AM74" s="14">
        <f>AJ74+AK74+AL74</f>
        <v/>
      </c>
      <c r="AN74" s="14">
        <f>AN73+AM74</f>
        <v/>
      </c>
    </row>
    <row r="75">
      <c r="A75" s="8" t="n">
        <v>3</v>
      </c>
      <c r="B75" s="8" t="n">
        <v>11</v>
      </c>
      <c r="C75" s="8" t="n">
        <v>2</v>
      </c>
      <c r="D75" s="8" t="inlineStr">
        <is>
          <t>月卡收益 [月卡续费-30元]</t>
        </is>
      </c>
      <c r="E75" s="9">
        <f>K74</f>
        <v/>
      </c>
      <c r="F75" s="9" t="n">
        <v>1540</v>
      </c>
      <c r="G75" s="9" t="n">
        <v>0</v>
      </c>
      <c r="H75" s="9" t="n">
        <v>0</v>
      </c>
      <c r="I75" s="9" t="n">
        <v>0</v>
      </c>
      <c r="J75" s="9" t="n">
        <v>12800</v>
      </c>
      <c r="K75" s="9">
        <f>E75+F75+G75+H75+I75-J75</f>
        <v/>
      </c>
      <c r="L75" s="10">
        <f>Q74</f>
        <v/>
      </c>
      <c r="M75" s="10" t="n">
        <v>0</v>
      </c>
      <c r="N75" s="10" t="n">
        <v>11</v>
      </c>
      <c r="O75" s="10">
        <f>J75/160</f>
        <v/>
      </c>
      <c r="P75" s="10" t="n">
        <v>100</v>
      </c>
      <c r="Q75" s="10">
        <f>L75+M75+N75+O75-P75</f>
        <v/>
      </c>
      <c r="R75" s="11">
        <f>T74</f>
        <v/>
      </c>
      <c r="S75" s="11">
        <f>N(V75) + N(X75) + N(Z75)</f>
        <v/>
      </c>
      <c r="T75" s="11">
        <f>R75+P75-S75</f>
        <v/>
      </c>
      <c r="U75" s="11" t="inlineStr">
        <is>
          <t>是</t>
        </is>
      </c>
      <c r="V75" s="11" t="n">
        <v>50</v>
      </c>
      <c r="W75" s="11" t="inlineStr">
        <is>
          <t>是</t>
        </is>
      </c>
      <c r="X75" s="11" t="n">
        <v>48</v>
      </c>
      <c r="Y75" s="11" t="inlineStr">
        <is>
          <t>-</t>
        </is>
      </c>
      <c r="Z75" s="11" t="n">
        <v>0</v>
      </c>
      <c r="AA75" s="11" t="inlineStr">
        <is>
          <t>无</t>
        </is>
      </c>
      <c r="AB75" s="12">
        <f>AE74</f>
        <v/>
      </c>
      <c r="AC75" s="12" t="n">
        <v>0</v>
      </c>
      <c r="AD75" s="12" t="n">
        <v>0</v>
      </c>
      <c r="AE75" s="12">
        <f>AB75+AC75+AD75</f>
        <v/>
      </c>
      <c r="AF75" s="13">
        <f>AI74</f>
        <v/>
      </c>
      <c r="AG75" s="13" t="n">
        <v>0</v>
      </c>
      <c r="AH75" s="13" t="n">
        <v>0</v>
      </c>
      <c r="AI75" s="13">
        <f>AF75+AG75+AH75</f>
        <v/>
      </c>
      <c r="AJ75" s="14" t="n">
        <v>30</v>
      </c>
      <c r="AK75" s="14" t="n">
        <v>0</v>
      </c>
      <c r="AL75" s="14" t="n">
        <v>0</v>
      </c>
      <c r="AM75" s="14">
        <f>AJ75+AK75+AL75</f>
        <v/>
      </c>
      <c r="AN75" s="14">
        <f>AN74+AM75</f>
        <v/>
      </c>
    </row>
    <row r="76">
      <c r="A76" s="8" t="n">
        <v>3</v>
      </c>
      <c r="B76" s="8" t="n">
        <v>12</v>
      </c>
      <c r="C76" s="8" t="n">
        <v>1</v>
      </c>
      <c r="D76" s="8" t="inlineStr">
        <is>
          <t>版本免费+义相逢 + 月卡收益</t>
        </is>
      </c>
      <c r="E76" s="9">
        <f>K75</f>
        <v/>
      </c>
      <c r="F76" s="9" t="n">
        <v>1540</v>
      </c>
      <c r="G76" s="9" t="n">
        <v>4800</v>
      </c>
      <c r="H76" s="9" t="n">
        <v>0</v>
      </c>
      <c r="I76" s="9" t="n">
        <v>0</v>
      </c>
      <c r="J76" s="9" t="n">
        <v>640</v>
      </c>
      <c r="K76" s="9">
        <f>E76+F76+G76+H76+I76-J76</f>
        <v/>
      </c>
      <c r="L76" s="10">
        <f>Q75</f>
        <v/>
      </c>
      <c r="M76" s="10" t="n">
        <v>85</v>
      </c>
      <c r="N76" s="10" t="n">
        <v>11</v>
      </c>
      <c r="O76" s="10">
        <f>J76/160</f>
        <v/>
      </c>
      <c r="P76" s="10" t="n">
        <v>100</v>
      </c>
      <c r="Q76" s="10">
        <f>L76+M76+N76+O76-P76</f>
        <v/>
      </c>
      <c r="R76" s="11">
        <f>T75</f>
        <v/>
      </c>
      <c r="S76" s="11">
        <f>N(V76) + N(X76) + N(Z76)</f>
        <v/>
      </c>
      <c r="T76" s="11">
        <f>R76+P76-S76</f>
        <v/>
      </c>
      <c r="U76" s="11" t="inlineStr">
        <is>
          <t>是</t>
        </is>
      </c>
      <c r="V76" s="11" t="n">
        <v>51</v>
      </c>
      <c r="W76" s="11" t="inlineStr">
        <is>
          <t>是</t>
        </is>
      </c>
      <c r="X76" s="11" t="n">
        <v>52</v>
      </c>
      <c r="Y76" s="11" t="inlineStr">
        <is>
          <t>-</t>
        </is>
      </c>
      <c r="Z76" s="11" t="n">
        <v>0</v>
      </c>
      <c r="AA76" s="11" t="inlineStr">
        <is>
          <t>无</t>
        </is>
      </c>
      <c r="AB76" s="12">
        <f>AE75</f>
        <v/>
      </c>
      <c r="AC76" s="12" t="n">
        <v>4</v>
      </c>
      <c r="AD76" s="12" t="n">
        <v>0</v>
      </c>
      <c r="AE76" s="12">
        <f>AB76+AC76+AD76</f>
        <v/>
      </c>
      <c r="AF76" s="13">
        <f>AI75</f>
        <v/>
      </c>
      <c r="AG76" s="13" t="n">
        <v>0</v>
      </c>
      <c r="AH76" s="13" t="n">
        <v>0</v>
      </c>
      <c r="AI76" s="13">
        <f>AF76+AG76+AH76</f>
        <v/>
      </c>
      <c r="AJ76" s="14" t="n">
        <v>0</v>
      </c>
      <c r="AK76" s="14" t="n">
        <v>50</v>
      </c>
      <c r="AL76" s="14" t="n">
        <v>0</v>
      </c>
      <c r="AM76" s="14">
        <f>AJ76+AK76+AL76</f>
        <v/>
      </c>
      <c r="AN76" s="14">
        <f>AN75+AM76</f>
        <v/>
      </c>
    </row>
    <row r="77">
      <c r="A77" s="8" t="n">
        <v>3</v>
      </c>
      <c r="B77" s="8" t="n">
        <v>12</v>
      </c>
      <c r="C77" s="8" t="n">
        <v>2</v>
      </c>
      <c r="D77" s="8" t="inlineStr">
        <is>
          <t>月卡收益</t>
        </is>
      </c>
      <c r="E77" s="9">
        <f>K76</f>
        <v/>
      </c>
      <c r="F77" s="9" t="n">
        <v>1540</v>
      </c>
      <c r="G77" s="9" t="n">
        <v>0</v>
      </c>
      <c r="H77" s="9" t="n">
        <v>0</v>
      </c>
      <c r="I77" s="9" t="n">
        <v>0</v>
      </c>
      <c r="J77" s="9" t="n">
        <v>9120</v>
      </c>
      <c r="K77" s="9">
        <f>E77+F77+G77+H77+I77-J77</f>
        <v/>
      </c>
      <c r="L77" s="10">
        <f>Q76</f>
        <v/>
      </c>
      <c r="M77" s="10" t="n">
        <v>0</v>
      </c>
      <c r="N77" s="10" t="n">
        <v>6</v>
      </c>
      <c r="O77" s="10">
        <f>J77/160</f>
        <v/>
      </c>
      <c r="P77" s="10" t="n">
        <v>60</v>
      </c>
      <c r="Q77" s="10">
        <f>L77+M77+N77+O77-P77</f>
        <v/>
      </c>
      <c r="R77" s="11">
        <f>T76</f>
        <v/>
      </c>
      <c r="S77" s="11">
        <f>N(V77) + N(X77) + N(Z77)</f>
        <v/>
      </c>
      <c r="T77" s="11">
        <f>R77+P77-S77</f>
        <v/>
      </c>
      <c r="U77" s="11" t="inlineStr">
        <is>
          <t>是</t>
        </is>
      </c>
      <c r="V77" s="11" t="n">
        <v>49</v>
      </c>
      <c r="W77" s="11" t="inlineStr">
        <is>
          <t>否</t>
        </is>
      </c>
      <c r="X77" s="11" t="inlineStr">
        <is>
          <t>-</t>
        </is>
      </c>
      <c r="Y77" s="11" t="inlineStr">
        <is>
          <t>-</t>
        </is>
      </c>
      <c r="Z77" s="11" t="n">
        <v>0</v>
      </c>
      <c r="AA77" s="11" t="inlineStr">
        <is>
          <t>垫到60抽</t>
        </is>
      </c>
      <c r="AB77" s="12">
        <f>AE76</f>
        <v/>
      </c>
      <c r="AC77" s="12" t="n">
        <v>0</v>
      </c>
      <c r="AD77" s="12" t="n">
        <v>0</v>
      </c>
      <c r="AE77" s="12">
        <f>AB77+AC77+AD77</f>
        <v/>
      </c>
      <c r="AF77" s="13">
        <f>AI76</f>
        <v/>
      </c>
      <c r="AG77" s="13" t="n">
        <v>0</v>
      </c>
      <c r="AH77" s="13" t="n">
        <v>0</v>
      </c>
      <c r="AI77" s="13">
        <f>AF77+AG77+AH77</f>
        <v/>
      </c>
      <c r="AJ77" s="14" t="n">
        <v>0</v>
      </c>
      <c r="AK77" s="14" t="n">
        <v>0</v>
      </c>
      <c r="AL77" s="14" t="n">
        <v>0</v>
      </c>
      <c r="AM77" s="14">
        <f>AJ77+AK77+AL77</f>
        <v/>
      </c>
      <c r="AN77" s="14">
        <f>AN76+AM77</f>
        <v/>
      </c>
    </row>
    <row r="78">
      <c r="A78" s="8" t="n">
        <v>3</v>
      </c>
      <c r="B78" s="8" t="n">
        <v>13</v>
      </c>
      <c r="C78" s="8" t="n">
        <v>1</v>
      </c>
      <c r="D78" s="8" t="inlineStr">
        <is>
          <t>版本免费+义相逢 + 月卡收益 [月卡续费-30元]</t>
        </is>
      </c>
      <c r="E78" s="9">
        <f>K77</f>
        <v/>
      </c>
      <c r="F78" s="9" t="n">
        <v>1540</v>
      </c>
      <c r="G78" s="9" t="n">
        <v>4800</v>
      </c>
      <c r="H78" s="9" t="n">
        <v>0</v>
      </c>
      <c r="I78" s="9" t="n">
        <v>0</v>
      </c>
      <c r="J78" s="9" t="n">
        <v>0</v>
      </c>
      <c r="K78" s="9">
        <f>E78+F78+G78+H78+I78-J78</f>
        <v/>
      </c>
      <c r="L78" s="10">
        <f>Q77</f>
        <v/>
      </c>
      <c r="M78" s="10" t="n">
        <v>85</v>
      </c>
      <c r="N78" s="10" t="n">
        <v>11</v>
      </c>
      <c r="O78" s="10">
        <f>J78/160</f>
        <v/>
      </c>
      <c r="P78" s="10" t="n">
        <v>90</v>
      </c>
      <c r="Q78" s="10">
        <f>L78+M78+N78+O78-P78</f>
        <v/>
      </c>
      <c r="R78" s="11">
        <f>T77</f>
        <v/>
      </c>
      <c r="S78" s="11">
        <f>N(V78) + N(X78) + N(Z78)</f>
        <v/>
      </c>
      <c r="T78" s="11">
        <f>R78+P78-S78</f>
        <v/>
      </c>
      <c r="U78" s="11" t="inlineStr">
        <is>
          <t>是</t>
        </is>
      </c>
      <c r="V78" s="11" t="n">
        <v>51</v>
      </c>
      <c r="W78" s="11" t="inlineStr">
        <is>
          <t>是</t>
        </is>
      </c>
      <c r="X78" s="11" t="n">
        <v>51</v>
      </c>
      <c r="Y78" s="11" t="inlineStr">
        <is>
          <t>-</t>
        </is>
      </c>
      <c r="Z78" s="11" t="n">
        <v>0</v>
      </c>
      <c r="AA78" s="11" t="inlineStr">
        <is>
          <t>无</t>
        </is>
      </c>
      <c r="AB78" s="12">
        <f>AE77</f>
        <v/>
      </c>
      <c r="AC78" s="12" t="n">
        <v>4</v>
      </c>
      <c r="AD78" s="12" t="n">
        <v>0</v>
      </c>
      <c r="AE78" s="12">
        <f>AB78+AC78+AD78</f>
        <v/>
      </c>
      <c r="AF78" s="13">
        <f>AI77</f>
        <v/>
      </c>
      <c r="AG78" s="13" t="n">
        <v>0</v>
      </c>
      <c r="AH78" s="13" t="n">
        <v>0</v>
      </c>
      <c r="AI78" s="13">
        <f>AF78+AG78+AH78</f>
        <v/>
      </c>
      <c r="AJ78" s="14" t="n">
        <v>30</v>
      </c>
      <c r="AK78" s="14" t="n">
        <v>50</v>
      </c>
      <c r="AL78" s="14" t="n">
        <v>0</v>
      </c>
      <c r="AM78" s="14">
        <f>AJ78+AK78+AL78</f>
        <v/>
      </c>
      <c r="AN78" s="14">
        <f>AN77+AM78</f>
        <v/>
      </c>
    </row>
    <row r="79">
      <c r="A79" s="8" t="n">
        <v>3</v>
      </c>
      <c r="B79" s="8" t="n">
        <v>13</v>
      </c>
      <c r="C79" s="8" t="n">
        <v>2</v>
      </c>
      <c r="D79" s="8" t="inlineStr">
        <is>
          <t>月卡收益</t>
        </is>
      </c>
      <c r="E79" s="9">
        <f>K78</f>
        <v/>
      </c>
      <c r="F79" s="9" t="n">
        <v>1540</v>
      </c>
      <c r="G79" s="9" t="n">
        <v>0</v>
      </c>
      <c r="H79" s="9" t="n">
        <v>0</v>
      </c>
      <c r="I79" s="9" t="n">
        <v>0</v>
      </c>
      <c r="J79" s="9" t="n">
        <v>7680</v>
      </c>
      <c r="K79" s="9">
        <f>E79+F79+G79+H79+I79-J79</f>
        <v/>
      </c>
      <c r="L79" s="10">
        <f>Q78</f>
        <v/>
      </c>
      <c r="M79" s="10" t="n">
        <v>0</v>
      </c>
      <c r="N79" s="10" t="n">
        <v>6</v>
      </c>
      <c r="O79" s="10">
        <f>J79/160</f>
        <v/>
      </c>
      <c r="P79" s="10" t="n">
        <v>60</v>
      </c>
      <c r="Q79" s="10">
        <f>L79+M79+N79+O79-P79</f>
        <v/>
      </c>
      <c r="R79" s="11">
        <f>T78</f>
        <v/>
      </c>
      <c r="S79" s="11">
        <f>N(V79) + N(X79) + N(Z79)</f>
        <v/>
      </c>
      <c r="T79" s="11">
        <f>R79+P79-S79</f>
        <v/>
      </c>
      <c r="U79" s="11" t="inlineStr">
        <is>
          <t>是</t>
        </is>
      </c>
      <c r="V79" s="11" t="n">
        <v>49</v>
      </c>
      <c r="W79" s="11" t="inlineStr">
        <is>
          <t>否</t>
        </is>
      </c>
      <c r="X79" s="11" t="inlineStr">
        <is>
          <t>-</t>
        </is>
      </c>
      <c r="Y79" s="11" t="inlineStr">
        <is>
          <t>-</t>
        </is>
      </c>
      <c r="Z79" s="11" t="n">
        <v>0</v>
      </c>
      <c r="AA79" s="11" t="inlineStr">
        <is>
          <t>垫到60抽</t>
        </is>
      </c>
      <c r="AB79" s="12">
        <f>AE78</f>
        <v/>
      </c>
      <c r="AC79" s="12" t="n">
        <v>0</v>
      </c>
      <c r="AD79" s="12" t="n">
        <v>0</v>
      </c>
      <c r="AE79" s="12">
        <f>AB79+AC79+AD79</f>
        <v/>
      </c>
      <c r="AF79" s="13">
        <f>AI78</f>
        <v/>
      </c>
      <c r="AG79" s="13" t="n">
        <v>0</v>
      </c>
      <c r="AH79" s="13" t="n">
        <v>0</v>
      </c>
      <c r="AI79" s="13">
        <f>AF79+AG79+AH79</f>
        <v/>
      </c>
      <c r="AJ79" s="14" t="n">
        <v>0</v>
      </c>
      <c r="AK79" s="14" t="n">
        <v>0</v>
      </c>
      <c r="AL79" s="14" t="n">
        <v>0</v>
      </c>
      <c r="AM79" s="14">
        <f>AJ79+AK79+AL79</f>
        <v/>
      </c>
      <c r="AN79" s="14">
        <f>AN78+AM79</f>
        <v/>
      </c>
    </row>
    <row r="80">
      <c r="A80" s="8" t="n">
        <v>4</v>
      </c>
      <c r="B80" s="8" t="n">
        <v>1</v>
      </c>
      <c r="C80" s="8" t="n">
        <v>1</v>
      </c>
      <c r="D80" s="8" t="inlineStr">
        <is>
          <t>版本免费+义相逢 + 月卡收益 [月卡续费-30元]</t>
        </is>
      </c>
      <c r="E80" s="9" t="n">
        <v>2520</v>
      </c>
      <c r="F80" s="9" t="n">
        <v>1540</v>
      </c>
      <c r="G80" s="9" t="n">
        <v>4800</v>
      </c>
      <c r="H80" s="9" t="n">
        <v>0</v>
      </c>
      <c r="I80" s="9" t="n">
        <v>0</v>
      </c>
      <c r="J80" s="9" t="n">
        <v>160</v>
      </c>
      <c r="K80" s="9">
        <f>E80+F80+G80+H80+I80-J80</f>
        <v/>
      </c>
      <c r="L80" s="10" t="n">
        <v>3</v>
      </c>
      <c r="M80" s="10" t="n">
        <v>85</v>
      </c>
      <c r="N80" s="10" t="n">
        <v>11</v>
      </c>
      <c r="O80" s="10">
        <f>J80/160</f>
        <v/>
      </c>
      <c r="P80" s="10" t="n">
        <v>100</v>
      </c>
      <c r="Q80" s="10">
        <f>L80+M80+N80+O80-P80</f>
        <v/>
      </c>
      <c r="R80" s="11" t="n">
        <v>11</v>
      </c>
      <c r="S80" s="11">
        <f>N(V80) + N(X80) + N(Z80)</f>
        <v/>
      </c>
      <c r="T80" s="11">
        <f>R80+P80-S80</f>
        <v/>
      </c>
      <c r="U80" s="11" t="inlineStr">
        <is>
          <t>是</t>
        </is>
      </c>
      <c r="V80" s="11" t="n">
        <v>51</v>
      </c>
      <c r="W80" s="11" t="inlineStr">
        <is>
          <t>是</t>
        </is>
      </c>
      <c r="X80" s="11" t="n">
        <v>51</v>
      </c>
      <c r="Y80" s="11" t="inlineStr">
        <is>
          <t>-</t>
        </is>
      </c>
      <c r="Z80" s="11" t="n">
        <v>0</v>
      </c>
      <c r="AA80" s="11" t="inlineStr">
        <is>
          <t>无</t>
        </is>
      </c>
      <c r="AB80" s="12" t="n">
        <v>161</v>
      </c>
      <c r="AC80" s="12" t="n">
        <v>4</v>
      </c>
      <c r="AD80" s="12" t="n">
        <v>0</v>
      </c>
      <c r="AE80" s="12">
        <f>AB80+AC80+AD80</f>
        <v/>
      </c>
      <c r="AF80" s="13" t="n">
        <v>25000</v>
      </c>
      <c r="AG80" s="13" t="n">
        <v>0</v>
      </c>
      <c r="AH80" s="13" t="n">
        <v>0</v>
      </c>
      <c r="AI80" s="13">
        <f>AF80+AG80+AH80</f>
        <v/>
      </c>
      <c r="AJ80" s="14" t="n">
        <v>30</v>
      </c>
      <c r="AK80" s="14" t="n">
        <v>50</v>
      </c>
      <c r="AL80" s="14" t="n">
        <v>0</v>
      </c>
      <c r="AM80" s="14">
        <f>AJ80+AK80+AL80</f>
        <v/>
      </c>
      <c r="AN80" s="14">
        <f>AM80</f>
        <v/>
      </c>
    </row>
    <row r="81">
      <c r="A81" s="8" t="n">
        <v>4</v>
      </c>
      <c r="B81" s="8" t="n">
        <v>1</v>
      </c>
      <c r="C81" s="8" t="n">
        <v>2</v>
      </c>
      <c r="D81" s="8" t="inlineStr">
        <is>
          <t>月卡收益</t>
        </is>
      </c>
      <c r="E81" s="9">
        <f>K80</f>
        <v/>
      </c>
      <c r="F81" s="9" t="n">
        <v>1540</v>
      </c>
      <c r="G81" s="9" t="n">
        <v>0</v>
      </c>
      <c r="H81" s="9" t="n">
        <v>0</v>
      </c>
      <c r="I81" s="9" t="n">
        <v>0</v>
      </c>
      <c r="J81" s="9" t="n">
        <v>5920</v>
      </c>
      <c r="K81" s="9">
        <f>E81+F81+G81+H81+I81-J81</f>
        <v/>
      </c>
      <c r="L81" s="10">
        <f>Q80</f>
        <v/>
      </c>
      <c r="M81" s="10" t="n">
        <v>0</v>
      </c>
      <c r="N81" s="10" t="n">
        <v>3</v>
      </c>
      <c r="O81" s="10">
        <f>J81/160</f>
        <v/>
      </c>
      <c r="P81" s="10" t="n">
        <v>40</v>
      </c>
      <c r="Q81" s="10">
        <f>L81+M81+N81+O81-P81</f>
        <v/>
      </c>
      <c r="R81" s="11">
        <f>T80</f>
        <v/>
      </c>
      <c r="S81" s="11">
        <f>N(V81) + N(X81) + N(Z81)</f>
        <v/>
      </c>
      <c r="T81" s="11">
        <f>R81+P81-S81</f>
        <v/>
      </c>
      <c r="U81" s="11" t="inlineStr">
        <is>
          <t>是</t>
        </is>
      </c>
      <c r="V81" s="11" t="n">
        <v>49</v>
      </c>
      <c r="W81" s="11" t="inlineStr">
        <is>
          <t>否</t>
        </is>
      </c>
      <c r="X81" s="11" t="inlineStr">
        <is>
          <t>-</t>
        </is>
      </c>
      <c r="Y81" s="11" t="inlineStr">
        <is>
          <t>-</t>
        </is>
      </c>
      <c r="Z81" s="11" t="n">
        <v>0</v>
      </c>
      <c r="AA81" s="11" t="inlineStr">
        <is>
          <t>无</t>
        </is>
      </c>
      <c r="AB81" s="12">
        <f>AE80</f>
        <v/>
      </c>
      <c r="AC81" s="12" t="n">
        <v>0</v>
      </c>
      <c r="AD81" s="12" t="n">
        <v>0</v>
      </c>
      <c r="AE81" s="12">
        <f>AB81+AC81+AD81</f>
        <v/>
      </c>
      <c r="AF81" s="13">
        <f>AI80</f>
        <v/>
      </c>
      <c r="AG81" s="13" t="n">
        <v>0</v>
      </c>
      <c r="AH81" s="13" t="n">
        <v>0</v>
      </c>
      <c r="AI81" s="13">
        <f>AF81+AG81+AH81</f>
        <v/>
      </c>
      <c r="AJ81" s="14" t="n">
        <v>0</v>
      </c>
      <c r="AK81" s="14" t="n">
        <v>0</v>
      </c>
      <c r="AL81" s="14" t="n">
        <v>0</v>
      </c>
      <c r="AM81" s="14">
        <f>AJ81+AK81+AL81</f>
        <v/>
      </c>
      <c r="AN81" s="14">
        <f>AN80+AM81</f>
        <v/>
      </c>
    </row>
    <row r="82">
      <c r="A82" s="8" t="n">
        <v>4</v>
      </c>
      <c r="B82" s="8" t="n">
        <v>2</v>
      </c>
      <c r="C82" s="8" t="n">
        <v>1</v>
      </c>
      <c r="D82" s="8" t="inlineStr">
        <is>
          <t>版本免费+义相逢 + 月卡收益 [月卡续费-30元]</t>
        </is>
      </c>
      <c r="E82" s="9">
        <f>K81</f>
        <v/>
      </c>
      <c r="F82" s="9" t="n">
        <v>1540</v>
      </c>
      <c r="G82" s="9" t="n">
        <v>4800</v>
      </c>
      <c r="H82" s="9" t="n">
        <v>0</v>
      </c>
      <c r="I82" s="9" t="n">
        <v>0</v>
      </c>
      <c r="J82" s="9" t="n">
        <v>0</v>
      </c>
      <c r="K82" s="9">
        <f>E82+F82+G82+H82+I82-J82</f>
        <v/>
      </c>
      <c r="L82" s="10">
        <f>Q81</f>
        <v/>
      </c>
      <c r="M82" s="10" t="n">
        <v>85</v>
      </c>
      <c r="N82" s="10" t="n">
        <v>6</v>
      </c>
      <c r="O82" s="10">
        <f>J82/160</f>
        <v/>
      </c>
      <c r="P82" s="10" t="n">
        <v>60</v>
      </c>
      <c r="Q82" s="10">
        <f>L82+M82+N82+O82-P82</f>
        <v/>
      </c>
      <c r="R82" s="11">
        <f>T81</f>
        <v/>
      </c>
      <c r="S82" s="11">
        <f>N(V82) + N(X82) + N(Z82)</f>
        <v/>
      </c>
      <c r="T82" s="11">
        <f>R82+P82-S82</f>
        <v/>
      </c>
      <c r="U82" s="11" t="inlineStr">
        <is>
          <t>是</t>
        </is>
      </c>
      <c r="V82" s="11" t="n">
        <v>48</v>
      </c>
      <c r="W82" s="11" t="inlineStr">
        <is>
          <t>否</t>
        </is>
      </c>
      <c r="X82" s="11" t="inlineStr">
        <is>
          <t>-</t>
        </is>
      </c>
      <c r="Y82" s="11" t="inlineStr">
        <is>
          <t>-</t>
        </is>
      </c>
      <c r="Z82" s="11" t="n">
        <v>0</v>
      </c>
      <c r="AA82" s="11" t="inlineStr">
        <is>
          <t>垫到60抽</t>
        </is>
      </c>
      <c r="AB82" s="12">
        <f>AE81</f>
        <v/>
      </c>
      <c r="AC82" s="12" t="n">
        <v>4</v>
      </c>
      <c r="AD82" s="12" t="n">
        <v>0</v>
      </c>
      <c r="AE82" s="12">
        <f>AB82+AC82+AD82</f>
        <v/>
      </c>
      <c r="AF82" s="13">
        <f>AI81</f>
        <v/>
      </c>
      <c r="AG82" s="13" t="n">
        <v>0</v>
      </c>
      <c r="AH82" s="13" t="n">
        <v>0</v>
      </c>
      <c r="AI82" s="13">
        <f>AF82+AG82+AH82</f>
        <v/>
      </c>
      <c r="AJ82" s="14" t="n">
        <v>30</v>
      </c>
      <c r="AK82" s="14" t="n">
        <v>50</v>
      </c>
      <c r="AL82" s="14" t="n">
        <v>0</v>
      </c>
      <c r="AM82" s="14">
        <f>AJ82+AK82+AL82</f>
        <v/>
      </c>
      <c r="AN82" s="14">
        <f>AN81+AM82</f>
        <v/>
      </c>
    </row>
    <row r="83">
      <c r="A83" s="8" t="n">
        <v>4</v>
      </c>
      <c r="B83" s="8" t="n">
        <v>2</v>
      </c>
      <c r="C83" s="8" t="n">
        <v>2</v>
      </c>
      <c r="D83" s="8" t="inlineStr">
        <is>
          <t>月卡收益</t>
        </is>
      </c>
      <c r="E83" s="9">
        <f>K82</f>
        <v/>
      </c>
      <c r="F83" s="9" t="n">
        <v>1540</v>
      </c>
      <c r="G83" s="9" t="n">
        <v>0</v>
      </c>
      <c r="H83" s="9" t="n">
        <v>0</v>
      </c>
      <c r="I83" s="9" t="n">
        <v>0</v>
      </c>
      <c r="J83" s="9" t="n">
        <v>8480</v>
      </c>
      <c r="K83" s="9">
        <f>E83+F83+G83+H83+I83-J83</f>
        <v/>
      </c>
      <c r="L83" s="10">
        <f>Q82</f>
        <v/>
      </c>
      <c r="M83" s="10" t="n">
        <v>0</v>
      </c>
      <c r="N83" s="10" t="n">
        <v>11</v>
      </c>
      <c r="O83" s="10">
        <f>J83/160</f>
        <v/>
      </c>
      <c r="P83" s="10" t="n">
        <v>90</v>
      </c>
      <c r="Q83" s="10">
        <f>L83+M83+N83+O83-P83</f>
        <v/>
      </c>
      <c r="R83" s="11">
        <f>T82</f>
        <v/>
      </c>
      <c r="S83" s="11">
        <f>N(V83) + N(X83) + N(Z83)</f>
        <v/>
      </c>
      <c r="T83" s="11">
        <f>R83+P83-S83</f>
        <v/>
      </c>
      <c r="U83" s="11" t="inlineStr">
        <is>
          <t>是</t>
        </is>
      </c>
      <c r="V83" s="11" t="n">
        <v>46</v>
      </c>
      <c r="W83" s="11" t="inlineStr">
        <is>
          <t>是</t>
        </is>
      </c>
      <c r="X83" s="11" t="n">
        <v>52</v>
      </c>
      <c r="Y83" s="11" t="inlineStr">
        <is>
          <t>-</t>
        </is>
      </c>
      <c r="Z83" s="11" t="n">
        <v>0</v>
      </c>
      <c r="AA83" s="11" t="inlineStr">
        <is>
          <t>无</t>
        </is>
      </c>
      <c r="AB83" s="12">
        <f>AE82</f>
        <v/>
      </c>
      <c r="AC83" s="12" t="n">
        <v>0</v>
      </c>
      <c r="AD83" s="12" t="n">
        <v>0</v>
      </c>
      <c r="AE83" s="12">
        <f>AB83+AC83+AD83</f>
        <v/>
      </c>
      <c r="AF83" s="13">
        <f>AI82</f>
        <v/>
      </c>
      <c r="AG83" s="13" t="n">
        <v>0</v>
      </c>
      <c r="AH83" s="13" t="n">
        <v>0</v>
      </c>
      <c r="AI83" s="13">
        <f>AF83+AG83+AH83</f>
        <v/>
      </c>
      <c r="AJ83" s="14" t="n">
        <v>0</v>
      </c>
      <c r="AK83" s="14" t="n">
        <v>0</v>
      </c>
      <c r="AL83" s="14" t="n">
        <v>0</v>
      </c>
      <c r="AM83" s="14">
        <f>AJ83+AK83+AL83</f>
        <v/>
      </c>
      <c r="AN83" s="14">
        <f>AN82+AM83</f>
        <v/>
      </c>
    </row>
    <row r="84">
      <c r="A84" s="8" t="n">
        <v>4</v>
      </c>
      <c r="B84" s="8" t="n">
        <v>3</v>
      </c>
      <c r="C84" s="8" t="n">
        <v>1</v>
      </c>
      <c r="D84" s="8" t="inlineStr">
        <is>
          <t>版本免费+义相逢 + 月卡收益 [月卡续费-30元]</t>
        </is>
      </c>
      <c r="E84" s="9">
        <f>K83</f>
        <v/>
      </c>
      <c r="F84" s="9" t="n">
        <v>1540</v>
      </c>
      <c r="G84" s="9" t="n">
        <v>4800</v>
      </c>
      <c r="H84" s="9" t="n">
        <v>0</v>
      </c>
      <c r="I84" s="9" t="n">
        <v>0</v>
      </c>
      <c r="J84" s="9" t="n">
        <v>0</v>
      </c>
      <c r="K84" s="9">
        <f>E84+F84+G84+H84+I84-J84</f>
        <v/>
      </c>
      <c r="L84" s="10">
        <f>Q83</f>
        <v/>
      </c>
      <c r="M84" s="10" t="n">
        <v>85</v>
      </c>
      <c r="N84" s="10" t="n">
        <v>6</v>
      </c>
      <c r="O84" s="10">
        <f>J84/160</f>
        <v/>
      </c>
      <c r="P84" s="10" t="n">
        <v>60</v>
      </c>
      <c r="Q84" s="10">
        <f>L84+M84+N84+O84-P84</f>
        <v/>
      </c>
      <c r="R84" s="11">
        <f>T83</f>
        <v/>
      </c>
      <c r="S84" s="11">
        <f>N(V84) + N(X84) + N(Z84)</f>
        <v/>
      </c>
      <c r="T84" s="11">
        <f>R84+P84-S84</f>
        <v/>
      </c>
      <c r="U84" s="11" t="inlineStr">
        <is>
          <t>是</t>
        </is>
      </c>
      <c r="V84" s="11" t="n">
        <v>53</v>
      </c>
      <c r="W84" s="11" t="inlineStr">
        <is>
          <t>否</t>
        </is>
      </c>
      <c r="X84" s="11" t="inlineStr">
        <is>
          <t>-</t>
        </is>
      </c>
      <c r="Y84" s="11" t="inlineStr">
        <is>
          <t>-</t>
        </is>
      </c>
      <c r="Z84" s="11" t="n">
        <v>0</v>
      </c>
      <c r="AA84" s="11" t="inlineStr">
        <is>
          <t>垫到60抽</t>
        </is>
      </c>
      <c r="AB84" s="12">
        <f>AE83</f>
        <v/>
      </c>
      <c r="AC84" s="12" t="n">
        <v>4</v>
      </c>
      <c r="AD84" s="12" t="n">
        <v>0</v>
      </c>
      <c r="AE84" s="12">
        <f>AB84+AC84+AD84</f>
        <v/>
      </c>
      <c r="AF84" s="13">
        <f>AI83</f>
        <v/>
      </c>
      <c r="AG84" s="13" t="n">
        <v>0</v>
      </c>
      <c r="AH84" s="13" t="n">
        <v>0</v>
      </c>
      <c r="AI84" s="13">
        <f>AF84+AG84+AH84</f>
        <v/>
      </c>
      <c r="AJ84" s="14" t="n">
        <v>30</v>
      </c>
      <c r="AK84" s="14" t="n">
        <v>50</v>
      </c>
      <c r="AL84" s="14" t="n">
        <v>0</v>
      </c>
      <c r="AM84" s="14">
        <f>AJ84+AK84+AL84</f>
        <v/>
      </c>
      <c r="AN84" s="14">
        <f>AN83+AM84</f>
        <v/>
      </c>
    </row>
    <row r="85">
      <c r="A85" s="8" t="n">
        <v>4</v>
      </c>
      <c r="B85" s="8" t="n">
        <v>3</v>
      </c>
      <c r="C85" s="8" t="n">
        <v>2</v>
      </c>
      <c r="D85" s="8" t="inlineStr">
        <is>
          <t>月卡收益</t>
        </is>
      </c>
      <c r="E85" s="9">
        <f>K84</f>
        <v/>
      </c>
      <c r="F85" s="9" t="n">
        <v>1540</v>
      </c>
      <c r="G85" s="9" t="n">
        <v>0</v>
      </c>
      <c r="H85" s="9" t="n">
        <v>0</v>
      </c>
      <c r="I85" s="9" t="n">
        <v>0</v>
      </c>
      <c r="J85" s="9" t="n">
        <v>7680</v>
      </c>
      <c r="K85" s="9">
        <f>E85+F85+G85+H85+I85-J85</f>
        <v/>
      </c>
      <c r="L85" s="10">
        <f>Q84</f>
        <v/>
      </c>
      <c r="M85" s="10" t="n">
        <v>0</v>
      </c>
      <c r="N85" s="10" t="n">
        <v>11</v>
      </c>
      <c r="O85" s="10">
        <f>J85/160</f>
        <v/>
      </c>
      <c r="P85" s="10" t="n">
        <v>90</v>
      </c>
      <c r="Q85" s="10">
        <f>L85+M85+N85+O85-P85</f>
        <v/>
      </c>
      <c r="R85" s="11">
        <f>T84</f>
        <v/>
      </c>
      <c r="S85" s="11">
        <f>N(V85) + N(X85) + N(Z85)</f>
        <v/>
      </c>
      <c r="T85" s="11">
        <f>R85+P85-S85</f>
        <v/>
      </c>
      <c r="U85" s="11" t="inlineStr">
        <is>
          <t>是</t>
        </is>
      </c>
      <c r="V85" s="11" t="n">
        <v>50</v>
      </c>
      <c r="W85" s="11" t="inlineStr">
        <is>
          <t>是</t>
        </is>
      </c>
      <c r="X85" s="11" t="n">
        <v>47</v>
      </c>
      <c r="Y85" s="11" t="inlineStr">
        <is>
          <t>-</t>
        </is>
      </c>
      <c r="Z85" s="11" t="n">
        <v>0</v>
      </c>
      <c r="AA85" s="11" t="inlineStr">
        <is>
          <t>无</t>
        </is>
      </c>
      <c r="AB85" s="12">
        <f>AE84</f>
        <v/>
      </c>
      <c r="AC85" s="12" t="n">
        <v>0</v>
      </c>
      <c r="AD85" s="12" t="n">
        <v>0</v>
      </c>
      <c r="AE85" s="12">
        <f>AB85+AC85+AD85</f>
        <v/>
      </c>
      <c r="AF85" s="13">
        <f>AI84</f>
        <v/>
      </c>
      <c r="AG85" s="13" t="n">
        <v>0</v>
      </c>
      <c r="AH85" s="13" t="n">
        <v>0</v>
      </c>
      <c r="AI85" s="13">
        <f>AF85+AG85+AH85</f>
        <v/>
      </c>
      <c r="AJ85" s="14" t="n">
        <v>0</v>
      </c>
      <c r="AK85" s="14" t="n">
        <v>0</v>
      </c>
      <c r="AL85" s="14" t="n">
        <v>0</v>
      </c>
      <c r="AM85" s="14">
        <f>AJ85+AK85+AL85</f>
        <v/>
      </c>
      <c r="AN85" s="14">
        <f>AN84+AM85</f>
        <v/>
      </c>
    </row>
    <row r="86">
      <c r="A86" s="8" t="n">
        <v>4</v>
      </c>
      <c r="B86" s="8" t="n">
        <v>4</v>
      </c>
      <c r="C86" s="8" t="n">
        <v>1</v>
      </c>
      <c r="D86" s="8" t="inlineStr">
        <is>
          <t>版本免费+义相逢 + 月卡收益 [月卡续费-30元]</t>
        </is>
      </c>
      <c r="E86" s="9">
        <f>K85</f>
        <v/>
      </c>
      <c r="F86" s="9" t="n">
        <v>1540</v>
      </c>
      <c r="G86" s="9" t="n">
        <v>4800</v>
      </c>
      <c r="H86" s="9" t="n">
        <v>0</v>
      </c>
      <c r="I86" s="9" t="n">
        <v>0</v>
      </c>
      <c r="J86" s="9" t="n">
        <v>0</v>
      </c>
      <c r="K86" s="9">
        <f>E86+F86+G86+H86+I86-J86</f>
        <v/>
      </c>
      <c r="L86" s="10">
        <f>Q85</f>
        <v/>
      </c>
      <c r="M86" s="10" t="n">
        <v>85</v>
      </c>
      <c r="N86" s="10" t="n">
        <v>6</v>
      </c>
      <c r="O86" s="10">
        <f>J86/160</f>
        <v/>
      </c>
      <c r="P86" s="10" t="n">
        <v>60</v>
      </c>
      <c r="Q86" s="10">
        <f>L86+M86+N86+O86-P86</f>
        <v/>
      </c>
      <c r="R86" s="11">
        <f>T85</f>
        <v/>
      </c>
      <c r="S86" s="11">
        <f>N(V86) + N(X86) + N(Z86)</f>
        <v/>
      </c>
      <c r="T86" s="11">
        <f>R86+P86-S86</f>
        <v/>
      </c>
      <c r="U86" s="11" t="inlineStr">
        <is>
          <t>是</t>
        </is>
      </c>
      <c r="V86" s="11" t="n">
        <v>51</v>
      </c>
      <c r="W86" s="11" t="inlineStr">
        <is>
          <t>否</t>
        </is>
      </c>
      <c r="X86" s="11" t="inlineStr">
        <is>
          <t>-</t>
        </is>
      </c>
      <c r="Y86" s="11" t="inlineStr">
        <is>
          <t>-</t>
        </is>
      </c>
      <c r="Z86" s="11" t="n">
        <v>0</v>
      </c>
      <c r="AA86" s="11" t="inlineStr">
        <is>
          <t>垫到60抽</t>
        </is>
      </c>
      <c r="AB86" s="12">
        <f>AE85</f>
        <v/>
      </c>
      <c r="AC86" s="12" t="n">
        <v>4</v>
      </c>
      <c r="AD86" s="12" t="n">
        <v>0</v>
      </c>
      <c r="AE86" s="12">
        <f>AB86+AC86+AD86</f>
        <v/>
      </c>
      <c r="AF86" s="13">
        <f>AI85</f>
        <v/>
      </c>
      <c r="AG86" s="13" t="n">
        <v>0</v>
      </c>
      <c r="AH86" s="13" t="n">
        <v>0</v>
      </c>
      <c r="AI86" s="13">
        <f>AF86+AG86+AH86</f>
        <v/>
      </c>
      <c r="AJ86" s="14" t="n">
        <v>30</v>
      </c>
      <c r="AK86" s="14" t="n">
        <v>50</v>
      </c>
      <c r="AL86" s="14" t="n">
        <v>0</v>
      </c>
      <c r="AM86" s="14">
        <f>AJ86+AK86+AL86</f>
        <v/>
      </c>
      <c r="AN86" s="14">
        <f>AN85+AM86</f>
        <v/>
      </c>
    </row>
    <row r="87">
      <c r="A87" s="8" t="n">
        <v>4</v>
      </c>
      <c r="B87" s="8" t="n">
        <v>4</v>
      </c>
      <c r="C87" s="8" t="n">
        <v>2</v>
      </c>
      <c r="D87" s="8" t="inlineStr">
        <is>
          <t>月卡收益</t>
        </is>
      </c>
      <c r="E87" s="9">
        <f>K86</f>
        <v/>
      </c>
      <c r="F87" s="9" t="n">
        <v>1540</v>
      </c>
      <c r="G87" s="9" t="n">
        <v>0</v>
      </c>
      <c r="H87" s="9" t="n">
        <v>0</v>
      </c>
      <c r="I87" s="9" t="n">
        <v>0</v>
      </c>
      <c r="J87" s="9" t="n">
        <v>7680</v>
      </c>
      <c r="K87" s="9">
        <f>E87+F87+G87+H87+I87-J87</f>
        <v/>
      </c>
      <c r="L87" s="10">
        <f>Q86</f>
        <v/>
      </c>
      <c r="M87" s="10" t="n">
        <v>0</v>
      </c>
      <c r="N87" s="10" t="n">
        <v>11</v>
      </c>
      <c r="O87" s="10">
        <f>J87/160</f>
        <v/>
      </c>
      <c r="P87" s="10" t="n">
        <v>90</v>
      </c>
      <c r="Q87" s="10">
        <f>L87+M87+N87+O87-P87</f>
        <v/>
      </c>
      <c r="R87" s="11">
        <f>T86</f>
        <v/>
      </c>
      <c r="S87" s="11">
        <f>N(V87) + N(X87) + N(Z87)</f>
        <v/>
      </c>
      <c r="T87" s="11">
        <f>R87+P87-S87</f>
        <v/>
      </c>
      <c r="U87" s="11" t="inlineStr">
        <is>
          <t>是</t>
        </is>
      </c>
      <c r="V87" s="11" t="n">
        <v>47</v>
      </c>
      <c r="W87" s="11" t="inlineStr">
        <is>
          <t>是</t>
        </is>
      </c>
      <c r="X87" s="11" t="n">
        <v>55</v>
      </c>
      <c r="Y87" s="11" t="inlineStr">
        <is>
          <t>-</t>
        </is>
      </c>
      <c r="Z87" s="11" t="n">
        <v>0</v>
      </c>
      <c r="AA87" s="11" t="inlineStr">
        <is>
          <t>无</t>
        </is>
      </c>
      <c r="AB87" s="12">
        <f>AE86</f>
        <v/>
      </c>
      <c r="AC87" s="12" t="n">
        <v>0</v>
      </c>
      <c r="AD87" s="12" t="n">
        <v>0</v>
      </c>
      <c r="AE87" s="12">
        <f>AB87+AC87+AD87</f>
        <v/>
      </c>
      <c r="AF87" s="13">
        <f>AI86</f>
        <v/>
      </c>
      <c r="AG87" s="13" t="n">
        <v>0</v>
      </c>
      <c r="AH87" s="13" t="n">
        <v>0</v>
      </c>
      <c r="AI87" s="13">
        <f>AF87+AG87+AH87</f>
        <v/>
      </c>
      <c r="AJ87" s="14" t="n">
        <v>0</v>
      </c>
      <c r="AK87" s="14" t="n">
        <v>0</v>
      </c>
      <c r="AL87" s="14" t="n">
        <v>0</v>
      </c>
      <c r="AM87" s="14">
        <f>AJ87+AK87+AL87</f>
        <v/>
      </c>
      <c r="AN87" s="14">
        <f>AN86+AM87</f>
        <v/>
      </c>
    </row>
    <row r="88">
      <c r="A88" s="8" t="n">
        <v>4</v>
      </c>
      <c r="B88" s="8" t="n">
        <v>5</v>
      </c>
      <c r="C88" s="8" t="n">
        <v>1</v>
      </c>
      <c r="D88" s="8" t="inlineStr">
        <is>
          <t>版本免费+义相逢 + 月卡收益 [月卡续费-30元]</t>
        </is>
      </c>
      <c r="E88" s="9">
        <f>K87</f>
        <v/>
      </c>
      <c r="F88" s="9" t="n">
        <v>1540</v>
      </c>
      <c r="G88" s="9" t="n">
        <v>4800</v>
      </c>
      <c r="H88" s="9" t="n">
        <v>0</v>
      </c>
      <c r="I88" s="9" t="n">
        <v>0</v>
      </c>
      <c r="J88" s="9" t="n">
        <v>0</v>
      </c>
      <c r="K88" s="9">
        <f>E88+F88+G88+H88+I88-J88</f>
        <v/>
      </c>
      <c r="L88" s="10">
        <f>Q87</f>
        <v/>
      </c>
      <c r="M88" s="10" t="n">
        <v>85</v>
      </c>
      <c r="N88" s="10" t="n">
        <v>11</v>
      </c>
      <c r="O88" s="10">
        <f>J88/160</f>
        <v/>
      </c>
      <c r="P88" s="10" t="n">
        <v>100</v>
      </c>
      <c r="Q88" s="10">
        <f>L88+M88+N88+O88-P88</f>
        <v/>
      </c>
      <c r="R88" s="11">
        <f>T87</f>
        <v/>
      </c>
      <c r="S88" s="11">
        <f>N(V88) + N(X88) + N(Z88)</f>
        <v/>
      </c>
      <c r="T88" s="11">
        <f>R88+P88-S88</f>
        <v/>
      </c>
      <c r="U88" s="11" t="inlineStr">
        <is>
          <t>是</t>
        </is>
      </c>
      <c r="V88" s="11" t="n">
        <v>48</v>
      </c>
      <c r="W88" s="11" t="inlineStr">
        <is>
          <t>是</t>
        </is>
      </c>
      <c r="X88" s="11" t="n">
        <v>46</v>
      </c>
      <c r="Y88" s="11" t="inlineStr">
        <is>
          <t>-</t>
        </is>
      </c>
      <c r="Z88" s="11" t="n">
        <v>0</v>
      </c>
      <c r="AA88" s="11" t="inlineStr">
        <is>
          <t>无</t>
        </is>
      </c>
      <c r="AB88" s="12">
        <f>AE87</f>
        <v/>
      </c>
      <c r="AC88" s="12" t="n">
        <v>4</v>
      </c>
      <c r="AD88" s="12" t="n">
        <v>0</v>
      </c>
      <c r="AE88" s="12">
        <f>AB88+AC88+AD88</f>
        <v/>
      </c>
      <c r="AF88" s="13">
        <f>AI87</f>
        <v/>
      </c>
      <c r="AG88" s="13" t="n">
        <v>0</v>
      </c>
      <c r="AH88" s="13" t="n">
        <v>0</v>
      </c>
      <c r="AI88" s="13">
        <f>AF88+AG88+AH88</f>
        <v/>
      </c>
      <c r="AJ88" s="14" t="n">
        <v>30</v>
      </c>
      <c r="AK88" s="14" t="n">
        <v>50</v>
      </c>
      <c r="AL88" s="14" t="n">
        <v>0</v>
      </c>
      <c r="AM88" s="14">
        <f>AJ88+AK88+AL88</f>
        <v/>
      </c>
      <c r="AN88" s="14">
        <f>AN87+AM88</f>
        <v/>
      </c>
    </row>
    <row r="89">
      <c r="A89" s="8" t="n">
        <v>4</v>
      </c>
      <c r="B89" s="8" t="n">
        <v>5</v>
      </c>
      <c r="C89" s="8" t="n">
        <v>2</v>
      </c>
      <c r="D89" s="8" t="inlineStr">
        <is>
          <t>月卡收益</t>
        </is>
      </c>
      <c r="E89" s="9">
        <f>K88</f>
        <v/>
      </c>
      <c r="F89" s="9" t="n">
        <v>1540</v>
      </c>
      <c r="G89" s="9" t="n">
        <v>0</v>
      </c>
      <c r="H89" s="9" t="n">
        <v>0</v>
      </c>
      <c r="I89" s="9" t="n">
        <v>0</v>
      </c>
      <c r="J89" s="9" t="n">
        <v>8960</v>
      </c>
      <c r="K89" s="9">
        <f>E89+F89+G89+H89+I89-J89</f>
        <v/>
      </c>
      <c r="L89" s="10">
        <f>Q88</f>
        <v/>
      </c>
      <c r="M89" s="10" t="n">
        <v>0</v>
      </c>
      <c r="N89" s="10" t="n">
        <v>6</v>
      </c>
      <c r="O89" s="10">
        <f>J89/160</f>
        <v/>
      </c>
      <c r="P89" s="10" t="n">
        <v>60</v>
      </c>
      <c r="Q89" s="10">
        <f>L89+M89+N89+O89-P89</f>
        <v/>
      </c>
      <c r="R89" s="11">
        <f>T88</f>
        <v/>
      </c>
      <c r="S89" s="11">
        <f>N(V89) + N(X89) + N(Z89)</f>
        <v/>
      </c>
      <c r="T89" s="11">
        <f>R89+P89-S89</f>
        <v/>
      </c>
      <c r="U89" s="11" t="inlineStr">
        <is>
          <t>是</t>
        </is>
      </c>
      <c r="V89" s="11" t="n">
        <v>51</v>
      </c>
      <c r="W89" s="11" t="inlineStr">
        <is>
          <t>否</t>
        </is>
      </c>
      <c r="X89" s="11" t="inlineStr">
        <is>
          <t>-</t>
        </is>
      </c>
      <c r="Y89" s="11" t="inlineStr">
        <is>
          <t>-</t>
        </is>
      </c>
      <c r="Z89" s="11" t="n">
        <v>0</v>
      </c>
      <c r="AA89" s="11" t="inlineStr">
        <is>
          <t>垫到60抽</t>
        </is>
      </c>
      <c r="AB89" s="12">
        <f>AE88</f>
        <v/>
      </c>
      <c r="AC89" s="12" t="n">
        <v>0</v>
      </c>
      <c r="AD89" s="12" t="n">
        <v>0</v>
      </c>
      <c r="AE89" s="12">
        <f>AB89+AC89+AD89</f>
        <v/>
      </c>
      <c r="AF89" s="13">
        <f>AI88</f>
        <v/>
      </c>
      <c r="AG89" s="13" t="n">
        <v>0</v>
      </c>
      <c r="AH89" s="13" t="n">
        <v>0</v>
      </c>
      <c r="AI89" s="13">
        <f>AF89+AG89+AH89</f>
        <v/>
      </c>
      <c r="AJ89" s="14" t="n">
        <v>0</v>
      </c>
      <c r="AK89" s="14" t="n">
        <v>0</v>
      </c>
      <c r="AL89" s="14" t="n">
        <v>0</v>
      </c>
      <c r="AM89" s="14">
        <f>AJ89+AK89+AL89</f>
        <v/>
      </c>
      <c r="AN89" s="14">
        <f>AN88+AM89</f>
        <v/>
      </c>
    </row>
    <row r="90">
      <c r="A90" s="8" t="n">
        <v>4</v>
      </c>
      <c r="B90" s="8" t="n">
        <v>6</v>
      </c>
      <c r="C90" s="8" t="n">
        <v>1</v>
      </c>
      <c r="D90" s="8" t="inlineStr">
        <is>
          <t>版本免费+义相逢 + 月卡收益 [月卡续费-30元]</t>
        </is>
      </c>
      <c r="E90" s="9">
        <f>K89</f>
        <v/>
      </c>
      <c r="F90" s="9" t="n">
        <v>1540</v>
      </c>
      <c r="G90" s="9" t="n">
        <v>4800</v>
      </c>
      <c r="H90" s="9" t="n">
        <v>0</v>
      </c>
      <c r="I90" s="9" t="n">
        <v>0</v>
      </c>
      <c r="J90" s="9" t="n">
        <v>0</v>
      </c>
      <c r="K90" s="9">
        <f>E90+F90+G90+H90+I90-J90</f>
        <v/>
      </c>
      <c r="L90" s="10">
        <f>Q89</f>
        <v/>
      </c>
      <c r="M90" s="10" t="n">
        <v>85</v>
      </c>
      <c r="N90" s="10" t="n">
        <v>11</v>
      </c>
      <c r="O90" s="10">
        <f>J90/160</f>
        <v/>
      </c>
      <c r="P90" s="10" t="n">
        <v>90</v>
      </c>
      <c r="Q90" s="10">
        <f>L90+M90+N90+O90-P90</f>
        <v/>
      </c>
      <c r="R90" s="11">
        <f>T89</f>
        <v/>
      </c>
      <c r="S90" s="11">
        <f>N(V90) + N(X90) + N(Z90)</f>
        <v/>
      </c>
      <c r="T90" s="11">
        <f>R90+P90-S90</f>
        <v/>
      </c>
      <c r="U90" s="11" t="inlineStr">
        <is>
          <t>是</t>
        </is>
      </c>
      <c r="V90" s="11" t="n">
        <v>48</v>
      </c>
      <c r="W90" s="11" t="inlineStr">
        <is>
          <t>是</t>
        </is>
      </c>
      <c r="X90" s="11" t="n">
        <v>52</v>
      </c>
      <c r="Y90" s="11" t="inlineStr">
        <is>
          <t>-</t>
        </is>
      </c>
      <c r="Z90" s="11" t="n">
        <v>0</v>
      </c>
      <c r="AA90" s="11" t="inlineStr">
        <is>
          <t>无</t>
        </is>
      </c>
      <c r="AB90" s="12">
        <f>AE89</f>
        <v/>
      </c>
      <c r="AC90" s="12" t="n">
        <v>4</v>
      </c>
      <c r="AD90" s="12" t="n">
        <v>0</v>
      </c>
      <c r="AE90" s="12">
        <f>AB90+AC90+AD90</f>
        <v/>
      </c>
      <c r="AF90" s="13">
        <f>AI89</f>
        <v/>
      </c>
      <c r="AG90" s="13" t="n">
        <v>0</v>
      </c>
      <c r="AH90" s="13" t="n">
        <v>0</v>
      </c>
      <c r="AI90" s="13">
        <f>AF90+AG90+AH90</f>
        <v/>
      </c>
      <c r="AJ90" s="14" t="n">
        <v>30</v>
      </c>
      <c r="AK90" s="14" t="n">
        <v>50</v>
      </c>
      <c r="AL90" s="14" t="n">
        <v>0</v>
      </c>
      <c r="AM90" s="14">
        <f>AJ90+AK90+AL90</f>
        <v/>
      </c>
      <c r="AN90" s="14">
        <f>AN89+AM90</f>
        <v/>
      </c>
    </row>
    <row r="91">
      <c r="A91" s="8" t="n">
        <v>4</v>
      </c>
      <c r="B91" s="8" t="n">
        <v>6</v>
      </c>
      <c r="C91" s="8" t="n">
        <v>2</v>
      </c>
      <c r="D91" s="8" t="inlineStr">
        <is>
          <t>月卡收益</t>
        </is>
      </c>
      <c r="E91" s="9">
        <f>K90</f>
        <v/>
      </c>
      <c r="F91" s="9" t="n">
        <v>1540</v>
      </c>
      <c r="G91" s="9" t="n">
        <v>0</v>
      </c>
      <c r="H91" s="9" t="n">
        <v>0</v>
      </c>
      <c r="I91" s="9" t="n">
        <v>0</v>
      </c>
      <c r="J91" s="9" t="n">
        <v>10400</v>
      </c>
      <c r="K91" s="9">
        <f>E91+F91+G91+H91+I91-J91</f>
        <v/>
      </c>
      <c r="L91" s="10">
        <f>Q90</f>
        <v/>
      </c>
      <c r="M91" s="10" t="n">
        <v>0</v>
      </c>
      <c r="N91" s="10" t="n">
        <v>6</v>
      </c>
      <c r="O91" s="10">
        <f>J91/160</f>
        <v/>
      </c>
      <c r="P91" s="10" t="n">
        <v>80</v>
      </c>
      <c r="Q91" s="10">
        <f>L91+M91+N91+O91-P91</f>
        <v/>
      </c>
      <c r="R91" s="11">
        <f>T90</f>
        <v/>
      </c>
      <c r="S91" s="11">
        <f>N(V91) + N(X91) + N(Z91)</f>
        <v/>
      </c>
      <c r="T91" s="11">
        <f>R91+P91-S91</f>
        <v/>
      </c>
      <c r="U91" s="11" t="inlineStr">
        <is>
          <t>是</t>
        </is>
      </c>
      <c r="V91" s="11" t="n">
        <v>51</v>
      </c>
      <c r="W91" s="11" t="inlineStr">
        <is>
          <t>是</t>
        </is>
      </c>
      <c r="X91" s="11" t="n">
        <v>32</v>
      </c>
      <c r="Y91" s="11" t="inlineStr">
        <is>
          <t>-</t>
        </is>
      </c>
      <c r="Z91" s="11" t="n">
        <v>0</v>
      </c>
      <c r="AA91" s="11" t="inlineStr">
        <is>
          <t>垫到90抽</t>
        </is>
      </c>
      <c r="AB91" s="12">
        <f>AE90</f>
        <v/>
      </c>
      <c r="AC91" s="12" t="n">
        <v>0</v>
      </c>
      <c r="AD91" s="12" t="n">
        <v>0</v>
      </c>
      <c r="AE91" s="12">
        <f>AB91+AC91+AD91</f>
        <v/>
      </c>
      <c r="AF91" s="13">
        <f>AI90</f>
        <v/>
      </c>
      <c r="AG91" s="13" t="n">
        <v>0</v>
      </c>
      <c r="AH91" s="13" t="n">
        <v>0</v>
      </c>
      <c r="AI91" s="13">
        <f>AF91+AG91+AH91</f>
        <v/>
      </c>
      <c r="AJ91" s="14" t="n">
        <v>0</v>
      </c>
      <c r="AK91" s="14" t="n">
        <v>0</v>
      </c>
      <c r="AL91" s="14" t="n">
        <v>0</v>
      </c>
      <c r="AM91" s="14">
        <f>AJ91+AK91+AL91</f>
        <v/>
      </c>
      <c r="AN91" s="14">
        <f>AN90+AM91</f>
        <v/>
      </c>
    </row>
    <row r="92">
      <c r="A92" s="8" t="n">
        <v>4</v>
      </c>
      <c r="B92" s="8" t="n">
        <v>7</v>
      </c>
      <c r="C92" s="8" t="n">
        <v>1</v>
      </c>
      <c r="D92" s="8" t="inlineStr">
        <is>
          <t>版本免费+义相逢 + 月卡收益</t>
        </is>
      </c>
      <c r="E92" s="9">
        <f>K91</f>
        <v/>
      </c>
      <c r="F92" s="9" t="n">
        <v>1540</v>
      </c>
      <c r="G92" s="9" t="n">
        <v>4800</v>
      </c>
      <c r="H92" s="9" t="n">
        <v>0</v>
      </c>
      <c r="I92" s="9" t="n">
        <v>0</v>
      </c>
      <c r="J92" s="9" t="n">
        <v>0</v>
      </c>
      <c r="K92" s="9">
        <f>E92+F92+G92+H92+I92-J92</f>
        <v/>
      </c>
      <c r="L92" s="10">
        <f>Q91</f>
        <v/>
      </c>
      <c r="M92" s="10" t="n">
        <v>85</v>
      </c>
      <c r="N92" s="10" t="n">
        <v>6</v>
      </c>
      <c r="O92" s="10">
        <f>J92/160</f>
        <v/>
      </c>
      <c r="P92" s="10" t="n">
        <v>60</v>
      </c>
      <c r="Q92" s="10">
        <f>L92+M92+N92+O92-P92</f>
        <v/>
      </c>
      <c r="R92" s="11">
        <f>T91</f>
        <v/>
      </c>
      <c r="S92" s="11">
        <f>N(V92) + N(X92) + N(Z92)</f>
        <v/>
      </c>
      <c r="T92" s="11">
        <f>R92+P92-S92</f>
        <v/>
      </c>
      <c r="U92" s="11" t="inlineStr">
        <is>
          <t>是</t>
        </is>
      </c>
      <c r="V92" s="11" t="n">
        <v>47</v>
      </c>
      <c r="W92" s="11" t="inlineStr">
        <is>
          <t>否</t>
        </is>
      </c>
      <c r="X92" s="11" t="inlineStr">
        <is>
          <t>-</t>
        </is>
      </c>
      <c r="Y92" s="11" t="inlineStr">
        <is>
          <t>-</t>
        </is>
      </c>
      <c r="Z92" s="11" t="n">
        <v>0</v>
      </c>
      <c r="AA92" s="11" t="inlineStr">
        <is>
          <t>垫到60抽</t>
        </is>
      </c>
      <c r="AB92" s="12">
        <f>AE91</f>
        <v/>
      </c>
      <c r="AC92" s="12" t="n">
        <v>4</v>
      </c>
      <c r="AD92" s="12" t="n">
        <v>0</v>
      </c>
      <c r="AE92" s="12">
        <f>AB92+AC92+AD92</f>
        <v/>
      </c>
      <c r="AF92" s="13">
        <f>AI91</f>
        <v/>
      </c>
      <c r="AG92" s="13" t="n">
        <v>0</v>
      </c>
      <c r="AH92" s="13" t="n">
        <v>0</v>
      </c>
      <c r="AI92" s="13">
        <f>AF92+AG92+AH92</f>
        <v/>
      </c>
      <c r="AJ92" s="14" t="n">
        <v>0</v>
      </c>
      <c r="AK92" s="14" t="n">
        <v>50</v>
      </c>
      <c r="AL92" s="14" t="n">
        <v>0</v>
      </c>
      <c r="AM92" s="14">
        <f>AJ92+AK92+AL92</f>
        <v/>
      </c>
      <c r="AN92" s="14">
        <f>AN91+AM92</f>
        <v/>
      </c>
    </row>
    <row r="93">
      <c r="A93" s="8" t="n">
        <v>4</v>
      </c>
      <c r="B93" s="8" t="n">
        <v>7</v>
      </c>
      <c r="C93" s="8" t="n">
        <v>2</v>
      </c>
      <c r="D93" s="8" t="inlineStr">
        <is>
          <t>月卡收益 [月卡续费-30元]</t>
        </is>
      </c>
      <c r="E93" s="9">
        <f>K92</f>
        <v/>
      </c>
      <c r="F93" s="9" t="n">
        <v>1540</v>
      </c>
      <c r="G93" s="9" t="n">
        <v>0</v>
      </c>
      <c r="H93" s="9" t="n">
        <v>0</v>
      </c>
      <c r="I93" s="9" t="n">
        <v>0</v>
      </c>
      <c r="J93" s="9" t="n">
        <v>6880</v>
      </c>
      <c r="K93" s="9">
        <f>E93+F93+G93+H93+I93-J93</f>
        <v/>
      </c>
      <c r="L93" s="10">
        <f>Q92</f>
        <v/>
      </c>
      <c r="M93" s="10" t="n">
        <v>0</v>
      </c>
      <c r="N93" s="10" t="n">
        <v>6</v>
      </c>
      <c r="O93" s="10">
        <f>J93/160</f>
        <v/>
      </c>
      <c r="P93" s="10" t="n">
        <v>80</v>
      </c>
      <c r="Q93" s="10">
        <f>L93+M93+N93+O93-P93</f>
        <v/>
      </c>
      <c r="R93" s="11">
        <f>T92</f>
        <v/>
      </c>
      <c r="S93" s="11">
        <f>N(V93) + N(X93) + N(Z93)</f>
        <v/>
      </c>
      <c r="T93" s="11">
        <f>R93+P93-S93</f>
        <v/>
      </c>
      <c r="U93" s="11" t="inlineStr">
        <is>
          <t>否</t>
        </is>
      </c>
      <c r="V93" s="11" t="inlineStr">
        <is>
          <t>-</t>
        </is>
      </c>
      <c r="W93" s="11" t="inlineStr">
        <is>
          <t>是</t>
        </is>
      </c>
      <c r="X93" s="11" t="n">
        <v>49</v>
      </c>
      <c r="Y93" s="11" t="inlineStr">
        <is>
          <t>-</t>
        </is>
      </c>
      <c r="Z93" s="11" t="n">
        <v>0</v>
      </c>
      <c r="AA93" s="11" t="inlineStr">
        <is>
          <t>无</t>
        </is>
      </c>
      <c r="AB93" s="12">
        <f>AE92</f>
        <v/>
      </c>
      <c r="AC93" s="12" t="n">
        <v>0</v>
      </c>
      <c r="AD93" s="12" t="n">
        <v>0</v>
      </c>
      <c r="AE93" s="12">
        <f>AB93+AC93+AD93</f>
        <v/>
      </c>
      <c r="AF93" s="13">
        <f>AI92</f>
        <v/>
      </c>
      <c r="AG93" s="13" t="n">
        <v>0</v>
      </c>
      <c r="AH93" s="13" t="n">
        <v>0</v>
      </c>
      <c r="AI93" s="13">
        <f>AF93+AG93+AH93</f>
        <v/>
      </c>
      <c r="AJ93" s="14" t="n">
        <v>30</v>
      </c>
      <c r="AK93" s="14" t="n">
        <v>0</v>
      </c>
      <c r="AL93" s="14" t="n">
        <v>0</v>
      </c>
      <c r="AM93" s="14">
        <f>AJ93+AK93+AL93</f>
        <v/>
      </c>
      <c r="AN93" s="14">
        <f>AN92+AM93</f>
        <v/>
      </c>
    </row>
    <row r="94">
      <c r="A94" s="8" t="n">
        <v>4</v>
      </c>
      <c r="B94" s="8" t="n">
        <v>8</v>
      </c>
      <c r="C94" s="8" t="n">
        <v>1</v>
      </c>
      <c r="D94" s="8" t="inlineStr">
        <is>
          <t>版本免费+义相逢 + 月卡收益</t>
        </is>
      </c>
      <c r="E94" s="9">
        <f>K93</f>
        <v/>
      </c>
      <c r="F94" s="9" t="n">
        <v>1540</v>
      </c>
      <c r="G94" s="9" t="n">
        <v>4800</v>
      </c>
      <c r="H94" s="9" t="n">
        <v>0</v>
      </c>
      <c r="I94" s="9" t="n">
        <v>0</v>
      </c>
      <c r="J94" s="9" t="n">
        <v>0</v>
      </c>
      <c r="K94" s="9">
        <f>E94+F94+G94+H94+I94-J94</f>
        <v/>
      </c>
      <c r="L94" s="10">
        <f>Q93</f>
        <v/>
      </c>
      <c r="M94" s="10" t="n">
        <v>85</v>
      </c>
      <c r="N94" s="10" t="n">
        <v>1</v>
      </c>
      <c r="O94" s="10">
        <f>J94/160</f>
        <v/>
      </c>
      <c r="P94" s="10" t="n">
        <v>10</v>
      </c>
      <c r="Q94" s="10">
        <f>L94+M94+N94+O94-P94</f>
        <v/>
      </c>
      <c r="R94" s="11">
        <f>T93</f>
        <v/>
      </c>
      <c r="S94" s="11">
        <f>N(V94) + N(X94) + N(Z94)</f>
        <v/>
      </c>
      <c r="T94" s="11">
        <f>R94+P94-S94</f>
        <v/>
      </c>
      <c r="U94" s="11" t="inlineStr">
        <is>
          <t>是</t>
        </is>
      </c>
      <c r="V94" s="11" t="n">
        <v>48</v>
      </c>
      <c r="W94" s="11" t="inlineStr">
        <is>
          <t>否</t>
        </is>
      </c>
      <c r="X94" s="11" t="inlineStr">
        <is>
          <t>-</t>
        </is>
      </c>
      <c r="Y94" s="11" t="inlineStr">
        <is>
          <t>-</t>
        </is>
      </c>
      <c r="Z94" s="11" t="n">
        <v>0</v>
      </c>
      <c r="AA94" s="11" t="inlineStr">
        <is>
          <t>无</t>
        </is>
      </c>
      <c r="AB94" s="12">
        <f>AE93</f>
        <v/>
      </c>
      <c r="AC94" s="12" t="n">
        <v>4</v>
      </c>
      <c r="AD94" s="12" t="n">
        <v>0</v>
      </c>
      <c r="AE94" s="12">
        <f>AB94+AC94+AD94</f>
        <v/>
      </c>
      <c r="AF94" s="13">
        <f>AI93</f>
        <v/>
      </c>
      <c r="AG94" s="13" t="n">
        <v>0</v>
      </c>
      <c r="AH94" s="13" t="n">
        <v>0</v>
      </c>
      <c r="AI94" s="13">
        <f>AF94+AG94+AH94</f>
        <v/>
      </c>
      <c r="AJ94" s="14" t="n">
        <v>0</v>
      </c>
      <c r="AK94" s="14" t="n">
        <v>50</v>
      </c>
      <c r="AL94" s="14" t="n">
        <v>0</v>
      </c>
      <c r="AM94" s="14">
        <f>AJ94+AK94+AL94</f>
        <v/>
      </c>
      <c r="AN94" s="14">
        <f>AN93+AM94</f>
        <v/>
      </c>
    </row>
    <row r="95">
      <c r="A95" s="8" t="n">
        <v>4</v>
      </c>
      <c r="B95" s="8" t="n">
        <v>8</v>
      </c>
      <c r="C95" s="8" t="n">
        <v>2</v>
      </c>
      <c r="D95" s="8" t="inlineStr">
        <is>
          <t>月卡收益 [月卡续费-30元]</t>
        </is>
      </c>
      <c r="E95" s="9">
        <f>K94</f>
        <v/>
      </c>
      <c r="F95" s="9" t="n">
        <v>1540</v>
      </c>
      <c r="G95" s="9" t="n">
        <v>0</v>
      </c>
      <c r="H95" s="9" t="n">
        <v>0</v>
      </c>
      <c r="I95" s="9" t="n">
        <v>0</v>
      </c>
      <c r="J95" s="9" t="n">
        <v>0</v>
      </c>
      <c r="K95" s="9">
        <f>E95+F95+G95+H95+I95-J95</f>
        <v/>
      </c>
      <c r="L95" s="10">
        <f>Q94</f>
        <v/>
      </c>
      <c r="M95" s="10" t="n">
        <v>0</v>
      </c>
      <c r="N95" s="10" t="n">
        <v>6</v>
      </c>
      <c r="O95" s="10">
        <f>J95/160</f>
        <v/>
      </c>
      <c r="P95" s="10" t="n">
        <v>60</v>
      </c>
      <c r="Q95" s="10">
        <f>L95+M95+N95+O95-P95</f>
        <v/>
      </c>
      <c r="R95" s="11">
        <f>T94</f>
        <v/>
      </c>
      <c r="S95" s="11">
        <f>N(V95) + N(X95) + N(Z95)</f>
        <v/>
      </c>
      <c r="T95" s="11">
        <f>R95+P95-S95</f>
        <v/>
      </c>
      <c r="U95" s="11" t="inlineStr">
        <is>
          <t>是</t>
        </is>
      </c>
      <c r="V95" s="11" t="n">
        <v>52</v>
      </c>
      <c r="W95" s="11" t="inlineStr">
        <is>
          <t>否</t>
        </is>
      </c>
      <c r="X95" s="11" t="inlineStr">
        <is>
          <t>-</t>
        </is>
      </c>
      <c r="Y95" s="11" t="inlineStr">
        <is>
          <t>-</t>
        </is>
      </c>
      <c r="Z95" s="11" t="n">
        <v>0</v>
      </c>
      <c r="AA95" s="11" t="inlineStr">
        <is>
          <t>垫到60抽</t>
        </is>
      </c>
      <c r="AB95" s="12">
        <f>AE94</f>
        <v/>
      </c>
      <c r="AC95" s="12" t="n">
        <v>0</v>
      </c>
      <c r="AD95" s="12" t="n">
        <v>0</v>
      </c>
      <c r="AE95" s="12">
        <f>AB95+AC95+AD95</f>
        <v/>
      </c>
      <c r="AF95" s="13">
        <f>AI94</f>
        <v/>
      </c>
      <c r="AG95" s="13" t="n">
        <v>0</v>
      </c>
      <c r="AH95" s="13" t="n">
        <v>0</v>
      </c>
      <c r="AI95" s="13">
        <f>AF95+AG95+AH95</f>
        <v/>
      </c>
      <c r="AJ95" s="14" t="n">
        <v>30</v>
      </c>
      <c r="AK95" s="14" t="n">
        <v>0</v>
      </c>
      <c r="AL95" s="14" t="n">
        <v>0</v>
      </c>
      <c r="AM95" s="14">
        <f>AJ95+AK95+AL95</f>
        <v/>
      </c>
      <c r="AN95" s="14">
        <f>AN94+AM95</f>
        <v/>
      </c>
    </row>
    <row r="96">
      <c r="A96" s="8" t="n">
        <v>4</v>
      </c>
      <c r="B96" s="8" t="n">
        <v>9</v>
      </c>
      <c r="C96" s="8" t="n">
        <v>1</v>
      </c>
      <c r="D96" s="8" t="inlineStr">
        <is>
          <t>版本免费+义相逢 + 月卡收益</t>
        </is>
      </c>
      <c r="E96" s="9">
        <f>K95</f>
        <v/>
      </c>
      <c r="F96" s="9" t="n">
        <v>1540</v>
      </c>
      <c r="G96" s="9" t="n">
        <v>4800</v>
      </c>
      <c r="H96" s="9" t="n">
        <v>0</v>
      </c>
      <c r="I96" s="9" t="n">
        <v>0</v>
      </c>
      <c r="J96" s="9" t="n">
        <v>0</v>
      </c>
      <c r="K96" s="9">
        <f>E96+F96+G96+H96+I96-J96</f>
        <v/>
      </c>
      <c r="L96" s="10">
        <f>Q95</f>
        <v/>
      </c>
      <c r="M96" s="10" t="n">
        <v>85</v>
      </c>
      <c r="N96" s="10" t="n">
        <v>3</v>
      </c>
      <c r="O96" s="10">
        <f>J96/160</f>
        <v/>
      </c>
      <c r="P96" s="10" t="n">
        <v>40</v>
      </c>
      <c r="Q96" s="10">
        <f>L96+M96+N96+O96-P96</f>
        <v/>
      </c>
      <c r="R96" s="11">
        <f>T95</f>
        <v/>
      </c>
      <c r="S96" s="11">
        <f>N(V96) + N(X96) + N(Z96)</f>
        <v/>
      </c>
      <c r="T96" s="11">
        <f>R96+P96-S96</f>
        <v/>
      </c>
      <c r="U96" s="11" t="inlineStr">
        <is>
          <t>是</t>
        </is>
      </c>
      <c r="V96" s="11" t="n">
        <v>53</v>
      </c>
      <c r="W96" s="11" t="inlineStr">
        <is>
          <t>否</t>
        </is>
      </c>
      <c r="X96" s="11" t="inlineStr">
        <is>
          <t>-</t>
        </is>
      </c>
      <c r="Y96" s="11" t="inlineStr">
        <is>
          <t>-</t>
        </is>
      </c>
      <c r="Z96" s="11" t="n">
        <v>0</v>
      </c>
      <c r="AA96" s="11" t="inlineStr">
        <is>
          <t>无</t>
        </is>
      </c>
      <c r="AB96" s="12">
        <f>AE95</f>
        <v/>
      </c>
      <c r="AC96" s="12" t="n">
        <v>4</v>
      </c>
      <c r="AD96" s="12" t="n">
        <v>0</v>
      </c>
      <c r="AE96" s="12">
        <f>AB96+AC96+AD96</f>
        <v/>
      </c>
      <c r="AF96" s="13">
        <f>AI95</f>
        <v/>
      </c>
      <c r="AG96" s="13" t="n">
        <v>0</v>
      </c>
      <c r="AH96" s="13" t="n">
        <v>0</v>
      </c>
      <c r="AI96" s="13">
        <f>AF96+AG96+AH96</f>
        <v/>
      </c>
      <c r="AJ96" s="14" t="n">
        <v>0</v>
      </c>
      <c r="AK96" s="14" t="n">
        <v>50</v>
      </c>
      <c r="AL96" s="14" t="n">
        <v>0</v>
      </c>
      <c r="AM96" s="14">
        <f>AJ96+AK96+AL96</f>
        <v/>
      </c>
      <c r="AN96" s="14">
        <f>AN95+AM96</f>
        <v/>
      </c>
    </row>
    <row r="97">
      <c r="A97" s="8" t="n">
        <v>4</v>
      </c>
      <c r="B97" s="8" t="n">
        <v>9</v>
      </c>
      <c r="C97" s="8" t="n">
        <v>2</v>
      </c>
      <c r="D97" s="8" t="inlineStr">
        <is>
          <t>月卡收益 [月卡续费-30元]</t>
        </is>
      </c>
      <c r="E97" s="9">
        <f>K96</f>
        <v/>
      </c>
      <c r="F97" s="9" t="n">
        <v>1540</v>
      </c>
      <c r="G97" s="9" t="n">
        <v>0</v>
      </c>
      <c r="H97" s="9" t="n">
        <v>0</v>
      </c>
      <c r="I97" s="9" t="n">
        <v>0</v>
      </c>
      <c r="J97" s="9" t="n">
        <v>3040</v>
      </c>
      <c r="K97" s="9">
        <f>E97+F97+G97+H97+I97-J97</f>
        <v/>
      </c>
      <c r="L97" s="10">
        <f>Q96</f>
        <v/>
      </c>
      <c r="M97" s="10" t="n">
        <v>0</v>
      </c>
      <c r="N97" s="10" t="n">
        <v>11</v>
      </c>
      <c r="O97" s="10">
        <f>J97/160</f>
        <v/>
      </c>
      <c r="P97" s="10" t="n">
        <v>100</v>
      </c>
      <c r="Q97" s="10">
        <f>L97+M97+N97+O97-P97</f>
        <v/>
      </c>
      <c r="R97" s="11">
        <f>T96</f>
        <v/>
      </c>
      <c r="S97" s="11">
        <f>N(V97) + N(X97) + N(Z97)</f>
        <v/>
      </c>
      <c r="T97" s="11">
        <f>R97+P97-S97</f>
        <v/>
      </c>
      <c r="U97" s="11" t="inlineStr">
        <is>
          <t>是</t>
        </is>
      </c>
      <c r="V97" s="11" t="n">
        <v>49</v>
      </c>
      <c r="W97" s="11" t="inlineStr">
        <is>
          <t>是</t>
        </is>
      </c>
      <c r="X97" s="11" t="n">
        <v>52</v>
      </c>
      <c r="Y97" s="11" t="inlineStr">
        <is>
          <t>-</t>
        </is>
      </c>
      <c r="Z97" s="11" t="n">
        <v>0</v>
      </c>
      <c r="AA97" s="11" t="inlineStr">
        <is>
          <t>无</t>
        </is>
      </c>
      <c r="AB97" s="12">
        <f>AE96</f>
        <v/>
      </c>
      <c r="AC97" s="12" t="n">
        <v>0</v>
      </c>
      <c r="AD97" s="12" t="n">
        <v>0</v>
      </c>
      <c r="AE97" s="12">
        <f>AB97+AC97+AD97</f>
        <v/>
      </c>
      <c r="AF97" s="13">
        <f>AI96</f>
        <v/>
      </c>
      <c r="AG97" s="13" t="n">
        <v>0</v>
      </c>
      <c r="AH97" s="13" t="n">
        <v>0</v>
      </c>
      <c r="AI97" s="13">
        <f>AF97+AG97+AH97</f>
        <v/>
      </c>
      <c r="AJ97" s="14" t="n">
        <v>30</v>
      </c>
      <c r="AK97" s="14" t="n">
        <v>0</v>
      </c>
      <c r="AL97" s="14" t="n">
        <v>0</v>
      </c>
      <c r="AM97" s="14">
        <f>AJ97+AK97+AL97</f>
        <v/>
      </c>
      <c r="AN97" s="14">
        <f>AN96+AM97</f>
        <v/>
      </c>
    </row>
    <row r="98">
      <c r="A98" s="8" t="n">
        <v>4</v>
      </c>
      <c r="B98" s="8" t="n">
        <v>10</v>
      </c>
      <c r="C98" s="8" t="n">
        <v>1</v>
      </c>
      <c r="D98" s="8" t="inlineStr">
        <is>
          <t>版本免费+义相逢 + 月卡收益</t>
        </is>
      </c>
      <c r="E98" s="9">
        <f>K97</f>
        <v/>
      </c>
      <c r="F98" s="9" t="n">
        <v>1540</v>
      </c>
      <c r="G98" s="9" t="n">
        <v>4800</v>
      </c>
      <c r="H98" s="9" t="n">
        <v>0</v>
      </c>
      <c r="I98" s="9" t="n">
        <v>0</v>
      </c>
      <c r="J98" s="9" t="n">
        <v>0</v>
      </c>
      <c r="K98" s="9">
        <f>E98+F98+G98+H98+I98-J98</f>
        <v/>
      </c>
      <c r="L98" s="10">
        <f>Q97</f>
        <v/>
      </c>
      <c r="M98" s="10" t="n">
        <v>85</v>
      </c>
      <c r="N98" s="10" t="n">
        <v>6</v>
      </c>
      <c r="O98" s="10">
        <f>J98/160</f>
        <v/>
      </c>
      <c r="P98" s="10" t="n">
        <v>60</v>
      </c>
      <c r="Q98" s="10">
        <f>L98+M98+N98+O98-P98</f>
        <v/>
      </c>
      <c r="R98" s="11">
        <f>T97</f>
        <v/>
      </c>
      <c r="S98" s="11">
        <f>N(V98) + N(X98) + N(Z98)</f>
        <v/>
      </c>
      <c r="T98" s="11">
        <f>R98+P98-S98</f>
        <v/>
      </c>
      <c r="U98" s="11" t="inlineStr">
        <is>
          <t>是</t>
        </is>
      </c>
      <c r="V98" s="11" t="n">
        <v>2</v>
      </c>
      <c r="W98" s="11" t="inlineStr">
        <is>
          <t>是</t>
        </is>
      </c>
      <c r="X98" s="11" t="n">
        <v>51</v>
      </c>
      <c r="Y98" s="11" t="inlineStr">
        <is>
          <t>-</t>
        </is>
      </c>
      <c r="Z98" s="11" t="n">
        <v>0</v>
      </c>
      <c r="AA98" s="11" t="inlineStr">
        <is>
          <t>垫到60抽</t>
        </is>
      </c>
      <c r="AB98" s="12">
        <f>AE97</f>
        <v/>
      </c>
      <c r="AC98" s="12" t="n">
        <v>4</v>
      </c>
      <c r="AD98" s="12" t="n">
        <v>0</v>
      </c>
      <c r="AE98" s="12">
        <f>AB98+AC98+AD98</f>
        <v/>
      </c>
      <c r="AF98" s="13">
        <f>AI97</f>
        <v/>
      </c>
      <c r="AG98" s="13" t="n">
        <v>0</v>
      </c>
      <c r="AH98" s="13" t="n">
        <v>0</v>
      </c>
      <c r="AI98" s="13">
        <f>AF98+AG98+AH98</f>
        <v/>
      </c>
      <c r="AJ98" s="14" t="n">
        <v>0</v>
      </c>
      <c r="AK98" s="14" t="n">
        <v>50</v>
      </c>
      <c r="AL98" s="14" t="n">
        <v>0</v>
      </c>
      <c r="AM98" s="14">
        <f>AJ98+AK98+AL98</f>
        <v/>
      </c>
      <c r="AN98" s="14">
        <f>AN97+AM98</f>
        <v/>
      </c>
    </row>
    <row r="99">
      <c r="A99" s="8" t="n">
        <v>4</v>
      </c>
      <c r="B99" s="8" t="n">
        <v>10</v>
      </c>
      <c r="C99" s="8" t="n">
        <v>2</v>
      </c>
      <c r="D99" s="8" t="inlineStr">
        <is>
          <t>月卡收益 [月卡续费-30元]</t>
        </is>
      </c>
      <c r="E99" s="9">
        <f>K98</f>
        <v/>
      </c>
      <c r="F99" s="9" t="n">
        <v>1540</v>
      </c>
      <c r="G99" s="9" t="n">
        <v>0</v>
      </c>
      <c r="H99" s="9" t="n">
        <v>0</v>
      </c>
      <c r="I99" s="9" t="n">
        <v>0</v>
      </c>
      <c r="J99" s="9" t="n">
        <v>0</v>
      </c>
      <c r="K99" s="9">
        <f>E99+F99+G99+H99+I99-J99</f>
        <v/>
      </c>
      <c r="L99" s="10">
        <f>Q98</f>
        <v/>
      </c>
      <c r="M99" s="10" t="n">
        <v>0</v>
      </c>
      <c r="N99" s="10" t="n">
        <v>1</v>
      </c>
      <c r="O99" s="10">
        <f>J99/160</f>
        <v/>
      </c>
      <c r="P99" s="10" t="n">
        <v>10</v>
      </c>
      <c r="Q99" s="10">
        <f>L99+M99+N99+O99-P99</f>
        <v/>
      </c>
      <c r="R99" s="11">
        <f>T98</f>
        <v/>
      </c>
      <c r="S99" s="11">
        <f>N(V99) + N(X99) + N(Z99)</f>
        <v/>
      </c>
      <c r="T99" s="11">
        <f>R99+P99-S99</f>
        <v/>
      </c>
      <c r="U99" s="11" t="inlineStr">
        <is>
          <t>是</t>
        </is>
      </c>
      <c r="V99" s="11" t="n">
        <v>11</v>
      </c>
      <c r="W99" s="11" t="inlineStr">
        <is>
          <t>否</t>
        </is>
      </c>
      <c r="X99" s="11" t="inlineStr">
        <is>
          <t>-</t>
        </is>
      </c>
      <c r="Y99" s="11" t="inlineStr">
        <is>
          <t>-</t>
        </is>
      </c>
      <c r="Z99" s="11" t="n">
        <v>0</v>
      </c>
      <c r="AA99" s="11" t="inlineStr">
        <is>
          <t>无</t>
        </is>
      </c>
      <c r="AB99" s="12">
        <f>AE98</f>
        <v/>
      </c>
      <c r="AC99" s="12" t="n">
        <v>0</v>
      </c>
      <c r="AD99" s="12" t="n">
        <v>0</v>
      </c>
      <c r="AE99" s="12">
        <f>AB99+AC99+AD99</f>
        <v/>
      </c>
      <c r="AF99" s="13">
        <f>AI98</f>
        <v/>
      </c>
      <c r="AG99" s="13" t="n">
        <v>0</v>
      </c>
      <c r="AH99" s="13" t="n">
        <v>0</v>
      </c>
      <c r="AI99" s="13">
        <f>AF99+AG99+AH99</f>
        <v/>
      </c>
      <c r="AJ99" s="14" t="n">
        <v>30</v>
      </c>
      <c r="AK99" s="14" t="n">
        <v>0</v>
      </c>
      <c r="AL99" s="14" t="n">
        <v>0</v>
      </c>
      <c r="AM99" s="14">
        <f>AJ99+AK99+AL99</f>
        <v/>
      </c>
      <c r="AN99" s="14">
        <f>AN98+AM99</f>
        <v/>
      </c>
    </row>
    <row r="100">
      <c r="A100" s="8" t="n">
        <v>4</v>
      </c>
      <c r="B100" s="8" t="n">
        <v>11</v>
      </c>
      <c r="C100" s="8" t="n">
        <v>1</v>
      </c>
      <c r="D100" s="8" t="inlineStr">
        <is>
          <t>版本免费+义相逢 + 月卡收益</t>
        </is>
      </c>
      <c r="E100" s="9">
        <f>K99</f>
        <v/>
      </c>
      <c r="F100" s="9" t="n">
        <v>1540</v>
      </c>
      <c r="G100" s="9" t="n">
        <v>4800</v>
      </c>
      <c r="H100" s="9" t="n">
        <v>0</v>
      </c>
      <c r="I100" s="9" t="n">
        <v>0</v>
      </c>
      <c r="J100" s="9" t="n">
        <v>0</v>
      </c>
      <c r="K100" s="9">
        <f>E100+F100+G100+H100+I100-J100</f>
        <v/>
      </c>
      <c r="L100" s="10">
        <f>Q99</f>
        <v/>
      </c>
      <c r="M100" s="10" t="n">
        <v>85</v>
      </c>
      <c r="N100" s="10" t="n">
        <v>1</v>
      </c>
      <c r="O100" s="10">
        <f>J100/160</f>
        <v/>
      </c>
      <c r="P100" s="10" t="n">
        <v>20</v>
      </c>
      <c r="Q100" s="10">
        <f>L100+M100+N100+O100-P100</f>
        <v/>
      </c>
      <c r="R100" s="11">
        <f>T99</f>
        <v/>
      </c>
      <c r="S100" s="11">
        <f>N(V100) + N(X100) + N(Z100)</f>
        <v/>
      </c>
      <c r="T100" s="11">
        <f>R100+P100-S100</f>
        <v/>
      </c>
      <c r="U100" s="11" t="inlineStr">
        <is>
          <t>是</t>
        </is>
      </c>
      <c r="V100" s="11" t="n">
        <v>22</v>
      </c>
      <c r="W100" s="11" t="inlineStr">
        <is>
          <t>否</t>
        </is>
      </c>
      <c r="X100" s="11" t="inlineStr">
        <is>
          <t>-</t>
        </is>
      </c>
      <c r="Y100" s="11" t="inlineStr">
        <is>
          <t>-</t>
        </is>
      </c>
      <c r="Z100" s="11" t="n">
        <v>0</v>
      </c>
      <c r="AA100" s="11" t="inlineStr">
        <is>
          <t>无</t>
        </is>
      </c>
      <c r="AB100" s="12">
        <f>AE99</f>
        <v/>
      </c>
      <c r="AC100" s="12" t="n">
        <v>4</v>
      </c>
      <c r="AD100" s="12" t="n">
        <v>0</v>
      </c>
      <c r="AE100" s="12">
        <f>AB100+AC100+AD100</f>
        <v/>
      </c>
      <c r="AF100" s="13">
        <f>AI99</f>
        <v/>
      </c>
      <c r="AG100" s="13" t="n">
        <v>0</v>
      </c>
      <c r="AH100" s="13" t="n">
        <v>0</v>
      </c>
      <c r="AI100" s="13">
        <f>AF100+AG100+AH100</f>
        <v/>
      </c>
      <c r="AJ100" s="14" t="n">
        <v>0</v>
      </c>
      <c r="AK100" s="14" t="n">
        <v>50</v>
      </c>
      <c r="AL100" s="14" t="n">
        <v>0</v>
      </c>
      <c r="AM100" s="14">
        <f>AJ100+AK100+AL100</f>
        <v/>
      </c>
      <c r="AN100" s="14">
        <f>AN99+AM100</f>
        <v/>
      </c>
    </row>
    <row r="101">
      <c r="A101" s="8" t="n">
        <v>4</v>
      </c>
      <c r="B101" s="8" t="n">
        <v>11</v>
      </c>
      <c r="C101" s="8" t="n">
        <v>2</v>
      </c>
      <c r="D101" s="8" t="inlineStr">
        <is>
          <t>月卡收益 [月卡续费-30元]</t>
        </is>
      </c>
      <c r="E101" s="9">
        <f>K100</f>
        <v/>
      </c>
      <c r="F101" s="9" t="n">
        <v>1540</v>
      </c>
      <c r="G101" s="9" t="n">
        <v>0</v>
      </c>
      <c r="H101" s="9" t="n">
        <v>0</v>
      </c>
      <c r="I101" s="9" t="n">
        <v>0</v>
      </c>
      <c r="J101" s="9" t="n">
        <v>0</v>
      </c>
      <c r="K101" s="9">
        <f>E101+F101+G101+H101+I101-J101</f>
        <v/>
      </c>
      <c r="L101" s="10">
        <f>Q100</f>
        <v/>
      </c>
      <c r="M101" s="10" t="n">
        <v>0</v>
      </c>
      <c r="N101" s="10" t="n">
        <v>6</v>
      </c>
      <c r="O101" s="10">
        <f>J101/160</f>
        <v/>
      </c>
      <c r="P101" s="10" t="n">
        <v>60</v>
      </c>
      <c r="Q101" s="10">
        <f>L101+M101+N101+O101-P101</f>
        <v/>
      </c>
      <c r="R101" s="11">
        <f>T100</f>
        <v/>
      </c>
      <c r="S101" s="11">
        <f>N(V101) + N(X101) + N(Z101)</f>
        <v/>
      </c>
      <c r="T101" s="11">
        <f>R101+P101-S101</f>
        <v/>
      </c>
      <c r="U101" s="11" t="inlineStr">
        <is>
          <t>是</t>
        </is>
      </c>
      <c r="V101" s="11" t="n">
        <v>52</v>
      </c>
      <c r="W101" s="11" t="inlineStr">
        <is>
          <t>否</t>
        </is>
      </c>
      <c r="X101" s="11" t="inlineStr">
        <is>
          <t>-</t>
        </is>
      </c>
      <c r="Y101" s="11" t="inlineStr">
        <is>
          <t>-</t>
        </is>
      </c>
      <c r="Z101" s="11" t="n">
        <v>0</v>
      </c>
      <c r="AA101" s="11" t="inlineStr">
        <is>
          <t>垫到60抽</t>
        </is>
      </c>
      <c r="AB101" s="12">
        <f>AE100</f>
        <v/>
      </c>
      <c r="AC101" s="12" t="n">
        <v>0</v>
      </c>
      <c r="AD101" s="12" t="n">
        <v>0</v>
      </c>
      <c r="AE101" s="12">
        <f>AB101+AC101+AD101</f>
        <v/>
      </c>
      <c r="AF101" s="13">
        <f>AI100</f>
        <v/>
      </c>
      <c r="AG101" s="13" t="n">
        <v>0</v>
      </c>
      <c r="AH101" s="13" t="n">
        <v>0</v>
      </c>
      <c r="AI101" s="13">
        <f>AF101+AG101+AH101</f>
        <v/>
      </c>
      <c r="AJ101" s="14" t="n">
        <v>30</v>
      </c>
      <c r="AK101" s="14" t="n">
        <v>0</v>
      </c>
      <c r="AL101" s="14" t="n">
        <v>0</v>
      </c>
      <c r="AM101" s="14">
        <f>AJ101+AK101+AL101</f>
        <v/>
      </c>
      <c r="AN101" s="14">
        <f>AN100+AM101</f>
        <v/>
      </c>
    </row>
    <row r="102">
      <c r="A102" s="8" t="n">
        <v>4</v>
      </c>
      <c r="B102" s="8" t="n">
        <v>12</v>
      </c>
      <c r="C102" s="8" t="n">
        <v>1</v>
      </c>
      <c r="D102" s="8" t="inlineStr">
        <is>
          <t>版本免费+义相逢 + 月卡收益</t>
        </is>
      </c>
      <c r="E102" s="9">
        <f>K101</f>
        <v/>
      </c>
      <c r="F102" s="9" t="n">
        <v>1540</v>
      </c>
      <c r="G102" s="9" t="n">
        <v>4800</v>
      </c>
      <c r="H102" s="9" t="n">
        <v>0</v>
      </c>
      <c r="I102" s="9" t="n">
        <v>0</v>
      </c>
      <c r="J102" s="9" t="n">
        <v>0</v>
      </c>
      <c r="K102" s="9">
        <f>E102+F102+G102+H102+I102-J102</f>
        <v/>
      </c>
      <c r="L102" s="10">
        <f>Q101</f>
        <v/>
      </c>
      <c r="M102" s="10" t="n">
        <v>85</v>
      </c>
      <c r="N102" s="10" t="n">
        <v>1</v>
      </c>
      <c r="O102" s="10">
        <f>J102/160</f>
        <v/>
      </c>
      <c r="P102" s="10" t="n">
        <v>20</v>
      </c>
      <c r="Q102" s="10">
        <f>L102+M102+N102+O102-P102</f>
        <v/>
      </c>
      <c r="R102" s="11">
        <f>T101</f>
        <v/>
      </c>
      <c r="S102" s="11">
        <f>N(V102) + N(X102) + N(Z102)</f>
        <v/>
      </c>
      <c r="T102" s="11">
        <f>R102+P102-S102</f>
        <v/>
      </c>
      <c r="U102" s="11" t="inlineStr">
        <is>
          <t>是</t>
        </is>
      </c>
      <c r="V102" s="11" t="n">
        <v>26</v>
      </c>
      <c r="W102" s="11" t="inlineStr">
        <is>
          <t>否</t>
        </is>
      </c>
      <c r="X102" s="11" t="inlineStr">
        <is>
          <t>-</t>
        </is>
      </c>
      <c r="Y102" s="11" t="inlineStr">
        <is>
          <t>-</t>
        </is>
      </c>
      <c r="Z102" s="11" t="n">
        <v>0</v>
      </c>
      <c r="AA102" s="11" t="inlineStr">
        <is>
          <t>无</t>
        </is>
      </c>
      <c r="AB102" s="12">
        <f>AE101</f>
        <v/>
      </c>
      <c r="AC102" s="12" t="n">
        <v>4</v>
      </c>
      <c r="AD102" s="12" t="n">
        <v>0</v>
      </c>
      <c r="AE102" s="12">
        <f>AB102+AC102+AD102</f>
        <v/>
      </c>
      <c r="AF102" s="13">
        <f>AI101</f>
        <v/>
      </c>
      <c r="AG102" s="13" t="n">
        <v>0</v>
      </c>
      <c r="AH102" s="13" t="n">
        <v>0</v>
      </c>
      <c r="AI102" s="13">
        <f>AF102+AG102+AH102</f>
        <v/>
      </c>
      <c r="AJ102" s="14" t="n">
        <v>0</v>
      </c>
      <c r="AK102" s="14" t="n">
        <v>50</v>
      </c>
      <c r="AL102" s="14" t="n">
        <v>0</v>
      </c>
      <c r="AM102" s="14">
        <f>AJ102+AK102+AL102</f>
        <v/>
      </c>
      <c r="AN102" s="14">
        <f>AN101+AM102</f>
        <v/>
      </c>
    </row>
    <row r="103">
      <c r="A103" s="8" t="n">
        <v>4</v>
      </c>
      <c r="B103" s="8" t="n">
        <v>12</v>
      </c>
      <c r="C103" s="8" t="n">
        <v>2</v>
      </c>
      <c r="D103" s="8" t="inlineStr">
        <is>
          <t>月卡收益 [月卡续费-30元]</t>
        </is>
      </c>
      <c r="E103" s="9">
        <f>K102</f>
        <v/>
      </c>
      <c r="F103" s="9" t="n">
        <v>1540</v>
      </c>
      <c r="G103" s="9" t="n">
        <v>0</v>
      </c>
      <c r="H103" s="9" t="n">
        <v>0</v>
      </c>
      <c r="I103" s="9" t="n">
        <v>0</v>
      </c>
      <c r="J103" s="9" t="n">
        <v>0</v>
      </c>
      <c r="K103" s="9">
        <f>E103+F103+G103+H103+I103-J103</f>
        <v/>
      </c>
      <c r="L103" s="10">
        <f>Q102</f>
        <v/>
      </c>
      <c r="M103" s="10" t="n">
        <v>0</v>
      </c>
      <c r="N103" s="10" t="n">
        <v>6</v>
      </c>
      <c r="O103" s="10">
        <f>J103/160</f>
        <v/>
      </c>
      <c r="P103" s="10" t="n">
        <v>60</v>
      </c>
      <c r="Q103" s="10">
        <f>L103+M103+N103+O103-P103</f>
        <v/>
      </c>
      <c r="R103" s="11">
        <f>T102</f>
        <v/>
      </c>
      <c r="S103" s="11">
        <f>N(V103) + N(X103) + N(Z103)</f>
        <v/>
      </c>
      <c r="T103" s="11">
        <f>R103+P103-S103</f>
        <v/>
      </c>
      <c r="U103" s="11" t="inlineStr">
        <is>
          <t>是</t>
        </is>
      </c>
      <c r="V103" s="11" t="n">
        <v>51</v>
      </c>
      <c r="W103" s="11" t="inlineStr">
        <is>
          <t>否</t>
        </is>
      </c>
      <c r="X103" s="11" t="inlineStr">
        <is>
          <t>-</t>
        </is>
      </c>
      <c r="Y103" s="11" t="inlineStr">
        <is>
          <t>-</t>
        </is>
      </c>
      <c r="Z103" s="11" t="n">
        <v>0</v>
      </c>
      <c r="AA103" s="11" t="inlineStr">
        <is>
          <t>垫到60抽</t>
        </is>
      </c>
      <c r="AB103" s="12">
        <f>AE102</f>
        <v/>
      </c>
      <c r="AC103" s="12" t="n">
        <v>0</v>
      </c>
      <c r="AD103" s="12" t="n">
        <v>0</v>
      </c>
      <c r="AE103" s="12">
        <f>AB103+AC103+AD103</f>
        <v/>
      </c>
      <c r="AF103" s="13">
        <f>AI102</f>
        <v/>
      </c>
      <c r="AG103" s="13" t="n">
        <v>0</v>
      </c>
      <c r="AH103" s="13" t="n">
        <v>0</v>
      </c>
      <c r="AI103" s="13">
        <f>AF103+AG103+AH103</f>
        <v/>
      </c>
      <c r="AJ103" s="14" t="n">
        <v>30</v>
      </c>
      <c r="AK103" s="14" t="n">
        <v>0</v>
      </c>
      <c r="AL103" s="14" t="n">
        <v>0</v>
      </c>
      <c r="AM103" s="14">
        <f>AJ103+AK103+AL103</f>
        <v/>
      </c>
      <c r="AN103" s="14">
        <f>AN102+AM103</f>
        <v/>
      </c>
    </row>
    <row r="104">
      <c r="A104" s="8" t="n">
        <v>4</v>
      </c>
      <c r="B104" s="8" t="n">
        <v>13</v>
      </c>
      <c r="C104" s="8" t="n">
        <v>1</v>
      </c>
      <c r="D104" s="8" t="inlineStr">
        <is>
          <t>版本免费+义相逢 + 月卡收益</t>
        </is>
      </c>
      <c r="E104" s="9">
        <f>K103</f>
        <v/>
      </c>
      <c r="F104" s="9" t="n">
        <v>1540</v>
      </c>
      <c r="G104" s="9" t="n">
        <v>4800</v>
      </c>
      <c r="H104" s="9" t="n">
        <v>0</v>
      </c>
      <c r="I104" s="9" t="n">
        <v>0</v>
      </c>
      <c r="J104" s="9" t="n">
        <v>0</v>
      </c>
      <c r="K104" s="9">
        <f>E104+F104+G104+H104+I104-J104</f>
        <v/>
      </c>
      <c r="L104" s="10">
        <f>Q103</f>
        <v/>
      </c>
      <c r="M104" s="10" t="n">
        <v>85</v>
      </c>
      <c r="N104" s="10" t="n">
        <v>3</v>
      </c>
      <c r="O104" s="10">
        <f>J104/160</f>
        <v/>
      </c>
      <c r="P104" s="10" t="n">
        <v>40</v>
      </c>
      <c r="Q104" s="10">
        <f>L104+M104+N104+O104-P104</f>
        <v/>
      </c>
      <c r="R104" s="11">
        <f>T103</f>
        <v/>
      </c>
      <c r="S104" s="11">
        <f>N(V104) + N(X104) + N(Z104)</f>
        <v/>
      </c>
      <c r="T104" s="11">
        <f>R104+P104-S104</f>
        <v/>
      </c>
      <c r="U104" s="11" t="inlineStr">
        <is>
          <t>是</t>
        </is>
      </c>
      <c r="V104" s="11" t="n">
        <v>51</v>
      </c>
      <c r="W104" s="11" t="inlineStr">
        <is>
          <t>否</t>
        </is>
      </c>
      <c r="X104" s="11" t="inlineStr">
        <is>
          <t>-</t>
        </is>
      </c>
      <c r="Y104" s="11" t="inlineStr">
        <is>
          <t>-</t>
        </is>
      </c>
      <c r="Z104" s="11" t="n">
        <v>0</v>
      </c>
      <c r="AA104" s="11" t="inlineStr">
        <is>
          <t>无</t>
        </is>
      </c>
      <c r="AB104" s="12">
        <f>AE103</f>
        <v/>
      </c>
      <c r="AC104" s="12" t="n">
        <v>4</v>
      </c>
      <c r="AD104" s="12" t="n">
        <v>0</v>
      </c>
      <c r="AE104" s="12">
        <f>AB104+AC104+AD104</f>
        <v/>
      </c>
      <c r="AF104" s="13">
        <f>AI103</f>
        <v/>
      </c>
      <c r="AG104" s="13" t="n">
        <v>0</v>
      </c>
      <c r="AH104" s="13" t="n">
        <v>0</v>
      </c>
      <c r="AI104" s="13">
        <f>AF104+AG104+AH104</f>
        <v/>
      </c>
      <c r="AJ104" s="14" t="n">
        <v>0</v>
      </c>
      <c r="AK104" s="14" t="n">
        <v>50</v>
      </c>
      <c r="AL104" s="14" t="n">
        <v>0</v>
      </c>
      <c r="AM104" s="14">
        <f>AJ104+AK104+AL104</f>
        <v/>
      </c>
      <c r="AN104" s="14">
        <f>AN103+AM104</f>
        <v/>
      </c>
    </row>
    <row r="105">
      <c r="A105" s="8" t="n">
        <v>4</v>
      </c>
      <c r="B105" s="8" t="n">
        <v>13</v>
      </c>
      <c r="C105" s="8" t="n">
        <v>2</v>
      </c>
      <c r="D105" s="8" t="inlineStr">
        <is>
          <t>月卡收益 [月卡续费-30元]</t>
        </is>
      </c>
      <c r="E105" s="9">
        <f>K104</f>
        <v/>
      </c>
      <c r="F105" s="9" t="n">
        <v>1540</v>
      </c>
      <c r="G105" s="9" t="n">
        <v>0</v>
      </c>
      <c r="H105" s="9" t="n">
        <v>0</v>
      </c>
      <c r="I105" s="9" t="n">
        <v>0</v>
      </c>
      <c r="J105" s="9" t="n">
        <v>0</v>
      </c>
      <c r="K105" s="9">
        <f>E105+F105+G105+H105+I105-J105</f>
        <v/>
      </c>
      <c r="L105" s="10">
        <f>Q104</f>
        <v/>
      </c>
      <c r="M105" s="10" t="n">
        <v>0</v>
      </c>
      <c r="N105" s="10" t="n">
        <v>6</v>
      </c>
      <c r="O105" s="10">
        <f>J105/160</f>
        <v/>
      </c>
      <c r="P105" s="10" t="n">
        <v>60</v>
      </c>
      <c r="Q105" s="10">
        <f>L105+M105+N105+O105-P105</f>
        <v/>
      </c>
      <c r="R105" s="11">
        <f>T104</f>
        <v/>
      </c>
      <c r="S105" s="11">
        <f>N(V105) + N(X105) + N(Z105)</f>
        <v/>
      </c>
      <c r="T105" s="11">
        <f>R105+P105-S105</f>
        <v/>
      </c>
      <c r="U105" s="11" t="inlineStr">
        <is>
          <t>是</t>
        </is>
      </c>
      <c r="V105" s="11" t="n">
        <v>49</v>
      </c>
      <c r="W105" s="11" t="inlineStr">
        <is>
          <t>否</t>
        </is>
      </c>
      <c r="X105" s="11" t="inlineStr">
        <is>
          <t>-</t>
        </is>
      </c>
      <c r="Y105" s="11" t="inlineStr">
        <is>
          <t>-</t>
        </is>
      </c>
      <c r="Z105" s="11" t="n">
        <v>0</v>
      </c>
      <c r="AA105" s="11" t="inlineStr">
        <is>
          <t>垫到60抽</t>
        </is>
      </c>
      <c r="AB105" s="12">
        <f>AE104</f>
        <v/>
      </c>
      <c r="AC105" s="12" t="n">
        <v>0</v>
      </c>
      <c r="AD105" s="12" t="n">
        <v>0</v>
      </c>
      <c r="AE105" s="12">
        <f>AB105+AC105+AD105</f>
        <v/>
      </c>
      <c r="AF105" s="13">
        <f>AI104</f>
        <v/>
      </c>
      <c r="AG105" s="13" t="n">
        <v>0</v>
      </c>
      <c r="AH105" s="13" t="n">
        <v>0</v>
      </c>
      <c r="AI105" s="13">
        <f>AF105+AG105+AH105</f>
        <v/>
      </c>
      <c r="AJ105" s="14" t="n">
        <v>30</v>
      </c>
      <c r="AK105" s="14" t="n">
        <v>0</v>
      </c>
      <c r="AL105" s="14" t="n">
        <v>0</v>
      </c>
      <c r="AM105" s="14">
        <f>AJ105+AK105+AL105</f>
        <v/>
      </c>
      <c r="AN105" s="14">
        <f>AN104+AM105</f>
        <v/>
      </c>
    </row>
    <row r="106">
      <c r="A106" s="8" t="n">
        <v>5</v>
      </c>
      <c r="B106" s="8" t="n">
        <v>1</v>
      </c>
      <c r="C106" s="8" t="n">
        <v>1</v>
      </c>
      <c r="D106" s="8" t="inlineStr">
        <is>
          <t>版本免费+义相逢 + 月卡收益</t>
        </is>
      </c>
      <c r="E106" s="9" t="n">
        <v>45760</v>
      </c>
      <c r="F106" s="9" t="n">
        <v>1540</v>
      </c>
      <c r="G106" s="9" t="n">
        <v>4800</v>
      </c>
      <c r="H106" s="9" t="n">
        <v>0</v>
      </c>
      <c r="I106" s="9" t="n">
        <v>0</v>
      </c>
      <c r="J106" s="9" t="n">
        <v>8640</v>
      </c>
      <c r="K106" s="9">
        <f>E106+F106+G106+H106+I106-J106</f>
        <v/>
      </c>
      <c r="L106" s="10" t="n">
        <v>40</v>
      </c>
      <c r="M106" s="10" t="n">
        <v>85</v>
      </c>
      <c r="N106" s="10" t="n">
        <v>21</v>
      </c>
      <c r="O106" s="10">
        <f>J106/160</f>
        <v/>
      </c>
      <c r="P106" s="10" t="n">
        <v>200</v>
      </c>
      <c r="Q106" s="10">
        <f>L106+M106+N106+O106-P106</f>
        <v/>
      </c>
      <c r="R106" s="11" t="n">
        <v>18</v>
      </c>
      <c r="S106" s="11">
        <f>N(V106) + N(X106) + N(Z106)</f>
        <v/>
      </c>
      <c r="T106" s="11">
        <f>R106+P106-S106</f>
        <v/>
      </c>
      <c r="U106" s="11" t="inlineStr">
        <is>
          <t>是</t>
        </is>
      </c>
      <c r="V106" s="11" t="n">
        <v>32</v>
      </c>
      <c r="W106" s="11" t="inlineStr">
        <is>
          <t>是</t>
        </is>
      </c>
      <c r="X106" s="11" t="n">
        <v>47</v>
      </c>
      <c r="Y106" s="11" t="inlineStr">
        <is>
          <t>歪(33), UP(21), UP(50)</t>
        </is>
      </c>
      <c r="Z106" s="11" t="n">
        <v>104</v>
      </c>
      <c r="AA106" s="11" t="inlineStr">
        <is>
          <t>冲刺200(动态70)</t>
        </is>
      </c>
      <c r="AB106" s="12" t="n">
        <v>213</v>
      </c>
      <c r="AC106" s="12" t="n">
        <v>4</v>
      </c>
      <c r="AD106" s="12" t="n">
        <v>1</v>
      </c>
      <c r="AE106" s="12">
        <f>AB106+AC106+AD106</f>
        <v/>
      </c>
      <c r="AF106" s="13" t="n">
        <v>25000</v>
      </c>
      <c r="AG106" s="13" t="n">
        <v>0</v>
      </c>
      <c r="AH106" s="13" t="n">
        <v>5000</v>
      </c>
      <c r="AI106" s="13">
        <f>AF106+AG106+AH106</f>
        <v/>
      </c>
      <c r="AJ106" s="14" t="n">
        <v>0</v>
      </c>
      <c r="AK106" s="14" t="n">
        <v>50</v>
      </c>
      <c r="AL106" s="14" t="n">
        <v>0</v>
      </c>
      <c r="AM106" s="14">
        <f>AJ106+AK106+AL106</f>
        <v/>
      </c>
      <c r="AN106" s="14">
        <f>AM106</f>
        <v/>
      </c>
    </row>
    <row r="107">
      <c r="A107" s="8" t="n">
        <v>5</v>
      </c>
      <c r="B107" s="8" t="n">
        <v>1</v>
      </c>
      <c r="C107" s="8" t="n">
        <v>2</v>
      </c>
      <c r="D107" s="8" t="inlineStr">
        <is>
          <t>月卡收益</t>
        </is>
      </c>
      <c r="E107" s="9">
        <f>K106</f>
        <v/>
      </c>
      <c r="F107" s="9" t="n">
        <v>1540</v>
      </c>
      <c r="G107" s="9" t="n">
        <v>0</v>
      </c>
      <c r="H107" s="9" t="n">
        <v>0</v>
      </c>
      <c r="I107" s="9" t="n">
        <v>0</v>
      </c>
      <c r="J107" s="9" t="n">
        <v>9120</v>
      </c>
      <c r="K107" s="9">
        <f>E107+F107+G107+H107+I107-J107</f>
        <v/>
      </c>
      <c r="L107" s="10">
        <f>Q106</f>
        <v/>
      </c>
      <c r="M107" s="10" t="n">
        <v>0</v>
      </c>
      <c r="N107" s="10" t="n">
        <v>6</v>
      </c>
      <c r="O107" s="10">
        <f>J107/160</f>
        <v/>
      </c>
      <c r="P107" s="10" t="n">
        <v>60</v>
      </c>
      <c r="Q107" s="10">
        <f>L107+M107+N107+O107-P107</f>
        <v/>
      </c>
      <c r="R107" s="11">
        <f>T106</f>
        <v/>
      </c>
      <c r="S107" s="11">
        <f>N(V107) + N(X107) + N(Z107)</f>
        <v/>
      </c>
      <c r="T107" s="11">
        <f>R107+P107-S107</f>
        <v/>
      </c>
      <c r="U107" s="11" t="inlineStr">
        <is>
          <t>是</t>
        </is>
      </c>
      <c r="V107" s="11" t="n">
        <v>32</v>
      </c>
      <c r="W107" s="11" t="inlineStr">
        <is>
          <t>是</t>
        </is>
      </c>
      <c r="X107" s="11" t="n">
        <v>49</v>
      </c>
      <c r="Y107" s="11" t="inlineStr">
        <is>
          <t>-</t>
        </is>
      </c>
      <c r="Z107" s="11" t="n">
        <v>0</v>
      </c>
      <c r="AA107" s="11" t="inlineStr">
        <is>
          <t>垫到60抽</t>
        </is>
      </c>
      <c r="AB107" s="12">
        <f>AE106</f>
        <v/>
      </c>
      <c r="AC107" s="12" t="n">
        <v>0</v>
      </c>
      <c r="AD107" s="12" t="n">
        <v>0</v>
      </c>
      <c r="AE107" s="12">
        <f>AB107+AC107+AD107</f>
        <v/>
      </c>
      <c r="AF107" s="13">
        <f>AI106</f>
        <v/>
      </c>
      <c r="AG107" s="13" t="n">
        <v>0</v>
      </c>
      <c r="AH107" s="13" t="n">
        <v>0</v>
      </c>
      <c r="AI107" s="13">
        <f>AF107+AG107+AH107</f>
        <v/>
      </c>
      <c r="AJ107" s="14" t="n">
        <v>0</v>
      </c>
      <c r="AK107" s="14" t="n">
        <v>0</v>
      </c>
      <c r="AL107" s="14" t="n">
        <v>0</v>
      </c>
      <c r="AM107" s="14">
        <f>AJ107+AK107+AL107</f>
        <v/>
      </c>
      <c r="AN107" s="14">
        <f>AN106+AM107</f>
        <v/>
      </c>
    </row>
    <row r="108">
      <c r="A108" s="8" t="n">
        <v>5</v>
      </c>
      <c r="B108" s="8" t="n">
        <v>2</v>
      </c>
      <c r="C108" s="8" t="n">
        <v>1</v>
      </c>
      <c r="D108" s="8" t="inlineStr">
        <is>
          <t>版本免费+义相逢 + 月卡收益 [月卡续费-30元]</t>
        </is>
      </c>
      <c r="E108" s="9">
        <f>K107</f>
        <v/>
      </c>
      <c r="F108" s="9" t="n">
        <v>1540</v>
      </c>
      <c r="G108" s="9" t="n">
        <v>4800</v>
      </c>
      <c r="H108" s="9" t="n">
        <v>0</v>
      </c>
      <c r="I108" s="9" t="n">
        <v>0</v>
      </c>
      <c r="J108" s="9" t="n">
        <v>14560</v>
      </c>
      <c r="K108" s="9">
        <f>E108+F108+G108+H108+I108-J108</f>
        <v/>
      </c>
      <c r="L108" s="10">
        <f>Q107</f>
        <v/>
      </c>
      <c r="M108" s="10" t="n">
        <v>85</v>
      </c>
      <c r="N108" s="10" t="n">
        <v>21</v>
      </c>
      <c r="O108" s="10">
        <f>J108/160</f>
        <v/>
      </c>
      <c r="P108" s="10" t="n">
        <v>200</v>
      </c>
      <c r="Q108" s="10">
        <f>L108+M108+N108+O108-P108</f>
        <v/>
      </c>
      <c r="R108" s="11">
        <f>T107</f>
        <v/>
      </c>
      <c r="S108" s="11">
        <f>N(V108) + N(X108) + N(Z108)</f>
        <v/>
      </c>
      <c r="T108" s="11">
        <f>R108+P108-S108</f>
        <v/>
      </c>
      <c r="U108" s="11" t="inlineStr">
        <is>
          <t>是</t>
        </is>
      </c>
      <c r="V108" s="11" t="n">
        <v>46</v>
      </c>
      <c r="W108" s="11" t="inlineStr">
        <is>
          <t>是</t>
        </is>
      </c>
      <c r="X108" s="11" t="n">
        <v>51</v>
      </c>
      <c r="Y108" s="11" t="inlineStr">
        <is>
          <t>歪(51), UP(50)</t>
        </is>
      </c>
      <c r="Z108" s="11" t="n">
        <v>101</v>
      </c>
      <c r="AA108" s="11" t="inlineStr">
        <is>
          <t>冲刺200(动态90)</t>
        </is>
      </c>
      <c r="AB108" s="12">
        <f>AE107</f>
        <v/>
      </c>
      <c r="AC108" s="12" t="n">
        <v>4</v>
      </c>
      <c r="AD108" s="12" t="n">
        <v>1</v>
      </c>
      <c r="AE108" s="12">
        <f>AB108+AC108+AD108</f>
        <v/>
      </c>
      <c r="AF108" s="13">
        <f>AI107</f>
        <v/>
      </c>
      <c r="AG108" s="13" t="n">
        <v>0</v>
      </c>
      <c r="AH108" s="13" t="n">
        <v>5000</v>
      </c>
      <c r="AI108" s="13">
        <f>AF108+AG108+AH108</f>
        <v/>
      </c>
      <c r="AJ108" s="14" t="n">
        <v>30</v>
      </c>
      <c r="AK108" s="14" t="n">
        <v>50</v>
      </c>
      <c r="AL108" s="14" t="n">
        <v>0</v>
      </c>
      <c r="AM108" s="14">
        <f>AJ108+AK108+AL108</f>
        <v/>
      </c>
      <c r="AN108" s="14">
        <f>AN107+AM108</f>
        <v/>
      </c>
    </row>
    <row r="109">
      <c r="A109" s="8" t="n">
        <v>5</v>
      </c>
      <c r="B109" s="8" t="n">
        <v>2</v>
      </c>
      <c r="C109" s="8" t="n">
        <v>2</v>
      </c>
      <c r="D109" s="8" t="inlineStr">
        <is>
          <t>月卡收益</t>
        </is>
      </c>
      <c r="E109" s="9">
        <f>K108</f>
        <v/>
      </c>
      <c r="F109" s="9" t="n">
        <v>1540</v>
      </c>
      <c r="G109" s="9" t="n">
        <v>0</v>
      </c>
      <c r="H109" s="9" t="n">
        <v>0</v>
      </c>
      <c r="I109" s="9" t="n">
        <v>0</v>
      </c>
      <c r="J109" s="9" t="n">
        <v>14240</v>
      </c>
      <c r="K109" s="9">
        <f>E109+F109+G109+H109+I109-J109</f>
        <v/>
      </c>
      <c r="L109" s="10">
        <f>Q108</f>
        <v/>
      </c>
      <c r="M109" s="10" t="n">
        <v>0</v>
      </c>
      <c r="N109" s="10" t="n">
        <v>11</v>
      </c>
      <c r="O109" s="10">
        <f>J109/160</f>
        <v/>
      </c>
      <c r="P109" s="10" t="n">
        <v>100</v>
      </c>
      <c r="Q109" s="10">
        <f>L109+M109+N109+O109-P109</f>
        <v/>
      </c>
      <c r="R109" s="11">
        <f>T108</f>
        <v/>
      </c>
      <c r="S109" s="11">
        <f>N(V109) + N(X109) + N(Z109)</f>
        <v/>
      </c>
      <c r="T109" s="11">
        <f>R109+P109-S109</f>
        <v/>
      </c>
      <c r="U109" s="11" t="inlineStr">
        <is>
          <t>是</t>
        </is>
      </c>
      <c r="V109" s="11" t="n">
        <v>52</v>
      </c>
      <c r="W109" s="11" t="inlineStr">
        <is>
          <t>是</t>
        </is>
      </c>
      <c r="X109" s="11" t="n">
        <v>55</v>
      </c>
      <c r="Y109" s="11" t="inlineStr">
        <is>
          <t>-</t>
        </is>
      </c>
      <c r="Z109" s="11" t="n">
        <v>0</v>
      </c>
      <c r="AA109" s="11" t="inlineStr">
        <is>
          <t>无</t>
        </is>
      </c>
      <c r="AB109" s="12">
        <f>AE108</f>
        <v/>
      </c>
      <c r="AC109" s="12" t="n">
        <v>0</v>
      </c>
      <c r="AD109" s="12" t="n">
        <v>0</v>
      </c>
      <c r="AE109" s="12">
        <f>AB109+AC109+AD109</f>
        <v/>
      </c>
      <c r="AF109" s="13">
        <f>AI108</f>
        <v/>
      </c>
      <c r="AG109" s="13" t="n">
        <v>0</v>
      </c>
      <c r="AH109" s="13" t="n">
        <v>0</v>
      </c>
      <c r="AI109" s="13">
        <f>AF109+AG109+AH109</f>
        <v/>
      </c>
      <c r="AJ109" s="14" t="n">
        <v>0</v>
      </c>
      <c r="AK109" s="14" t="n">
        <v>0</v>
      </c>
      <c r="AL109" s="14" t="n">
        <v>0</v>
      </c>
      <c r="AM109" s="14">
        <f>AJ109+AK109+AL109</f>
        <v/>
      </c>
      <c r="AN109" s="14">
        <f>AN108+AM109</f>
        <v/>
      </c>
    </row>
    <row r="110">
      <c r="A110" s="8" t="n">
        <v>5</v>
      </c>
      <c r="B110" s="8" t="n">
        <v>3</v>
      </c>
      <c r="C110" s="8" t="n">
        <v>1</v>
      </c>
      <c r="D110" s="8" t="inlineStr">
        <is>
          <t>版本免费+义相逢 + 月卡收益 [月卡续费-30元]</t>
        </is>
      </c>
      <c r="E110" s="9">
        <f>K109</f>
        <v/>
      </c>
      <c r="F110" s="9" t="n">
        <v>1540</v>
      </c>
      <c r="G110" s="9" t="n">
        <v>4800</v>
      </c>
      <c r="H110" s="9" t="n">
        <v>0</v>
      </c>
      <c r="I110" s="9" t="n">
        <v>0</v>
      </c>
      <c r="J110" s="9" t="n">
        <v>0</v>
      </c>
      <c r="K110" s="9">
        <f>E110+F110+G110+H110+I110-J110</f>
        <v/>
      </c>
      <c r="L110" s="10">
        <f>Q109</f>
        <v/>
      </c>
      <c r="M110" s="10" t="n">
        <v>85</v>
      </c>
      <c r="N110" s="10" t="n">
        <v>3</v>
      </c>
      <c r="O110" s="10">
        <f>J110/160</f>
        <v/>
      </c>
      <c r="P110" s="10" t="n">
        <v>40</v>
      </c>
      <c r="Q110" s="10">
        <f>L110+M110+N110+O110-P110</f>
        <v/>
      </c>
      <c r="R110" s="11">
        <f>T109</f>
        <v/>
      </c>
      <c r="S110" s="11">
        <f>N(V110) + N(X110) + N(Z110)</f>
        <v/>
      </c>
      <c r="T110" s="11">
        <f>R110+P110-S110</f>
        <v/>
      </c>
      <c r="U110" s="11" t="inlineStr">
        <is>
          <t>是</t>
        </is>
      </c>
      <c r="V110" s="11" t="n">
        <v>48</v>
      </c>
      <c r="W110" s="11" t="inlineStr">
        <is>
          <t>否</t>
        </is>
      </c>
      <c r="X110" s="11" t="inlineStr">
        <is>
          <t>-</t>
        </is>
      </c>
      <c r="Y110" s="11" t="inlineStr">
        <is>
          <t>-</t>
        </is>
      </c>
      <c r="Z110" s="11" t="n">
        <v>0</v>
      </c>
      <c r="AA110" s="11" t="inlineStr">
        <is>
          <t>无</t>
        </is>
      </c>
      <c r="AB110" s="12">
        <f>AE109</f>
        <v/>
      </c>
      <c r="AC110" s="12" t="n">
        <v>4</v>
      </c>
      <c r="AD110" s="12" t="n">
        <v>0</v>
      </c>
      <c r="AE110" s="12">
        <f>AB110+AC110+AD110</f>
        <v/>
      </c>
      <c r="AF110" s="13">
        <f>AI109</f>
        <v/>
      </c>
      <c r="AG110" s="13" t="n">
        <v>0</v>
      </c>
      <c r="AH110" s="13" t="n">
        <v>0</v>
      </c>
      <c r="AI110" s="13">
        <f>AF110+AG110+AH110</f>
        <v/>
      </c>
      <c r="AJ110" s="14" t="n">
        <v>30</v>
      </c>
      <c r="AK110" s="14" t="n">
        <v>50</v>
      </c>
      <c r="AL110" s="14" t="n">
        <v>0</v>
      </c>
      <c r="AM110" s="14">
        <f>AJ110+AK110+AL110</f>
        <v/>
      </c>
      <c r="AN110" s="14">
        <f>AN109+AM110</f>
        <v/>
      </c>
    </row>
    <row r="111">
      <c r="A111" s="8" t="n">
        <v>5</v>
      </c>
      <c r="B111" s="8" t="n">
        <v>3</v>
      </c>
      <c r="C111" s="8" t="n">
        <v>2</v>
      </c>
      <c r="D111" s="8" t="inlineStr">
        <is>
          <t>月卡收益</t>
        </is>
      </c>
      <c r="E111" s="9">
        <f>K110</f>
        <v/>
      </c>
      <c r="F111" s="9" t="n">
        <v>1540</v>
      </c>
      <c r="G111" s="9" t="n">
        <v>0</v>
      </c>
      <c r="H111" s="9" t="n">
        <v>0</v>
      </c>
      <c r="I111" s="9" t="n">
        <v>0</v>
      </c>
      <c r="J111" s="9" t="n">
        <v>8160</v>
      </c>
      <c r="K111" s="9">
        <f>E111+F111+G111+H111+I111-J111</f>
        <v/>
      </c>
      <c r="L111" s="10">
        <f>Q110</f>
        <v/>
      </c>
      <c r="M111" s="10" t="n">
        <v>0</v>
      </c>
      <c r="N111" s="10" t="n">
        <v>11</v>
      </c>
      <c r="O111" s="10">
        <f>J111/160</f>
        <v/>
      </c>
      <c r="P111" s="10" t="n">
        <v>110</v>
      </c>
      <c r="Q111" s="10">
        <f>L111+M111+N111+O111-P111</f>
        <v/>
      </c>
      <c r="R111" s="11">
        <f>T110</f>
        <v/>
      </c>
      <c r="S111" s="11">
        <f>N(V111) + N(X111) + N(Z111)</f>
        <v/>
      </c>
      <c r="T111" s="11">
        <f>R111+P111-S111</f>
        <v/>
      </c>
      <c r="U111" s="11" t="inlineStr">
        <is>
          <t>是</t>
        </is>
      </c>
      <c r="V111" s="11" t="n">
        <v>52</v>
      </c>
      <c r="W111" s="11" t="inlineStr">
        <is>
          <t>是</t>
        </is>
      </c>
      <c r="X111" s="11" t="n">
        <v>50</v>
      </c>
      <c r="Y111" s="11" t="inlineStr">
        <is>
          <t>-</t>
        </is>
      </c>
      <c r="Z111" s="11" t="n">
        <v>0</v>
      </c>
      <c r="AA111" s="11" t="inlineStr">
        <is>
          <t>无</t>
        </is>
      </c>
      <c r="AB111" s="12">
        <f>AE110</f>
        <v/>
      </c>
      <c r="AC111" s="12" t="n">
        <v>0</v>
      </c>
      <c r="AD111" s="12" t="n">
        <v>0</v>
      </c>
      <c r="AE111" s="12">
        <f>AB111+AC111+AD111</f>
        <v/>
      </c>
      <c r="AF111" s="13">
        <f>AI110</f>
        <v/>
      </c>
      <c r="AG111" s="13" t="n">
        <v>0</v>
      </c>
      <c r="AH111" s="13" t="n">
        <v>0</v>
      </c>
      <c r="AI111" s="13">
        <f>AF111+AG111+AH111</f>
        <v/>
      </c>
      <c r="AJ111" s="14" t="n">
        <v>0</v>
      </c>
      <c r="AK111" s="14" t="n">
        <v>0</v>
      </c>
      <c r="AL111" s="14" t="n">
        <v>0</v>
      </c>
      <c r="AM111" s="14">
        <f>AJ111+AK111+AL111</f>
        <v/>
      </c>
      <c r="AN111" s="14">
        <f>AN110+AM111</f>
        <v/>
      </c>
    </row>
    <row r="112">
      <c r="A112" s="8" t="n">
        <v>5</v>
      </c>
      <c r="B112" s="8" t="n">
        <v>4</v>
      </c>
      <c r="C112" s="8" t="n">
        <v>1</v>
      </c>
      <c r="D112" s="8" t="inlineStr">
        <is>
          <t>版本免费+义相逢 + 月卡收益 [月卡续费-30元]</t>
        </is>
      </c>
      <c r="E112" s="9">
        <f>K111</f>
        <v/>
      </c>
      <c r="F112" s="9" t="n">
        <v>1540</v>
      </c>
      <c r="G112" s="9" t="n">
        <v>4800</v>
      </c>
      <c r="H112" s="9" t="n">
        <v>0</v>
      </c>
      <c r="I112" s="9" t="n">
        <v>0</v>
      </c>
      <c r="J112" s="9" t="n">
        <v>0</v>
      </c>
      <c r="K112" s="9">
        <f>E112+F112+G112+H112+I112-J112</f>
        <v/>
      </c>
      <c r="L112" s="10">
        <f>Q111</f>
        <v/>
      </c>
      <c r="M112" s="10" t="n">
        <v>85</v>
      </c>
      <c r="N112" s="10" t="n">
        <v>3</v>
      </c>
      <c r="O112" s="10">
        <f>J112/160</f>
        <v/>
      </c>
      <c r="P112" s="10" t="n">
        <v>40</v>
      </c>
      <c r="Q112" s="10">
        <f>L112+M112+N112+O112-P112</f>
        <v/>
      </c>
      <c r="R112" s="11">
        <f>T111</f>
        <v/>
      </c>
      <c r="S112" s="11">
        <f>N(V112) + N(X112) + N(Z112)</f>
        <v/>
      </c>
      <c r="T112" s="11">
        <f>R112+P112-S112</f>
        <v/>
      </c>
      <c r="U112" s="11" t="inlineStr">
        <is>
          <t>是</t>
        </is>
      </c>
      <c r="V112" s="11" t="n">
        <v>49</v>
      </c>
      <c r="W112" s="11" t="inlineStr">
        <is>
          <t>否</t>
        </is>
      </c>
      <c r="X112" s="11" t="inlineStr">
        <is>
          <t>-</t>
        </is>
      </c>
      <c r="Y112" s="11" t="inlineStr">
        <is>
          <t>-</t>
        </is>
      </c>
      <c r="Z112" s="11" t="n">
        <v>0</v>
      </c>
      <c r="AA112" s="11" t="inlineStr">
        <is>
          <t>无</t>
        </is>
      </c>
      <c r="AB112" s="12">
        <f>AE111</f>
        <v/>
      </c>
      <c r="AC112" s="12" t="n">
        <v>4</v>
      </c>
      <c r="AD112" s="12" t="n">
        <v>0</v>
      </c>
      <c r="AE112" s="12">
        <f>AB112+AC112+AD112</f>
        <v/>
      </c>
      <c r="AF112" s="13">
        <f>AI111</f>
        <v/>
      </c>
      <c r="AG112" s="13" t="n">
        <v>0</v>
      </c>
      <c r="AH112" s="13" t="n">
        <v>0</v>
      </c>
      <c r="AI112" s="13">
        <f>AF112+AG112+AH112</f>
        <v/>
      </c>
      <c r="AJ112" s="14" t="n">
        <v>30</v>
      </c>
      <c r="AK112" s="14" t="n">
        <v>50</v>
      </c>
      <c r="AL112" s="14" t="n">
        <v>0</v>
      </c>
      <c r="AM112" s="14">
        <f>AJ112+AK112+AL112</f>
        <v/>
      </c>
      <c r="AN112" s="14">
        <f>AN111+AM112</f>
        <v/>
      </c>
    </row>
    <row r="113">
      <c r="A113" s="8" t="n">
        <v>5</v>
      </c>
      <c r="B113" s="8" t="n">
        <v>4</v>
      </c>
      <c r="C113" s="8" t="n">
        <v>2</v>
      </c>
      <c r="D113" s="8" t="inlineStr">
        <is>
          <t>月卡收益</t>
        </is>
      </c>
      <c r="E113" s="9">
        <f>K112</f>
        <v/>
      </c>
      <c r="F113" s="9" t="n">
        <v>1540</v>
      </c>
      <c r="G113" s="9" t="n">
        <v>0</v>
      </c>
      <c r="H113" s="9" t="n">
        <v>0</v>
      </c>
      <c r="I113" s="9" t="n">
        <v>0</v>
      </c>
      <c r="J113" s="9" t="n">
        <v>6560</v>
      </c>
      <c r="K113" s="9">
        <f>E113+F113+G113+H113+I113-J113</f>
        <v/>
      </c>
      <c r="L113" s="10">
        <f>Q112</f>
        <v/>
      </c>
      <c r="M113" s="10" t="n">
        <v>0</v>
      </c>
      <c r="N113" s="10" t="n">
        <v>11</v>
      </c>
      <c r="O113" s="10">
        <f>J113/160</f>
        <v/>
      </c>
      <c r="P113" s="10" t="n">
        <v>100</v>
      </c>
      <c r="Q113" s="10">
        <f>L113+M113+N113+O113-P113</f>
        <v/>
      </c>
      <c r="R113" s="11">
        <f>T112</f>
        <v/>
      </c>
      <c r="S113" s="11">
        <f>N(V113) + N(X113) + N(Z113)</f>
        <v/>
      </c>
      <c r="T113" s="11">
        <f>R113+P113-S113</f>
        <v/>
      </c>
      <c r="U113" s="11" t="inlineStr">
        <is>
          <t>是</t>
        </is>
      </c>
      <c r="V113" s="11" t="n">
        <v>46</v>
      </c>
      <c r="W113" s="11" t="inlineStr">
        <is>
          <t>是</t>
        </is>
      </c>
      <c r="X113" s="11" t="n">
        <v>51</v>
      </c>
      <c r="Y113" s="11" t="inlineStr">
        <is>
          <t>-</t>
        </is>
      </c>
      <c r="Z113" s="11" t="n">
        <v>0</v>
      </c>
      <c r="AA113" s="11" t="inlineStr">
        <is>
          <t>无</t>
        </is>
      </c>
      <c r="AB113" s="12">
        <f>AE112</f>
        <v/>
      </c>
      <c r="AC113" s="12" t="n">
        <v>0</v>
      </c>
      <c r="AD113" s="12" t="n">
        <v>0</v>
      </c>
      <c r="AE113" s="12">
        <f>AB113+AC113+AD113</f>
        <v/>
      </c>
      <c r="AF113" s="13">
        <f>AI112</f>
        <v/>
      </c>
      <c r="AG113" s="13" t="n">
        <v>0</v>
      </c>
      <c r="AH113" s="13" t="n">
        <v>0</v>
      </c>
      <c r="AI113" s="13">
        <f>AF113+AG113+AH113</f>
        <v/>
      </c>
      <c r="AJ113" s="14" t="n">
        <v>0</v>
      </c>
      <c r="AK113" s="14" t="n">
        <v>0</v>
      </c>
      <c r="AL113" s="14" t="n">
        <v>0</v>
      </c>
      <c r="AM113" s="14">
        <f>AJ113+AK113+AL113</f>
        <v/>
      </c>
      <c r="AN113" s="14">
        <f>AN112+AM113</f>
        <v/>
      </c>
    </row>
    <row r="114">
      <c r="A114" s="8" t="n">
        <v>5</v>
      </c>
      <c r="B114" s="8" t="n">
        <v>5</v>
      </c>
      <c r="C114" s="8" t="n">
        <v>1</v>
      </c>
      <c r="D114" s="8" t="inlineStr">
        <is>
          <t>版本免费+义相逢 + 月卡收益 [月卡续费-30元]</t>
        </is>
      </c>
      <c r="E114" s="9">
        <f>K113</f>
        <v/>
      </c>
      <c r="F114" s="9" t="n">
        <v>1540</v>
      </c>
      <c r="G114" s="9" t="n">
        <v>4800</v>
      </c>
      <c r="H114" s="9" t="n">
        <v>0</v>
      </c>
      <c r="I114" s="9" t="n">
        <v>0</v>
      </c>
      <c r="J114" s="9" t="n">
        <v>2240</v>
      </c>
      <c r="K114" s="9">
        <f>E114+F114+G114+H114+I114-J114</f>
        <v/>
      </c>
      <c r="L114" s="10">
        <f>Q113</f>
        <v/>
      </c>
      <c r="M114" s="10" t="n">
        <v>85</v>
      </c>
      <c r="N114" s="10" t="n">
        <v>11</v>
      </c>
      <c r="O114" s="10">
        <f>J114/160</f>
        <v/>
      </c>
      <c r="P114" s="10" t="n">
        <v>110</v>
      </c>
      <c r="Q114" s="10">
        <f>L114+M114+N114+O114-P114</f>
        <v/>
      </c>
      <c r="R114" s="11">
        <f>T113</f>
        <v/>
      </c>
      <c r="S114" s="11">
        <f>N(V114) + N(X114) + N(Z114)</f>
        <v/>
      </c>
      <c r="T114" s="11">
        <f>R114+P114-S114</f>
        <v/>
      </c>
      <c r="U114" s="11" t="inlineStr">
        <is>
          <t>是</t>
        </is>
      </c>
      <c r="V114" s="11" t="n">
        <v>53</v>
      </c>
      <c r="W114" s="11" t="inlineStr">
        <is>
          <t>是</t>
        </is>
      </c>
      <c r="X114" s="11" t="n">
        <v>54</v>
      </c>
      <c r="Y114" s="11" t="inlineStr">
        <is>
          <t>-</t>
        </is>
      </c>
      <c r="Z114" s="11" t="n">
        <v>0</v>
      </c>
      <c r="AA114" s="11" t="inlineStr">
        <is>
          <t>无</t>
        </is>
      </c>
      <c r="AB114" s="12">
        <f>AE113</f>
        <v/>
      </c>
      <c r="AC114" s="12" t="n">
        <v>4</v>
      </c>
      <c r="AD114" s="12" t="n">
        <v>0</v>
      </c>
      <c r="AE114" s="12">
        <f>AB114+AC114+AD114</f>
        <v/>
      </c>
      <c r="AF114" s="13">
        <f>AI113</f>
        <v/>
      </c>
      <c r="AG114" s="13" t="n">
        <v>0</v>
      </c>
      <c r="AH114" s="13" t="n">
        <v>0</v>
      </c>
      <c r="AI114" s="13">
        <f>AF114+AG114+AH114</f>
        <v/>
      </c>
      <c r="AJ114" s="14" t="n">
        <v>30</v>
      </c>
      <c r="AK114" s="14" t="n">
        <v>50</v>
      </c>
      <c r="AL114" s="14" t="n">
        <v>0</v>
      </c>
      <c r="AM114" s="14">
        <f>AJ114+AK114+AL114</f>
        <v/>
      </c>
      <c r="AN114" s="14">
        <f>AN113+AM114</f>
        <v/>
      </c>
    </row>
    <row r="115">
      <c r="A115" s="8" t="n">
        <v>5</v>
      </c>
      <c r="B115" s="8" t="n">
        <v>5</v>
      </c>
      <c r="C115" s="8" t="n">
        <v>2</v>
      </c>
      <c r="D115" s="8" t="inlineStr">
        <is>
          <t>月卡收益</t>
        </is>
      </c>
      <c r="E115" s="9">
        <f>K114</f>
        <v/>
      </c>
      <c r="F115" s="9" t="n">
        <v>1540</v>
      </c>
      <c r="G115" s="9" t="n">
        <v>0</v>
      </c>
      <c r="H115" s="9" t="n">
        <v>0</v>
      </c>
      <c r="I115" s="9" t="n">
        <v>0</v>
      </c>
      <c r="J115" s="9" t="n">
        <v>9120</v>
      </c>
      <c r="K115" s="9">
        <f>E115+F115+G115+H115+I115-J115</f>
        <v/>
      </c>
      <c r="L115" s="10">
        <f>Q114</f>
        <v/>
      </c>
      <c r="M115" s="10" t="n">
        <v>0</v>
      </c>
      <c r="N115" s="10" t="n">
        <v>6</v>
      </c>
      <c r="O115" s="10">
        <f>J115/160</f>
        <v/>
      </c>
      <c r="P115" s="10" t="n">
        <v>60</v>
      </c>
      <c r="Q115" s="10">
        <f>L115+M115+N115+O115-P115</f>
        <v/>
      </c>
      <c r="R115" s="11">
        <f>T114</f>
        <v/>
      </c>
      <c r="S115" s="11">
        <f>N(V115) + N(X115) + N(Z115)</f>
        <v/>
      </c>
      <c r="T115" s="11">
        <f>R115+P115-S115</f>
        <v/>
      </c>
      <c r="U115" s="11" t="inlineStr">
        <is>
          <t>是</t>
        </is>
      </c>
      <c r="V115" s="11" t="n">
        <v>48</v>
      </c>
      <c r="W115" s="11" t="inlineStr">
        <is>
          <t>否</t>
        </is>
      </c>
      <c r="X115" s="11" t="inlineStr">
        <is>
          <t>-</t>
        </is>
      </c>
      <c r="Y115" s="11" t="inlineStr">
        <is>
          <t>-</t>
        </is>
      </c>
      <c r="Z115" s="11" t="n">
        <v>0</v>
      </c>
      <c r="AA115" s="11" t="inlineStr">
        <is>
          <t>垫到60抽</t>
        </is>
      </c>
      <c r="AB115" s="12">
        <f>AE114</f>
        <v/>
      </c>
      <c r="AC115" s="12" t="n">
        <v>0</v>
      </c>
      <c r="AD115" s="12" t="n">
        <v>0</v>
      </c>
      <c r="AE115" s="12">
        <f>AB115+AC115+AD115</f>
        <v/>
      </c>
      <c r="AF115" s="13">
        <f>AI114</f>
        <v/>
      </c>
      <c r="AG115" s="13" t="n">
        <v>0</v>
      </c>
      <c r="AH115" s="13" t="n">
        <v>0</v>
      </c>
      <c r="AI115" s="13">
        <f>AF115+AG115+AH115</f>
        <v/>
      </c>
      <c r="AJ115" s="14" t="n">
        <v>0</v>
      </c>
      <c r="AK115" s="14" t="n">
        <v>0</v>
      </c>
      <c r="AL115" s="14" t="n">
        <v>0</v>
      </c>
      <c r="AM115" s="14">
        <f>AJ115+AK115+AL115</f>
        <v/>
      </c>
      <c r="AN115" s="14">
        <f>AN114+AM115</f>
        <v/>
      </c>
    </row>
    <row r="116">
      <c r="A116" s="8" t="n">
        <v>5</v>
      </c>
      <c r="B116" s="8" t="n">
        <v>6</v>
      </c>
      <c r="C116" s="8" t="n">
        <v>1</v>
      </c>
      <c r="D116" s="8" t="inlineStr">
        <is>
          <t>版本免费+义相逢 + 月卡收益 [月卡续费-30元]</t>
        </is>
      </c>
      <c r="E116" s="9">
        <f>K115</f>
        <v/>
      </c>
      <c r="F116" s="9" t="n">
        <v>1540</v>
      </c>
      <c r="G116" s="9" t="n">
        <v>4800</v>
      </c>
      <c r="H116" s="9" t="n">
        <v>0</v>
      </c>
      <c r="I116" s="9" t="n">
        <v>0</v>
      </c>
      <c r="J116" s="9" t="n">
        <v>0</v>
      </c>
      <c r="K116" s="9">
        <f>E116+F116+G116+H116+I116-J116</f>
        <v/>
      </c>
      <c r="L116" s="10">
        <f>Q115</f>
        <v/>
      </c>
      <c r="M116" s="10" t="n">
        <v>85</v>
      </c>
      <c r="N116" s="10" t="n">
        <v>3</v>
      </c>
      <c r="O116" s="10">
        <f>J116/160</f>
        <v/>
      </c>
      <c r="P116" s="10" t="n">
        <v>40</v>
      </c>
      <c r="Q116" s="10">
        <f>L116+M116+N116+O116-P116</f>
        <v/>
      </c>
      <c r="R116" s="11">
        <f>T115</f>
        <v/>
      </c>
      <c r="S116" s="11">
        <f>N(V116) + N(X116) + N(Z116)</f>
        <v/>
      </c>
      <c r="T116" s="11">
        <f>R116+P116-S116</f>
        <v/>
      </c>
      <c r="U116" s="11" t="inlineStr">
        <is>
          <t>是</t>
        </is>
      </c>
      <c r="V116" s="11" t="n">
        <v>50</v>
      </c>
      <c r="W116" s="11" t="inlineStr">
        <is>
          <t>否</t>
        </is>
      </c>
      <c r="X116" s="11" t="inlineStr">
        <is>
          <t>-</t>
        </is>
      </c>
      <c r="Y116" s="11" t="inlineStr">
        <is>
          <t>-</t>
        </is>
      </c>
      <c r="Z116" s="11" t="n">
        <v>0</v>
      </c>
      <c r="AA116" s="11" t="inlineStr">
        <is>
          <t>无</t>
        </is>
      </c>
      <c r="AB116" s="12">
        <f>AE115</f>
        <v/>
      </c>
      <c r="AC116" s="12" t="n">
        <v>4</v>
      </c>
      <c r="AD116" s="12" t="n">
        <v>0</v>
      </c>
      <c r="AE116" s="12">
        <f>AB116+AC116+AD116</f>
        <v/>
      </c>
      <c r="AF116" s="13">
        <f>AI115</f>
        <v/>
      </c>
      <c r="AG116" s="13" t="n">
        <v>0</v>
      </c>
      <c r="AH116" s="13" t="n">
        <v>0</v>
      </c>
      <c r="AI116" s="13">
        <f>AF116+AG116+AH116</f>
        <v/>
      </c>
      <c r="AJ116" s="14" t="n">
        <v>30</v>
      </c>
      <c r="AK116" s="14" t="n">
        <v>50</v>
      </c>
      <c r="AL116" s="14" t="n">
        <v>0</v>
      </c>
      <c r="AM116" s="14">
        <f>AJ116+AK116+AL116</f>
        <v/>
      </c>
      <c r="AN116" s="14">
        <f>AN115+AM116</f>
        <v/>
      </c>
    </row>
    <row r="117">
      <c r="A117" s="8" t="n">
        <v>5</v>
      </c>
      <c r="B117" s="8" t="n">
        <v>6</v>
      </c>
      <c r="C117" s="8" t="n">
        <v>2</v>
      </c>
      <c r="D117" s="8" t="inlineStr">
        <is>
          <t>月卡收益</t>
        </is>
      </c>
      <c r="E117" s="9">
        <f>K116</f>
        <v/>
      </c>
      <c r="F117" s="9" t="n">
        <v>1540</v>
      </c>
      <c r="G117" s="9" t="n">
        <v>0</v>
      </c>
      <c r="H117" s="9" t="n">
        <v>0</v>
      </c>
      <c r="I117" s="9" t="n">
        <v>0</v>
      </c>
      <c r="J117" s="9" t="n">
        <v>6080</v>
      </c>
      <c r="K117" s="9">
        <f>E117+F117+G117+H117+I117-J117</f>
        <v/>
      </c>
      <c r="L117" s="10">
        <f>Q116</f>
        <v/>
      </c>
      <c r="M117" s="10" t="n">
        <v>0</v>
      </c>
      <c r="N117" s="10" t="n">
        <v>11</v>
      </c>
      <c r="O117" s="10">
        <f>J117/160</f>
        <v/>
      </c>
      <c r="P117" s="10" t="n">
        <v>100</v>
      </c>
      <c r="Q117" s="10">
        <f>L117+M117+N117+O117-P117</f>
        <v/>
      </c>
      <c r="R117" s="11">
        <f>T116</f>
        <v/>
      </c>
      <c r="S117" s="11">
        <f>N(V117) + N(X117) + N(Z117)</f>
        <v/>
      </c>
      <c r="T117" s="11">
        <f>R117+P117-S117</f>
        <v/>
      </c>
      <c r="U117" s="11" t="inlineStr">
        <is>
          <t>是</t>
        </is>
      </c>
      <c r="V117" s="11" t="n">
        <v>54</v>
      </c>
      <c r="W117" s="11" t="inlineStr">
        <is>
          <t>是</t>
        </is>
      </c>
      <c r="X117" s="11" t="n">
        <v>49</v>
      </c>
      <c r="Y117" s="11" t="inlineStr">
        <is>
          <t>-</t>
        </is>
      </c>
      <c r="Z117" s="11" t="n">
        <v>0</v>
      </c>
      <c r="AA117" s="11" t="inlineStr">
        <is>
          <t>无</t>
        </is>
      </c>
      <c r="AB117" s="12">
        <f>AE116</f>
        <v/>
      </c>
      <c r="AC117" s="12" t="n">
        <v>0</v>
      </c>
      <c r="AD117" s="12" t="n">
        <v>0</v>
      </c>
      <c r="AE117" s="12">
        <f>AB117+AC117+AD117</f>
        <v/>
      </c>
      <c r="AF117" s="13">
        <f>AI116</f>
        <v/>
      </c>
      <c r="AG117" s="13" t="n">
        <v>0</v>
      </c>
      <c r="AH117" s="13" t="n">
        <v>0</v>
      </c>
      <c r="AI117" s="13">
        <f>AF117+AG117+AH117</f>
        <v/>
      </c>
      <c r="AJ117" s="14" t="n">
        <v>0</v>
      </c>
      <c r="AK117" s="14" t="n">
        <v>0</v>
      </c>
      <c r="AL117" s="14" t="n">
        <v>0</v>
      </c>
      <c r="AM117" s="14">
        <f>AJ117+AK117+AL117</f>
        <v/>
      </c>
      <c r="AN117" s="14">
        <f>AN116+AM117</f>
        <v/>
      </c>
    </row>
    <row r="118">
      <c r="A118" s="8" t="n">
        <v>5</v>
      </c>
      <c r="B118" s="8" t="n">
        <v>7</v>
      </c>
      <c r="C118" s="8" t="n">
        <v>1</v>
      </c>
      <c r="D118" s="8" t="inlineStr">
        <is>
          <t>版本免费+义相逢 + 月卡收益 [月卡续费-30元]</t>
        </is>
      </c>
      <c r="E118" s="9">
        <f>K117</f>
        <v/>
      </c>
      <c r="F118" s="9" t="n">
        <v>1540</v>
      </c>
      <c r="G118" s="9" t="n">
        <v>4800</v>
      </c>
      <c r="H118" s="9" t="n">
        <v>0</v>
      </c>
      <c r="I118" s="9" t="n">
        <v>0</v>
      </c>
      <c r="J118" s="9" t="n">
        <v>0</v>
      </c>
      <c r="K118" s="9">
        <f>E118+F118+G118+H118+I118-J118</f>
        <v/>
      </c>
      <c r="L118" s="10">
        <f>Q117</f>
        <v/>
      </c>
      <c r="M118" s="10" t="n">
        <v>85</v>
      </c>
      <c r="N118" s="10" t="n">
        <v>11</v>
      </c>
      <c r="O118" s="10">
        <f>J118/160</f>
        <v/>
      </c>
      <c r="P118" s="10" t="n">
        <v>90</v>
      </c>
      <c r="Q118" s="10">
        <f>L118+M118+N118+O118-P118</f>
        <v/>
      </c>
      <c r="R118" s="11">
        <f>T117</f>
        <v/>
      </c>
      <c r="S118" s="11">
        <f>N(V118) + N(X118) + N(Z118)</f>
        <v/>
      </c>
      <c r="T118" s="11">
        <f>R118+P118-S118</f>
        <v/>
      </c>
      <c r="U118" s="11" t="inlineStr">
        <is>
          <t>是</t>
        </is>
      </c>
      <c r="V118" s="11" t="n">
        <v>31</v>
      </c>
      <c r="W118" s="11" t="inlineStr">
        <is>
          <t>是</t>
        </is>
      </c>
      <c r="X118" s="11" t="n">
        <v>55</v>
      </c>
      <c r="Y118" s="11" t="inlineStr">
        <is>
          <t>-</t>
        </is>
      </c>
      <c r="Z118" s="11" t="n">
        <v>0</v>
      </c>
      <c r="AA118" s="11" t="inlineStr">
        <is>
          <t>无</t>
        </is>
      </c>
      <c r="AB118" s="12">
        <f>AE117</f>
        <v/>
      </c>
      <c r="AC118" s="12" t="n">
        <v>4</v>
      </c>
      <c r="AD118" s="12" t="n">
        <v>0</v>
      </c>
      <c r="AE118" s="12">
        <f>AB118+AC118+AD118</f>
        <v/>
      </c>
      <c r="AF118" s="13">
        <f>AI117</f>
        <v/>
      </c>
      <c r="AG118" s="13" t="n">
        <v>0</v>
      </c>
      <c r="AH118" s="13" t="n">
        <v>0</v>
      </c>
      <c r="AI118" s="13">
        <f>AF118+AG118+AH118</f>
        <v/>
      </c>
      <c r="AJ118" s="14" t="n">
        <v>30</v>
      </c>
      <c r="AK118" s="14" t="n">
        <v>50</v>
      </c>
      <c r="AL118" s="14" t="n">
        <v>0</v>
      </c>
      <c r="AM118" s="14">
        <f>AJ118+AK118+AL118</f>
        <v/>
      </c>
      <c r="AN118" s="14">
        <f>AN117+AM118</f>
        <v/>
      </c>
    </row>
    <row r="119">
      <c r="A119" s="8" t="n">
        <v>5</v>
      </c>
      <c r="B119" s="8" t="n">
        <v>7</v>
      </c>
      <c r="C119" s="8" t="n">
        <v>2</v>
      </c>
      <c r="D119" s="8" t="inlineStr">
        <is>
          <t>月卡收益</t>
        </is>
      </c>
      <c r="E119" s="9">
        <f>K118</f>
        <v/>
      </c>
      <c r="F119" s="9" t="n">
        <v>1540</v>
      </c>
      <c r="G119" s="9" t="n">
        <v>0</v>
      </c>
      <c r="H119" s="9" t="n">
        <v>0</v>
      </c>
      <c r="I119" s="9" t="n">
        <v>0</v>
      </c>
      <c r="J119" s="9" t="n">
        <v>8160</v>
      </c>
      <c r="K119" s="9">
        <f>E119+F119+G119+H119+I119-J119</f>
        <v/>
      </c>
      <c r="L119" s="10">
        <f>Q118</f>
        <v/>
      </c>
      <c r="M119" s="10" t="n">
        <v>0</v>
      </c>
      <c r="N119" s="10" t="n">
        <v>6</v>
      </c>
      <c r="O119" s="10">
        <f>J119/160</f>
        <v/>
      </c>
      <c r="P119" s="10" t="n">
        <v>60</v>
      </c>
      <c r="Q119" s="10">
        <f>L119+M119+N119+O119-P119</f>
        <v/>
      </c>
      <c r="R119" s="11">
        <f>T118</f>
        <v/>
      </c>
      <c r="S119" s="11">
        <f>N(V119) + N(X119) + N(Z119)</f>
        <v/>
      </c>
      <c r="T119" s="11">
        <f>R119+P119-S119</f>
        <v/>
      </c>
      <c r="U119" s="11" t="inlineStr">
        <is>
          <t>是</t>
        </is>
      </c>
      <c r="V119" s="11" t="n">
        <v>52</v>
      </c>
      <c r="W119" s="11" t="inlineStr">
        <is>
          <t>否</t>
        </is>
      </c>
      <c r="X119" s="11" t="inlineStr">
        <is>
          <t>-</t>
        </is>
      </c>
      <c r="Y119" s="11" t="inlineStr">
        <is>
          <t>-</t>
        </is>
      </c>
      <c r="Z119" s="11" t="n">
        <v>0</v>
      </c>
      <c r="AA119" s="11" t="inlineStr">
        <is>
          <t>垫到60抽</t>
        </is>
      </c>
      <c r="AB119" s="12">
        <f>AE118</f>
        <v/>
      </c>
      <c r="AC119" s="12" t="n">
        <v>0</v>
      </c>
      <c r="AD119" s="12" t="n">
        <v>0</v>
      </c>
      <c r="AE119" s="12">
        <f>AB119+AC119+AD119</f>
        <v/>
      </c>
      <c r="AF119" s="13">
        <f>AI118</f>
        <v/>
      </c>
      <c r="AG119" s="13" t="n">
        <v>0</v>
      </c>
      <c r="AH119" s="13" t="n">
        <v>0</v>
      </c>
      <c r="AI119" s="13">
        <f>AF119+AG119+AH119</f>
        <v/>
      </c>
      <c r="AJ119" s="14" t="n">
        <v>0</v>
      </c>
      <c r="AK119" s="14" t="n">
        <v>0</v>
      </c>
      <c r="AL119" s="14" t="n">
        <v>0</v>
      </c>
      <c r="AM119" s="14">
        <f>AJ119+AK119+AL119</f>
        <v/>
      </c>
      <c r="AN119" s="14">
        <f>AN118+AM119</f>
        <v/>
      </c>
    </row>
    <row r="120">
      <c r="A120" s="8" t="n">
        <v>5</v>
      </c>
      <c r="B120" s="8" t="n">
        <v>8</v>
      </c>
      <c r="C120" s="8" t="n">
        <v>1</v>
      </c>
      <c r="D120" s="8" t="inlineStr">
        <is>
          <t>版本免费+义相逢 + 月卡收益 [月卡续费-30元]</t>
        </is>
      </c>
      <c r="E120" s="9">
        <f>K119</f>
        <v/>
      </c>
      <c r="F120" s="9" t="n">
        <v>1540</v>
      </c>
      <c r="G120" s="9" t="n">
        <v>4800</v>
      </c>
      <c r="H120" s="9" t="n">
        <v>0</v>
      </c>
      <c r="I120" s="9" t="n">
        <v>0</v>
      </c>
      <c r="J120" s="9" t="n">
        <v>0</v>
      </c>
      <c r="K120" s="9">
        <f>E120+F120+G120+H120+I120-J120</f>
        <v/>
      </c>
      <c r="L120" s="10">
        <f>Q119</f>
        <v/>
      </c>
      <c r="M120" s="10" t="n">
        <v>85</v>
      </c>
      <c r="N120" s="10" t="n">
        <v>11</v>
      </c>
      <c r="O120" s="10">
        <f>J120/160</f>
        <v/>
      </c>
      <c r="P120" s="10" t="n">
        <v>90</v>
      </c>
      <c r="Q120" s="10">
        <f>L120+M120+N120+O120-P120</f>
        <v/>
      </c>
      <c r="R120" s="11">
        <f>T119</f>
        <v/>
      </c>
      <c r="S120" s="11">
        <f>N(V120) + N(X120) + N(Z120)</f>
        <v/>
      </c>
      <c r="T120" s="11">
        <f>R120+P120-S120</f>
        <v/>
      </c>
      <c r="U120" s="11" t="inlineStr">
        <is>
          <t>是</t>
        </is>
      </c>
      <c r="V120" s="11" t="n">
        <v>48</v>
      </c>
      <c r="W120" s="11" t="inlineStr">
        <is>
          <t>是</t>
        </is>
      </c>
      <c r="X120" s="11" t="n">
        <v>49</v>
      </c>
      <c r="Y120" s="11" t="inlineStr">
        <is>
          <t>-</t>
        </is>
      </c>
      <c r="Z120" s="11" t="n">
        <v>0</v>
      </c>
      <c r="AA120" s="11" t="inlineStr">
        <is>
          <t>垫到90抽</t>
        </is>
      </c>
      <c r="AB120" s="12">
        <f>AE119</f>
        <v/>
      </c>
      <c r="AC120" s="12" t="n">
        <v>4</v>
      </c>
      <c r="AD120" s="12" t="n">
        <v>0</v>
      </c>
      <c r="AE120" s="12">
        <f>AB120+AC120+AD120</f>
        <v/>
      </c>
      <c r="AF120" s="13">
        <f>AI119</f>
        <v/>
      </c>
      <c r="AG120" s="13" t="n">
        <v>0</v>
      </c>
      <c r="AH120" s="13" t="n">
        <v>0</v>
      </c>
      <c r="AI120" s="13">
        <f>AF120+AG120+AH120</f>
        <v/>
      </c>
      <c r="AJ120" s="14" t="n">
        <v>30</v>
      </c>
      <c r="AK120" s="14" t="n">
        <v>50</v>
      </c>
      <c r="AL120" s="14" t="n">
        <v>0</v>
      </c>
      <c r="AM120" s="14">
        <f>AJ120+AK120+AL120</f>
        <v/>
      </c>
      <c r="AN120" s="14">
        <f>AN119+AM120</f>
        <v/>
      </c>
    </row>
    <row r="121">
      <c r="A121" s="8" t="n">
        <v>5</v>
      </c>
      <c r="B121" s="8" t="n">
        <v>8</v>
      </c>
      <c r="C121" s="8" t="n">
        <v>2</v>
      </c>
      <c r="D121" s="8" t="inlineStr">
        <is>
          <t>月卡收益</t>
        </is>
      </c>
      <c r="E121" s="9">
        <f>K120</f>
        <v/>
      </c>
      <c r="F121" s="9" t="n">
        <v>1540</v>
      </c>
      <c r="G121" s="9" t="n">
        <v>0</v>
      </c>
      <c r="H121" s="9" t="n">
        <v>0</v>
      </c>
      <c r="I121" s="9" t="n">
        <v>0</v>
      </c>
      <c r="J121" s="9" t="n">
        <v>7680</v>
      </c>
      <c r="K121" s="9">
        <f>E121+F121+G121+H121+I121-J121</f>
        <v/>
      </c>
      <c r="L121" s="10">
        <f>Q120</f>
        <v/>
      </c>
      <c r="M121" s="10" t="n">
        <v>0</v>
      </c>
      <c r="N121" s="10" t="n">
        <v>6</v>
      </c>
      <c r="O121" s="10">
        <f>J121/160</f>
        <v/>
      </c>
      <c r="P121" s="10" t="n">
        <v>60</v>
      </c>
      <c r="Q121" s="10">
        <f>L121+M121+N121+O121-P121</f>
        <v/>
      </c>
      <c r="R121" s="11">
        <f>T120</f>
        <v/>
      </c>
      <c r="S121" s="11">
        <f>N(V121) + N(X121) + N(Z121)</f>
        <v/>
      </c>
      <c r="T121" s="11">
        <f>R121+P121-S121</f>
        <v/>
      </c>
      <c r="U121" s="11" t="inlineStr">
        <is>
          <t>是</t>
        </is>
      </c>
      <c r="V121" s="11" t="n">
        <v>47</v>
      </c>
      <c r="W121" s="11" t="inlineStr">
        <is>
          <t>是</t>
        </is>
      </c>
      <c r="X121" s="11" t="n">
        <v>13</v>
      </c>
      <c r="Y121" s="11" t="inlineStr">
        <is>
          <t>-</t>
        </is>
      </c>
      <c r="Z121" s="11" t="n">
        <v>0</v>
      </c>
      <c r="AA121" s="11" t="inlineStr">
        <is>
          <t>垫到60抽</t>
        </is>
      </c>
      <c r="AB121" s="12">
        <f>AE120</f>
        <v/>
      </c>
      <c r="AC121" s="12" t="n">
        <v>0</v>
      </c>
      <c r="AD121" s="12" t="n">
        <v>0</v>
      </c>
      <c r="AE121" s="12">
        <f>AB121+AC121+AD121</f>
        <v/>
      </c>
      <c r="AF121" s="13">
        <f>AI120</f>
        <v/>
      </c>
      <c r="AG121" s="13" t="n">
        <v>0</v>
      </c>
      <c r="AH121" s="13" t="n">
        <v>0</v>
      </c>
      <c r="AI121" s="13">
        <f>AF121+AG121+AH121</f>
        <v/>
      </c>
      <c r="AJ121" s="14" t="n">
        <v>0</v>
      </c>
      <c r="AK121" s="14" t="n">
        <v>0</v>
      </c>
      <c r="AL121" s="14" t="n">
        <v>0</v>
      </c>
      <c r="AM121" s="14">
        <f>AJ121+AK121+AL121</f>
        <v/>
      </c>
      <c r="AN121" s="14">
        <f>AN120+AM121</f>
        <v/>
      </c>
    </row>
    <row r="122">
      <c r="A122" s="8" t="n">
        <v>5</v>
      </c>
      <c r="B122" s="8" t="n">
        <v>9</v>
      </c>
      <c r="C122" s="8" t="n">
        <v>1</v>
      </c>
      <c r="D122" s="8" t="inlineStr">
        <is>
          <t>版本免费+义相逢 + 月卡收益</t>
        </is>
      </c>
      <c r="E122" s="9">
        <f>K121</f>
        <v/>
      </c>
      <c r="F122" s="9" t="n">
        <v>1540</v>
      </c>
      <c r="G122" s="9" t="n">
        <v>4800</v>
      </c>
      <c r="H122" s="9" t="n">
        <v>0</v>
      </c>
      <c r="I122" s="9" t="n">
        <v>0</v>
      </c>
      <c r="J122" s="9" t="n">
        <v>0</v>
      </c>
      <c r="K122" s="9">
        <f>E122+F122+G122+H122+I122-J122</f>
        <v/>
      </c>
      <c r="L122" s="10">
        <f>Q121</f>
        <v/>
      </c>
      <c r="M122" s="10" t="n">
        <v>85</v>
      </c>
      <c r="N122" s="10" t="n">
        <v>3</v>
      </c>
      <c r="O122" s="10">
        <f>J122/160</f>
        <v/>
      </c>
      <c r="P122" s="10" t="n">
        <v>40</v>
      </c>
      <c r="Q122" s="10">
        <f>L122+M122+N122+O122-P122</f>
        <v/>
      </c>
      <c r="R122" s="11">
        <f>T121</f>
        <v/>
      </c>
      <c r="S122" s="11">
        <f>N(V122) + N(X122) + N(Z122)</f>
        <v/>
      </c>
      <c r="T122" s="11">
        <f>R122+P122-S122</f>
        <v/>
      </c>
      <c r="U122" s="11" t="inlineStr">
        <is>
          <t>是</t>
        </is>
      </c>
      <c r="V122" s="11" t="n">
        <v>47</v>
      </c>
      <c r="W122" s="11" t="inlineStr">
        <is>
          <t>否</t>
        </is>
      </c>
      <c r="X122" s="11" t="inlineStr">
        <is>
          <t>-</t>
        </is>
      </c>
      <c r="Y122" s="11" t="inlineStr">
        <is>
          <t>-</t>
        </is>
      </c>
      <c r="Z122" s="11" t="n">
        <v>0</v>
      </c>
      <c r="AA122" s="11" t="inlineStr">
        <is>
          <t>无</t>
        </is>
      </c>
      <c r="AB122" s="12">
        <f>AE121</f>
        <v/>
      </c>
      <c r="AC122" s="12" t="n">
        <v>4</v>
      </c>
      <c r="AD122" s="12" t="n">
        <v>0</v>
      </c>
      <c r="AE122" s="12">
        <f>AB122+AC122+AD122</f>
        <v/>
      </c>
      <c r="AF122" s="13">
        <f>AI121</f>
        <v/>
      </c>
      <c r="AG122" s="13" t="n">
        <v>0</v>
      </c>
      <c r="AH122" s="13" t="n">
        <v>0</v>
      </c>
      <c r="AI122" s="13">
        <f>AF122+AG122+AH122</f>
        <v/>
      </c>
      <c r="AJ122" s="14" t="n">
        <v>0</v>
      </c>
      <c r="AK122" s="14" t="n">
        <v>50</v>
      </c>
      <c r="AL122" s="14" t="n">
        <v>0</v>
      </c>
      <c r="AM122" s="14">
        <f>AJ122+AK122+AL122</f>
        <v/>
      </c>
      <c r="AN122" s="14">
        <f>AN121+AM122</f>
        <v/>
      </c>
    </row>
    <row r="123">
      <c r="A123" s="8" t="n">
        <v>5</v>
      </c>
      <c r="B123" s="8" t="n">
        <v>9</v>
      </c>
      <c r="C123" s="8" t="n">
        <v>2</v>
      </c>
      <c r="D123" s="8" t="inlineStr">
        <is>
          <t>月卡收益 [月卡续费-30元]</t>
        </is>
      </c>
      <c r="E123" s="9">
        <f>K122</f>
        <v/>
      </c>
      <c r="F123" s="9" t="n">
        <v>1540</v>
      </c>
      <c r="G123" s="9" t="n">
        <v>0</v>
      </c>
      <c r="H123" s="9" t="n">
        <v>0</v>
      </c>
      <c r="I123" s="9" t="n">
        <v>0</v>
      </c>
      <c r="J123" s="9" t="n">
        <v>6080</v>
      </c>
      <c r="K123" s="9">
        <f>E123+F123+G123+H123+I123-J123</f>
        <v/>
      </c>
      <c r="L123" s="10">
        <f>Q122</f>
        <v/>
      </c>
      <c r="M123" s="10" t="n">
        <v>0</v>
      </c>
      <c r="N123" s="10" t="n">
        <v>11</v>
      </c>
      <c r="O123" s="10">
        <f>J123/160</f>
        <v/>
      </c>
      <c r="P123" s="10" t="n">
        <v>100</v>
      </c>
      <c r="Q123" s="10">
        <f>L123+M123+N123+O123-P123</f>
        <v/>
      </c>
      <c r="R123" s="11">
        <f>T122</f>
        <v/>
      </c>
      <c r="S123" s="11">
        <f>N(V123) + N(X123) + N(Z123)</f>
        <v/>
      </c>
      <c r="T123" s="11">
        <f>R123+P123-S123</f>
        <v/>
      </c>
      <c r="U123" s="11" t="inlineStr">
        <is>
          <t>是</t>
        </is>
      </c>
      <c r="V123" s="11" t="n">
        <v>50</v>
      </c>
      <c r="W123" s="11" t="inlineStr">
        <is>
          <t>是</t>
        </is>
      </c>
      <c r="X123" s="11" t="n">
        <v>50</v>
      </c>
      <c r="Y123" s="11" t="inlineStr">
        <is>
          <t>-</t>
        </is>
      </c>
      <c r="Z123" s="11" t="n">
        <v>0</v>
      </c>
      <c r="AA123" s="11" t="inlineStr">
        <is>
          <t>无</t>
        </is>
      </c>
      <c r="AB123" s="12">
        <f>AE122</f>
        <v/>
      </c>
      <c r="AC123" s="12" t="n">
        <v>0</v>
      </c>
      <c r="AD123" s="12" t="n">
        <v>0</v>
      </c>
      <c r="AE123" s="12">
        <f>AB123+AC123+AD123</f>
        <v/>
      </c>
      <c r="AF123" s="13">
        <f>AI122</f>
        <v/>
      </c>
      <c r="AG123" s="13" t="n">
        <v>0</v>
      </c>
      <c r="AH123" s="13" t="n">
        <v>0</v>
      </c>
      <c r="AI123" s="13">
        <f>AF123+AG123+AH123</f>
        <v/>
      </c>
      <c r="AJ123" s="14" t="n">
        <v>30</v>
      </c>
      <c r="AK123" s="14" t="n">
        <v>0</v>
      </c>
      <c r="AL123" s="14" t="n">
        <v>0</v>
      </c>
      <c r="AM123" s="14">
        <f>AJ123+AK123+AL123</f>
        <v/>
      </c>
      <c r="AN123" s="14">
        <f>AN122+AM123</f>
        <v/>
      </c>
    </row>
    <row r="124">
      <c r="A124" s="8" t="n">
        <v>5</v>
      </c>
      <c r="B124" s="8" t="n">
        <v>10</v>
      </c>
      <c r="C124" s="8" t="n">
        <v>1</v>
      </c>
      <c r="D124" s="8" t="inlineStr">
        <is>
          <t>版本免费+义相逢 + 月卡收益</t>
        </is>
      </c>
      <c r="E124" s="9">
        <f>K123</f>
        <v/>
      </c>
      <c r="F124" s="9" t="n">
        <v>1540</v>
      </c>
      <c r="G124" s="9" t="n">
        <v>4800</v>
      </c>
      <c r="H124" s="9" t="n">
        <v>0</v>
      </c>
      <c r="I124" s="9" t="n">
        <v>0</v>
      </c>
      <c r="J124" s="9" t="n">
        <v>640</v>
      </c>
      <c r="K124" s="9">
        <f>E124+F124+G124+H124+I124-J124</f>
        <v/>
      </c>
      <c r="L124" s="10">
        <f>Q123</f>
        <v/>
      </c>
      <c r="M124" s="10" t="n">
        <v>85</v>
      </c>
      <c r="N124" s="10" t="n">
        <v>11</v>
      </c>
      <c r="O124" s="10">
        <f>J124/160</f>
        <v/>
      </c>
      <c r="P124" s="10" t="n">
        <v>100</v>
      </c>
      <c r="Q124" s="10">
        <f>L124+M124+N124+O124-P124</f>
        <v/>
      </c>
      <c r="R124" s="11">
        <f>T123</f>
        <v/>
      </c>
      <c r="S124" s="11">
        <f>N(V124) + N(X124) + N(Z124)</f>
        <v/>
      </c>
      <c r="T124" s="11">
        <f>R124+P124-S124</f>
        <v/>
      </c>
      <c r="U124" s="11" t="inlineStr">
        <is>
          <t>是</t>
        </is>
      </c>
      <c r="V124" s="11" t="n">
        <v>50</v>
      </c>
      <c r="W124" s="11" t="inlineStr">
        <is>
          <t>是</t>
        </is>
      </c>
      <c r="X124" s="11" t="n">
        <v>47</v>
      </c>
      <c r="Y124" s="11" t="inlineStr">
        <is>
          <t>-</t>
        </is>
      </c>
      <c r="Z124" s="11" t="n">
        <v>0</v>
      </c>
      <c r="AA124" s="11" t="inlineStr">
        <is>
          <t>无</t>
        </is>
      </c>
      <c r="AB124" s="12">
        <f>AE123</f>
        <v/>
      </c>
      <c r="AC124" s="12" t="n">
        <v>4</v>
      </c>
      <c r="AD124" s="12" t="n">
        <v>0</v>
      </c>
      <c r="AE124" s="12">
        <f>AB124+AC124+AD124</f>
        <v/>
      </c>
      <c r="AF124" s="13">
        <f>AI123</f>
        <v/>
      </c>
      <c r="AG124" s="13" t="n">
        <v>0</v>
      </c>
      <c r="AH124" s="13" t="n">
        <v>0</v>
      </c>
      <c r="AI124" s="13">
        <f>AF124+AG124+AH124</f>
        <v/>
      </c>
      <c r="AJ124" s="14" t="n">
        <v>0</v>
      </c>
      <c r="AK124" s="14" t="n">
        <v>50</v>
      </c>
      <c r="AL124" s="14" t="n">
        <v>0</v>
      </c>
      <c r="AM124" s="14">
        <f>AJ124+AK124+AL124</f>
        <v/>
      </c>
      <c r="AN124" s="14">
        <f>AN123+AM124</f>
        <v/>
      </c>
    </row>
    <row r="125">
      <c r="A125" s="8" t="n">
        <v>5</v>
      </c>
      <c r="B125" s="8" t="n">
        <v>10</v>
      </c>
      <c r="C125" s="8" t="n">
        <v>2</v>
      </c>
      <c r="D125" s="8" t="inlineStr">
        <is>
          <t>月卡收益 [月卡续费-30元]</t>
        </is>
      </c>
      <c r="E125" s="9">
        <f>K124</f>
        <v/>
      </c>
      <c r="F125" s="9" t="n">
        <v>1540</v>
      </c>
      <c r="G125" s="9" t="n">
        <v>0</v>
      </c>
      <c r="H125" s="9" t="n">
        <v>0</v>
      </c>
      <c r="I125" s="9" t="n">
        <v>0</v>
      </c>
      <c r="J125" s="9" t="n">
        <v>9120</v>
      </c>
      <c r="K125" s="9">
        <f>E125+F125+G125+H125+I125-J125</f>
        <v/>
      </c>
      <c r="L125" s="10">
        <f>Q124</f>
        <v/>
      </c>
      <c r="M125" s="10" t="n">
        <v>0</v>
      </c>
      <c r="N125" s="10" t="n">
        <v>6</v>
      </c>
      <c r="O125" s="10">
        <f>J125/160</f>
        <v/>
      </c>
      <c r="P125" s="10" t="n">
        <v>60</v>
      </c>
      <c r="Q125" s="10">
        <f>L125+M125+N125+O125-P125</f>
        <v/>
      </c>
      <c r="R125" s="11">
        <f>T124</f>
        <v/>
      </c>
      <c r="S125" s="11">
        <f>N(V125) + N(X125) + N(Z125)</f>
        <v/>
      </c>
      <c r="T125" s="11">
        <f>R125+P125-S125</f>
        <v/>
      </c>
      <c r="U125" s="11" t="inlineStr">
        <is>
          <t>是</t>
        </is>
      </c>
      <c r="V125" s="11" t="n">
        <v>49</v>
      </c>
      <c r="W125" s="11" t="inlineStr">
        <is>
          <t>否</t>
        </is>
      </c>
      <c r="X125" s="11" t="inlineStr">
        <is>
          <t>-</t>
        </is>
      </c>
      <c r="Y125" s="11" t="inlineStr">
        <is>
          <t>-</t>
        </is>
      </c>
      <c r="Z125" s="11" t="n">
        <v>0</v>
      </c>
      <c r="AA125" s="11" t="inlineStr">
        <is>
          <t>垫到60抽</t>
        </is>
      </c>
      <c r="AB125" s="12">
        <f>AE124</f>
        <v/>
      </c>
      <c r="AC125" s="12" t="n">
        <v>0</v>
      </c>
      <c r="AD125" s="12" t="n">
        <v>0</v>
      </c>
      <c r="AE125" s="12">
        <f>AB125+AC125+AD125</f>
        <v/>
      </c>
      <c r="AF125" s="13">
        <f>AI124</f>
        <v/>
      </c>
      <c r="AG125" s="13" t="n">
        <v>0</v>
      </c>
      <c r="AH125" s="13" t="n">
        <v>0</v>
      </c>
      <c r="AI125" s="13">
        <f>AF125+AG125+AH125</f>
        <v/>
      </c>
      <c r="AJ125" s="14" t="n">
        <v>30</v>
      </c>
      <c r="AK125" s="14" t="n">
        <v>0</v>
      </c>
      <c r="AL125" s="14" t="n">
        <v>0</v>
      </c>
      <c r="AM125" s="14">
        <f>AJ125+AK125+AL125</f>
        <v/>
      </c>
      <c r="AN125" s="14">
        <f>AN124+AM125</f>
        <v/>
      </c>
    </row>
    <row r="126">
      <c r="A126" s="8" t="n">
        <v>5</v>
      </c>
      <c r="B126" s="8" t="n">
        <v>11</v>
      </c>
      <c r="C126" s="8" t="n">
        <v>1</v>
      </c>
      <c r="D126" s="8" t="inlineStr">
        <is>
          <t>版本免费+义相逢 + 月卡收益</t>
        </is>
      </c>
      <c r="E126" s="9">
        <f>K125</f>
        <v/>
      </c>
      <c r="F126" s="9" t="n">
        <v>1540</v>
      </c>
      <c r="G126" s="9" t="n">
        <v>4800</v>
      </c>
      <c r="H126" s="9" t="n">
        <v>0</v>
      </c>
      <c r="I126" s="9" t="n">
        <v>0</v>
      </c>
      <c r="J126" s="9" t="n">
        <v>0</v>
      </c>
      <c r="K126" s="9">
        <f>E126+F126+G126+H126+I126-J126</f>
        <v/>
      </c>
      <c r="L126" s="10">
        <f>Q125</f>
        <v/>
      </c>
      <c r="M126" s="10" t="n">
        <v>85</v>
      </c>
      <c r="N126" s="10" t="n">
        <v>3</v>
      </c>
      <c r="O126" s="10">
        <f>J126/160</f>
        <v/>
      </c>
      <c r="P126" s="10" t="n">
        <v>30</v>
      </c>
      <c r="Q126" s="10">
        <f>L126+M126+N126+O126-P126</f>
        <v/>
      </c>
      <c r="R126" s="11">
        <f>T125</f>
        <v/>
      </c>
      <c r="S126" s="11">
        <f>N(V126) + N(X126) + N(Z126)</f>
        <v/>
      </c>
      <c r="T126" s="11">
        <f>R126+P126-S126</f>
        <v/>
      </c>
      <c r="U126" s="11" t="inlineStr">
        <is>
          <t>是</t>
        </is>
      </c>
      <c r="V126" s="11" t="n">
        <v>47</v>
      </c>
      <c r="W126" s="11" t="inlineStr">
        <is>
          <t>否</t>
        </is>
      </c>
      <c r="X126" s="11" t="inlineStr">
        <is>
          <t>-</t>
        </is>
      </c>
      <c r="Y126" s="11" t="inlineStr">
        <is>
          <t>-</t>
        </is>
      </c>
      <c r="Z126" s="11" t="n">
        <v>0</v>
      </c>
      <c r="AA126" s="11" t="inlineStr">
        <is>
          <t>无</t>
        </is>
      </c>
      <c r="AB126" s="12">
        <f>AE125</f>
        <v/>
      </c>
      <c r="AC126" s="12" t="n">
        <v>4</v>
      </c>
      <c r="AD126" s="12" t="n">
        <v>0</v>
      </c>
      <c r="AE126" s="12">
        <f>AB126+AC126+AD126</f>
        <v/>
      </c>
      <c r="AF126" s="13">
        <f>AI125</f>
        <v/>
      </c>
      <c r="AG126" s="13" t="n">
        <v>0</v>
      </c>
      <c r="AH126" s="13" t="n">
        <v>0</v>
      </c>
      <c r="AI126" s="13">
        <f>AF126+AG126+AH126</f>
        <v/>
      </c>
      <c r="AJ126" s="14" t="n">
        <v>0</v>
      </c>
      <c r="AK126" s="14" t="n">
        <v>50</v>
      </c>
      <c r="AL126" s="14" t="n">
        <v>0</v>
      </c>
      <c r="AM126" s="14">
        <f>AJ126+AK126+AL126</f>
        <v/>
      </c>
      <c r="AN126" s="14">
        <f>AN125+AM126</f>
        <v/>
      </c>
    </row>
    <row r="127">
      <c r="A127" s="8" t="n">
        <v>5</v>
      </c>
      <c r="B127" s="8" t="n">
        <v>11</v>
      </c>
      <c r="C127" s="8" t="n">
        <v>2</v>
      </c>
      <c r="D127" s="8" t="inlineStr">
        <is>
          <t>月卡收益 [月卡续费-30元]</t>
        </is>
      </c>
      <c r="E127" s="9">
        <f>K126</f>
        <v/>
      </c>
      <c r="F127" s="9" t="n">
        <v>1540</v>
      </c>
      <c r="G127" s="9" t="n">
        <v>0</v>
      </c>
      <c r="H127" s="9" t="n">
        <v>0</v>
      </c>
      <c r="I127" s="9" t="n">
        <v>0</v>
      </c>
      <c r="J127" s="9" t="n">
        <v>0</v>
      </c>
      <c r="K127" s="9">
        <f>E127+F127+G127+H127+I127-J127</f>
        <v/>
      </c>
      <c r="L127" s="10">
        <f>Q126</f>
        <v/>
      </c>
      <c r="M127" s="10" t="n">
        <v>0</v>
      </c>
      <c r="N127" s="10" t="n">
        <v>6</v>
      </c>
      <c r="O127" s="10">
        <f>J127/160</f>
        <v/>
      </c>
      <c r="P127" s="10" t="n">
        <v>60</v>
      </c>
      <c r="Q127" s="10">
        <f>L127+M127+N127+O127-P127</f>
        <v/>
      </c>
      <c r="R127" s="11">
        <f>T126</f>
        <v/>
      </c>
      <c r="S127" s="11">
        <f>N(V127) + N(X127) + N(Z127)</f>
        <v/>
      </c>
      <c r="T127" s="11">
        <f>R127+P127-S127</f>
        <v/>
      </c>
      <c r="U127" s="11" t="inlineStr">
        <is>
          <t>是</t>
        </is>
      </c>
      <c r="V127" s="11" t="n">
        <v>48</v>
      </c>
      <c r="W127" s="11" t="inlineStr">
        <is>
          <t>否</t>
        </is>
      </c>
      <c r="X127" s="11" t="inlineStr">
        <is>
          <t>-</t>
        </is>
      </c>
      <c r="Y127" s="11" t="inlineStr">
        <is>
          <t>-</t>
        </is>
      </c>
      <c r="Z127" s="11" t="n">
        <v>0</v>
      </c>
      <c r="AA127" s="11" t="inlineStr">
        <is>
          <t>垫到60抽</t>
        </is>
      </c>
      <c r="AB127" s="12">
        <f>AE126</f>
        <v/>
      </c>
      <c r="AC127" s="12" t="n">
        <v>0</v>
      </c>
      <c r="AD127" s="12" t="n">
        <v>0</v>
      </c>
      <c r="AE127" s="12">
        <f>AB127+AC127+AD127</f>
        <v/>
      </c>
      <c r="AF127" s="13">
        <f>AI126</f>
        <v/>
      </c>
      <c r="AG127" s="13" t="n">
        <v>0</v>
      </c>
      <c r="AH127" s="13" t="n">
        <v>0</v>
      </c>
      <c r="AI127" s="13">
        <f>AF127+AG127+AH127</f>
        <v/>
      </c>
      <c r="AJ127" s="14" t="n">
        <v>30</v>
      </c>
      <c r="AK127" s="14" t="n">
        <v>0</v>
      </c>
      <c r="AL127" s="14" t="n">
        <v>0</v>
      </c>
      <c r="AM127" s="14">
        <f>AJ127+AK127+AL127</f>
        <v/>
      </c>
      <c r="AN127" s="14">
        <f>AN126+AM127</f>
        <v/>
      </c>
    </row>
    <row r="128">
      <c r="A128" s="8" t="n">
        <v>5</v>
      </c>
      <c r="B128" s="8" t="n">
        <v>12</v>
      </c>
      <c r="C128" s="8" t="n">
        <v>1</v>
      </c>
      <c r="D128" s="8" t="inlineStr">
        <is>
          <t>版本免费+义相逢 + 月卡收益</t>
        </is>
      </c>
      <c r="E128" s="9">
        <f>K127</f>
        <v/>
      </c>
      <c r="F128" s="9" t="n">
        <v>1540</v>
      </c>
      <c r="G128" s="9" t="n">
        <v>4800</v>
      </c>
      <c r="H128" s="9" t="n">
        <v>0</v>
      </c>
      <c r="I128" s="9" t="n">
        <v>0</v>
      </c>
      <c r="J128" s="9" t="n">
        <v>0</v>
      </c>
      <c r="K128" s="9">
        <f>E128+F128+G128+H128+I128-J128</f>
        <v/>
      </c>
      <c r="L128" s="10">
        <f>Q127</f>
        <v/>
      </c>
      <c r="M128" s="10" t="n">
        <v>85</v>
      </c>
      <c r="N128" s="10" t="n">
        <v>3</v>
      </c>
      <c r="O128" s="10">
        <f>J128/160</f>
        <v/>
      </c>
      <c r="P128" s="10" t="n">
        <v>40</v>
      </c>
      <c r="Q128" s="10">
        <f>L128+M128+N128+O128-P128</f>
        <v/>
      </c>
      <c r="R128" s="11">
        <f>T127</f>
        <v/>
      </c>
      <c r="S128" s="11">
        <f>N(V128) + N(X128) + N(Z128)</f>
        <v/>
      </c>
      <c r="T128" s="11">
        <f>R128+P128-S128</f>
        <v/>
      </c>
      <c r="U128" s="11" t="inlineStr">
        <is>
          <t>是</t>
        </is>
      </c>
      <c r="V128" s="11" t="n">
        <v>46</v>
      </c>
      <c r="W128" s="11" t="inlineStr">
        <is>
          <t>否</t>
        </is>
      </c>
      <c r="X128" s="11" t="inlineStr">
        <is>
          <t>-</t>
        </is>
      </c>
      <c r="Y128" s="11" t="inlineStr">
        <is>
          <t>-</t>
        </is>
      </c>
      <c r="Z128" s="11" t="n">
        <v>0</v>
      </c>
      <c r="AA128" s="11" t="inlineStr">
        <is>
          <t>无</t>
        </is>
      </c>
      <c r="AB128" s="12">
        <f>AE127</f>
        <v/>
      </c>
      <c r="AC128" s="12" t="n">
        <v>4</v>
      </c>
      <c r="AD128" s="12" t="n">
        <v>0</v>
      </c>
      <c r="AE128" s="12">
        <f>AB128+AC128+AD128</f>
        <v/>
      </c>
      <c r="AF128" s="13">
        <f>AI127</f>
        <v/>
      </c>
      <c r="AG128" s="13" t="n">
        <v>0</v>
      </c>
      <c r="AH128" s="13" t="n">
        <v>0</v>
      </c>
      <c r="AI128" s="13">
        <f>AF128+AG128+AH128</f>
        <v/>
      </c>
      <c r="AJ128" s="14" t="n">
        <v>0</v>
      </c>
      <c r="AK128" s="14" t="n">
        <v>50</v>
      </c>
      <c r="AL128" s="14" t="n">
        <v>0</v>
      </c>
      <c r="AM128" s="14">
        <f>AJ128+AK128+AL128</f>
        <v/>
      </c>
      <c r="AN128" s="14">
        <f>AN127+AM128</f>
        <v/>
      </c>
    </row>
    <row r="129">
      <c r="A129" s="8" t="n">
        <v>5</v>
      </c>
      <c r="B129" s="8" t="n">
        <v>12</v>
      </c>
      <c r="C129" s="8" t="n">
        <v>2</v>
      </c>
      <c r="D129" s="8" t="inlineStr">
        <is>
          <t>月卡收益 [月卡续费-30元]</t>
        </is>
      </c>
      <c r="E129" s="9">
        <f>K128</f>
        <v/>
      </c>
      <c r="F129" s="9" t="n">
        <v>1540</v>
      </c>
      <c r="G129" s="9" t="n">
        <v>0</v>
      </c>
      <c r="H129" s="9" t="n">
        <v>0</v>
      </c>
      <c r="I129" s="9" t="n">
        <v>0</v>
      </c>
      <c r="J129" s="9" t="n">
        <v>320</v>
      </c>
      <c r="K129" s="9">
        <f>E129+F129+G129+H129+I129-J129</f>
        <v/>
      </c>
      <c r="L129" s="10">
        <f>Q128</f>
        <v/>
      </c>
      <c r="M129" s="10" t="n">
        <v>0</v>
      </c>
      <c r="N129" s="10" t="n">
        <v>6</v>
      </c>
      <c r="O129" s="10">
        <f>J129/160</f>
        <v/>
      </c>
      <c r="P129" s="10" t="n">
        <v>60</v>
      </c>
      <c r="Q129" s="10">
        <f>L129+M129+N129+O129-P129</f>
        <v/>
      </c>
      <c r="R129" s="11">
        <f>T128</f>
        <v/>
      </c>
      <c r="S129" s="11">
        <f>N(V129) + N(X129) + N(Z129)</f>
        <v/>
      </c>
      <c r="T129" s="11">
        <f>R129+P129-S129</f>
        <v/>
      </c>
      <c r="U129" s="11" t="inlineStr">
        <is>
          <t>是</t>
        </is>
      </c>
      <c r="V129" s="11" t="n">
        <v>49</v>
      </c>
      <c r="W129" s="11" t="inlineStr">
        <is>
          <t>否</t>
        </is>
      </c>
      <c r="X129" s="11" t="inlineStr">
        <is>
          <t>-</t>
        </is>
      </c>
      <c r="Y129" s="11" t="inlineStr">
        <is>
          <t>-</t>
        </is>
      </c>
      <c r="Z129" s="11" t="n">
        <v>0</v>
      </c>
      <c r="AA129" s="11" t="inlineStr">
        <is>
          <t>垫到60抽</t>
        </is>
      </c>
      <c r="AB129" s="12">
        <f>AE128</f>
        <v/>
      </c>
      <c r="AC129" s="12" t="n">
        <v>0</v>
      </c>
      <c r="AD129" s="12" t="n">
        <v>0</v>
      </c>
      <c r="AE129" s="12">
        <f>AB129+AC129+AD129</f>
        <v/>
      </c>
      <c r="AF129" s="13">
        <f>AI128</f>
        <v/>
      </c>
      <c r="AG129" s="13" t="n">
        <v>0</v>
      </c>
      <c r="AH129" s="13" t="n">
        <v>0</v>
      </c>
      <c r="AI129" s="13">
        <f>AF129+AG129+AH129</f>
        <v/>
      </c>
      <c r="AJ129" s="14" t="n">
        <v>30</v>
      </c>
      <c r="AK129" s="14" t="n">
        <v>0</v>
      </c>
      <c r="AL129" s="14" t="n">
        <v>0</v>
      </c>
      <c r="AM129" s="14">
        <f>AJ129+AK129+AL129</f>
        <v/>
      </c>
      <c r="AN129" s="14">
        <f>AN128+AM129</f>
        <v/>
      </c>
    </row>
    <row r="130">
      <c r="A130" s="8" t="n">
        <v>5</v>
      </c>
      <c r="B130" s="8" t="n">
        <v>13</v>
      </c>
      <c r="C130" s="8" t="n">
        <v>1</v>
      </c>
      <c r="D130" s="8" t="inlineStr">
        <is>
          <t>版本免费+义相逢 + 月卡收益</t>
        </is>
      </c>
      <c r="E130" s="9">
        <f>K129</f>
        <v/>
      </c>
      <c r="F130" s="9" t="n">
        <v>1540</v>
      </c>
      <c r="G130" s="9" t="n">
        <v>4800</v>
      </c>
      <c r="H130" s="9" t="n">
        <v>0</v>
      </c>
      <c r="I130" s="9" t="n">
        <v>0</v>
      </c>
      <c r="J130" s="9" t="n">
        <v>0</v>
      </c>
      <c r="K130" s="9">
        <f>E130+F130+G130+H130+I130-J130</f>
        <v/>
      </c>
      <c r="L130" s="10">
        <f>Q129</f>
        <v/>
      </c>
      <c r="M130" s="10" t="n">
        <v>85</v>
      </c>
      <c r="N130" s="10" t="n">
        <v>3</v>
      </c>
      <c r="O130" s="10">
        <f>J130/160</f>
        <v/>
      </c>
      <c r="P130" s="10" t="n">
        <v>30</v>
      </c>
      <c r="Q130" s="10">
        <f>L130+M130+N130+O130-P130</f>
        <v/>
      </c>
      <c r="R130" s="11">
        <f>T129</f>
        <v/>
      </c>
      <c r="S130" s="11">
        <f>N(V130) + N(X130) + N(Z130)</f>
        <v/>
      </c>
      <c r="T130" s="11">
        <f>R130+P130-S130</f>
        <v/>
      </c>
      <c r="U130" s="11" t="inlineStr">
        <is>
          <t>是</t>
        </is>
      </c>
      <c r="V130" s="11" t="n">
        <v>46</v>
      </c>
      <c r="W130" s="11" t="inlineStr">
        <is>
          <t>否</t>
        </is>
      </c>
      <c r="X130" s="11" t="inlineStr">
        <is>
          <t>-</t>
        </is>
      </c>
      <c r="Y130" s="11" t="inlineStr">
        <is>
          <t>-</t>
        </is>
      </c>
      <c r="Z130" s="11" t="n">
        <v>0</v>
      </c>
      <c r="AA130" s="11" t="inlineStr">
        <is>
          <t>无</t>
        </is>
      </c>
      <c r="AB130" s="12">
        <f>AE129</f>
        <v/>
      </c>
      <c r="AC130" s="12" t="n">
        <v>4</v>
      </c>
      <c r="AD130" s="12" t="n">
        <v>0</v>
      </c>
      <c r="AE130" s="12">
        <f>AB130+AC130+AD130</f>
        <v/>
      </c>
      <c r="AF130" s="13">
        <f>AI129</f>
        <v/>
      </c>
      <c r="AG130" s="13" t="n">
        <v>0</v>
      </c>
      <c r="AH130" s="13" t="n">
        <v>0</v>
      </c>
      <c r="AI130" s="13">
        <f>AF130+AG130+AH130</f>
        <v/>
      </c>
      <c r="AJ130" s="14" t="n">
        <v>0</v>
      </c>
      <c r="AK130" s="14" t="n">
        <v>50</v>
      </c>
      <c r="AL130" s="14" t="n">
        <v>0</v>
      </c>
      <c r="AM130" s="14">
        <f>AJ130+AK130+AL130</f>
        <v/>
      </c>
      <c r="AN130" s="14">
        <f>AN129+AM130</f>
        <v/>
      </c>
    </row>
    <row r="131">
      <c r="A131" s="8" t="n">
        <v>5</v>
      </c>
      <c r="B131" s="8" t="n">
        <v>13</v>
      </c>
      <c r="C131" s="8" t="n">
        <v>2</v>
      </c>
      <c r="D131" s="8" t="inlineStr">
        <is>
          <t>月卡收益 [月卡续费-30元]</t>
        </is>
      </c>
      <c r="E131" s="9">
        <f>K130</f>
        <v/>
      </c>
      <c r="F131" s="9" t="n">
        <v>1540</v>
      </c>
      <c r="G131" s="9" t="n">
        <v>0</v>
      </c>
      <c r="H131" s="9" t="n">
        <v>0</v>
      </c>
      <c r="I131" s="9" t="n">
        <v>0</v>
      </c>
      <c r="J131" s="9" t="n">
        <v>0</v>
      </c>
      <c r="K131" s="9">
        <f>E131+F131+G131+H131+I131-J131</f>
        <v/>
      </c>
      <c r="L131" s="10">
        <f>Q130</f>
        <v/>
      </c>
      <c r="M131" s="10" t="n">
        <v>0</v>
      </c>
      <c r="N131" s="10" t="n">
        <v>6</v>
      </c>
      <c r="O131" s="10">
        <f>J131/160</f>
        <v/>
      </c>
      <c r="P131" s="10" t="n">
        <v>60</v>
      </c>
      <c r="Q131" s="10">
        <f>L131+M131+N131+O131-P131</f>
        <v/>
      </c>
      <c r="R131" s="11">
        <f>T130</f>
        <v/>
      </c>
      <c r="S131" s="11">
        <f>N(V131) + N(X131) + N(Z131)</f>
        <v/>
      </c>
      <c r="T131" s="11">
        <f>R131+P131-S131</f>
        <v/>
      </c>
      <c r="U131" s="11" t="inlineStr">
        <is>
          <t>是</t>
        </is>
      </c>
      <c r="V131" s="11" t="n">
        <v>50</v>
      </c>
      <c r="W131" s="11" t="inlineStr">
        <is>
          <t>否</t>
        </is>
      </c>
      <c r="X131" s="11" t="inlineStr">
        <is>
          <t>-</t>
        </is>
      </c>
      <c r="Y131" s="11" t="inlineStr">
        <is>
          <t>-</t>
        </is>
      </c>
      <c r="Z131" s="11" t="n">
        <v>0</v>
      </c>
      <c r="AA131" s="11" t="inlineStr">
        <is>
          <t>垫到60抽</t>
        </is>
      </c>
      <c r="AB131" s="12">
        <f>AE130</f>
        <v/>
      </c>
      <c r="AC131" s="12" t="n">
        <v>0</v>
      </c>
      <c r="AD131" s="12" t="n">
        <v>0</v>
      </c>
      <c r="AE131" s="12">
        <f>AB131+AC131+AD131</f>
        <v/>
      </c>
      <c r="AF131" s="13">
        <f>AI130</f>
        <v/>
      </c>
      <c r="AG131" s="13" t="n">
        <v>0</v>
      </c>
      <c r="AH131" s="13" t="n">
        <v>0</v>
      </c>
      <c r="AI131" s="13">
        <f>AF131+AG131+AH131</f>
        <v/>
      </c>
      <c r="AJ131" s="14" t="n">
        <v>30</v>
      </c>
      <c r="AK131" s="14" t="n">
        <v>0</v>
      </c>
      <c r="AL131" s="14" t="n">
        <v>0</v>
      </c>
      <c r="AM131" s="14">
        <f>AJ131+AK131+AL131</f>
        <v/>
      </c>
      <c r="AN131" s="14">
        <f>AN130+AM131</f>
        <v/>
      </c>
    </row>
    <row r="132">
      <c r="A132" s="8" t="n">
        <v>6</v>
      </c>
      <c r="B132" s="8" t="n">
        <v>1</v>
      </c>
      <c r="C132" s="8" t="n">
        <v>1</v>
      </c>
      <c r="D132" s="8" t="inlineStr">
        <is>
          <t>版本免费+义相逢 + 月卡收益</t>
        </is>
      </c>
      <c r="E132" s="9" t="n">
        <v>37480</v>
      </c>
      <c r="F132" s="9" t="n">
        <v>1540</v>
      </c>
      <c r="G132" s="9" t="n">
        <v>4800</v>
      </c>
      <c r="H132" s="9" t="n">
        <v>0</v>
      </c>
      <c r="I132" s="9" t="n">
        <v>0</v>
      </c>
      <c r="J132" s="9" t="n">
        <v>0</v>
      </c>
      <c r="K132" s="9">
        <f>E132+F132+G132+H132+I132-J132</f>
        <v/>
      </c>
      <c r="L132" s="10" t="n">
        <v>7</v>
      </c>
      <c r="M132" s="10" t="n">
        <v>85</v>
      </c>
      <c r="N132" s="10" t="n">
        <v>3</v>
      </c>
      <c r="O132" s="10">
        <f>J132/160</f>
        <v/>
      </c>
      <c r="P132" s="10" t="n">
        <v>40</v>
      </c>
      <c r="Q132" s="10">
        <f>L132+M132+N132+O132-P132</f>
        <v/>
      </c>
      <c r="R132" s="11" t="n">
        <v>11</v>
      </c>
      <c r="S132" s="11">
        <f>N(V132) + N(X132) + N(Z132)</f>
        <v/>
      </c>
      <c r="T132" s="11">
        <f>R132+P132-S132</f>
        <v/>
      </c>
      <c r="U132" s="11" t="inlineStr">
        <is>
          <t>是</t>
        </is>
      </c>
      <c r="V132" s="11" t="n">
        <v>49</v>
      </c>
      <c r="W132" s="11" t="inlineStr">
        <is>
          <t>否</t>
        </is>
      </c>
      <c r="X132" s="11" t="inlineStr">
        <is>
          <t>-</t>
        </is>
      </c>
      <c r="Y132" s="11" t="inlineStr">
        <is>
          <t>-</t>
        </is>
      </c>
      <c r="Z132" s="11" t="n">
        <v>0</v>
      </c>
      <c r="AA132" s="11" t="inlineStr">
        <is>
          <t>无</t>
        </is>
      </c>
      <c r="AB132" s="12" t="n">
        <v>267</v>
      </c>
      <c r="AC132" s="12" t="n">
        <v>4</v>
      </c>
      <c r="AD132" s="12" t="n">
        <v>0</v>
      </c>
      <c r="AE132" s="12">
        <f>AB132+AC132+AD132</f>
        <v/>
      </c>
      <c r="AF132" s="13" t="n">
        <v>35000</v>
      </c>
      <c r="AG132" s="13" t="n">
        <v>0</v>
      </c>
      <c r="AH132" s="13" t="n">
        <v>0</v>
      </c>
      <c r="AI132" s="13">
        <f>AF132+AG132+AH132</f>
        <v/>
      </c>
      <c r="AJ132" s="14" t="n">
        <v>0</v>
      </c>
      <c r="AK132" s="14" t="n">
        <v>50</v>
      </c>
      <c r="AL132" s="14" t="n">
        <v>0</v>
      </c>
      <c r="AM132" s="14">
        <f>AJ132+AK132+AL132</f>
        <v/>
      </c>
      <c r="AN132" s="14">
        <f>AM132</f>
        <v/>
      </c>
    </row>
    <row r="133">
      <c r="A133" s="8" t="n">
        <v>6</v>
      </c>
      <c r="B133" s="8" t="n">
        <v>1</v>
      </c>
      <c r="C133" s="8" t="n">
        <v>2</v>
      </c>
      <c r="D133" s="8" t="inlineStr">
        <is>
          <t>月卡收益 [月卡续费-30元]</t>
        </is>
      </c>
      <c r="E133" s="9">
        <f>K132</f>
        <v/>
      </c>
      <c r="F133" s="9" t="n">
        <v>1540</v>
      </c>
      <c r="G133" s="9" t="n">
        <v>0</v>
      </c>
      <c r="H133" s="9" t="n">
        <v>0</v>
      </c>
      <c r="I133" s="9" t="n">
        <v>0</v>
      </c>
      <c r="J133" s="9" t="n">
        <v>320</v>
      </c>
      <c r="K133" s="9">
        <f>E133+F133+G133+H133+I133-J133</f>
        <v/>
      </c>
      <c r="L133" s="10">
        <f>Q132</f>
        <v/>
      </c>
      <c r="M133" s="10" t="n">
        <v>0</v>
      </c>
      <c r="N133" s="10" t="n">
        <v>6</v>
      </c>
      <c r="O133" s="10">
        <f>J133/160</f>
        <v/>
      </c>
      <c r="P133" s="10" t="n">
        <v>60</v>
      </c>
      <c r="Q133" s="10">
        <f>L133+M133+N133+O133-P133</f>
        <v/>
      </c>
      <c r="R133" s="11">
        <f>T132</f>
        <v/>
      </c>
      <c r="S133" s="11">
        <f>N(V133) + N(X133) + N(Z133)</f>
        <v/>
      </c>
      <c r="T133" s="11">
        <f>R133+P133-S133</f>
        <v/>
      </c>
      <c r="U133" s="11" t="inlineStr">
        <is>
          <t>是</t>
        </is>
      </c>
      <c r="V133" s="11" t="n">
        <v>50</v>
      </c>
      <c r="W133" s="11" t="inlineStr">
        <is>
          <t>否</t>
        </is>
      </c>
      <c r="X133" s="11" t="inlineStr">
        <is>
          <t>-</t>
        </is>
      </c>
      <c r="Y133" s="11" t="inlineStr">
        <is>
          <t>-</t>
        </is>
      </c>
      <c r="Z133" s="11" t="n">
        <v>0</v>
      </c>
      <c r="AA133" s="11" t="inlineStr">
        <is>
          <t>垫到60抽</t>
        </is>
      </c>
      <c r="AB133" s="12">
        <f>AE132</f>
        <v/>
      </c>
      <c r="AC133" s="12" t="n">
        <v>0</v>
      </c>
      <c r="AD133" s="12" t="n">
        <v>0</v>
      </c>
      <c r="AE133" s="12">
        <f>AB133+AC133+AD133</f>
        <v/>
      </c>
      <c r="AF133" s="13">
        <f>AI132</f>
        <v/>
      </c>
      <c r="AG133" s="13" t="n">
        <v>0</v>
      </c>
      <c r="AH133" s="13" t="n">
        <v>0</v>
      </c>
      <c r="AI133" s="13">
        <f>AF133+AG133+AH133</f>
        <v/>
      </c>
      <c r="AJ133" s="14" t="n">
        <v>30</v>
      </c>
      <c r="AK133" s="14" t="n">
        <v>0</v>
      </c>
      <c r="AL133" s="14" t="n">
        <v>0</v>
      </c>
      <c r="AM133" s="14">
        <f>AJ133+AK133+AL133</f>
        <v/>
      </c>
      <c r="AN133" s="14">
        <f>AN132+AM133</f>
        <v/>
      </c>
    </row>
    <row r="134">
      <c r="A134" s="8" t="n">
        <v>6</v>
      </c>
      <c r="B134" s="8" t="n">
        <v>2</v>
      </c>
      <c r="C134" s="8" t="n">
        <v>1</v>
      </c>
      <c r="D134" s="8" t="inlineStr">
        <is>
          <t>版本免费+义相逢 + 月卡收益</t>
        </is>
      </c>
      <c r="E134" s="9">
        <f>K133</f>
        <v/>
      </c>
      <c r="F134" s="9" t="n">
        <v>1540</v>
      </c>
      <c r="G134" s="9" t="n">
        <v>4800</v>
      </c>
      <c r="H134" s="9" t="n">
        <v>0</v>
      </c>
      <c r="I134" s="9" t="n">
        <v>0</v>
      </c>
      <c r="J134" s="9" t="n">
        <v>14560</v>
      </c>
      <c r="K134" s="9">
        <f>E134+F134+G134+H134+I134-J134</f>
        <v/>
      </c>
      <c r="L134" s="10">
        <f>Q133</f>
        <v/>
      </c>
      <c r="M134" s="10" t="n">
        <v>85</v>
      </c>
      <c r="N134" s="10" t="n">
        <v>21</v>
      </c>
      <c r="O134" s="10">
        <f>J134/160</f>
        <v/>
      </c>
      <c r="P134" s="10" t="n">
        <v>200</v>
      </c>
      <c r="Q134" s="10">
        <f>L134+M134+N134+O134-P134</f>
        <v/>
      </c>
      <c r="R134" s="11">
        <f>T133</f>
        <v/>
      </c>
      <c r="S134" s="11">
        <f>N(V134) + N(X134) + N(Z134)</f>
        <v/>
      </c>
      <c r="T134" s="11">
        <f>R134+P134-S134</f>
        <v/>
      </c>
      <c r="U134" s="11" t="inlineStr">
        <is>
          <t>是</t>
        </is>
      </c>
      <c r="V134" s="11" t="n">
        <v>48</v>
      </c>
      <c r="W134" s="11" t="inlineStr">
        <is>
          <t>是</t>
        </is>
      </c>
      <c r="X134" s="11" t="n">
        <v>50</v>
      </c>
      <c r="Y134" s="11" t="inlineStr">
        <is>
          <t>歪(52), UP(24)</t>
        </is>
      </c>
      <c r="Z134" s="11" t="n">
        <v>76</v>
      </c>
      <c r="AA134" s="11" t="inlineStr">
        <is>
          <t>冲刺200(动态80)</t>
        </is>
      </c>
      <c r="AB134" s="12">
        <f>AE133</f>
        <v/>
      </c>
      <c r="AC134" s="12" t="n">
        <v>4</v>
      </c>
      <c r="AD134" s="12" t="n">
        <v>1</v>
      </c>
      <c r="AE134" s="12">
        <f>AB134+AC134+AD134</f>
        <v/>
      </c>
      <c r="AF134" s="13">
        <f>AI133</f>
        <v/>
      </c>
      <c r="AG134" s="13" t="n">
        <v>0</v>
      </c>
      <c r="AH134" s="13" t="n">
        <v>5000</v>
      </c>
      <c r="AI134" s="13">
        <f>AF134+AG134+AH134</f>
        <v/>
      </c>
      <c r="AJ134" s="14" t="n">
        <v>0</v>
      </c>
      <c r="AK134" s="14" t="n">
        <v>50</v>
      </c>
      <c r="AL134" s="14" t="n">
        <v>0</v>
      </c>
      <c r="AM134" s="14">
        <f>AJ134+AK134+AL134</f>
        <v/>
      </c>
      <c r="AN134" s="14">
        <f>AN133+AM134</f>
        <v/>
      </c>
    </row>
    <row r="135">
      <c r="A135" s="8" t="n">
        <v>6</v>
      </c>
      <c r="B135" s="8" t="n">
        <v>2</v>
      </c>
      <c r="C135" s="8" t="n">
        <v>2</v>
      </c>
      <c r="D135" s="8" t="inlineStr">
        <is>
          <t>月卡收益 [月卡续费-30元]</t>
        </is>
      </c>
      <c r="E135" s="9">
        <f>K134</f>
        <v/>
      </c>
      <c r="F135" s="9" t="n">
        <v>1540</v>
      </c>
      <c r="G135" s="9" t="n">
        <v>0</v>
      </c>
      <c r="H135" s="9" t="n">
        <v>0</v>
      </c>
      <c r="I135" s="9" t="n">
        <v>0</v>
      </c>
      <c r="J135" s="9" t="n">
        <v>1600</v>
      </c>
      <c r="K135" s="9">
        <f>E135+F135+G135+H135+I135-J135</f>
        <v/>
      </c>
      <c r="L135" s="10">
        <f>Q134</f>
        <v/>
      </c>
      <c r="M135" s="10" t="n">
        <v>0</v>
      </c>
      <c r="N135" s="10" t="n">
        <v>1</v>
      </c>
      <c r="O135" s="10">
        <f>J135/160</f>
        <v/>
      </c>
      <c r="P135" s="10" t="n">
        <v>10</v>
      </c>
      <c r="Q135" s="10">
        <f>L135+M135+N135+O135-P135</f>
        <v/>
      </c>
      <c r="R135" s="11">
        <f>T134</f>
        <v/>
      </c>
      <c r="S135" s="11">
        <f>N(V135) + N(X135) + N(Z135)</f>
        <v/>
      </c>
      <c r="T135" s="11">
        <f>R135+P135-S135</f>
        <v/>
      </c>
      <c r="U135" s="11" t="inlineStr">
        <is>
          <t>是</t>
        </is>
      </c>
      <c r="V135" s="11" t="n">
        <v>48</v>
      </c>
      <c r="W135" s="11" t="inlineStr">
        <is>
          <t>否</t>
        </is>
      </c>
      <c r="X135" s="11" t="inlineStr">
        <is>
          <t>-</t>
        </is>
      </c>
      <c r="Y135" s="11" t="inlineStr">
        <is>
          <t>-</t>
        </is>
      </c>
      <c r="Z135" s="11" t="n">
        <v>0</v>
      </c>
      <c r="AA135" s="11" t="inlineStr">
        <is>
          <t>无</t>
        </is>
      </c>
      <c r="AB135" s="12">
        <f>AE134</f>
        <v/>
      </c>
      <c r="AC135" s="12" t="n">
        <v>0</v>
      </c>
      <c r="AD135" s="12" t="n">
        <v>0</v>
      </c>
      <c r="AE135" s="12">
        <f>AB135+AC135+AD135</f>
        <v/>
      </c>
      <c r="AF135" s="13">
        <f>AI134</f>
        <v/>
      </c>
      <c r="AG135" s="13" t="n">
        <v>0</v>
      </c>
      <c r="AH135" s="13" t="n">
        <v>0</v>
      </c>
      <c r="AI135" s="13">
        <f>AF135+AG135+AH135</f>
        <v/>
      </c>
      <c r="AJ135" s="14" t="n">
        <v>30</v>
      </c>
      <c r="AK135" s="14" t="n">
        <v>0</v>
      </c>
      <c r="AL135" s="14" t="n">
        <v>0</v>
      </c>
      <c r="AM135" s="14">
        <f>AJ135+AK135+AL135</f>
        <v/>
      </c>
      <c r="AN135" s="14">
        <f>AN134+AM135</f>
        <v/>
      </c>
    </row>
    <row r="136">
      <c r="A136" s="8" t="n">
        <v>6</v>
      </c>
      <c r="B136" s="8" t="n">
        <v>3</v>
      </c>
      <c r="C136" s="8" t="n">
        <v>1</v>
      </c>
      <c r="D136" s="8" t="inlineStr">
        <is>
          <t>版本免费+义相逢 + 月卡收益</t>
        </is>
      </c>
      <c r="E136" s="9">
        <f>K135</f>
        <v/>
      </c>
      <c r="F136" s="9" t="n">
        <v>1540</v>
      </c>
      <c r="G136" s="9" t="n">
        <v>4800</v>
      </c>
      <c r="H136" s="9" t="n">
        <v>0</v>
      </c>
      <c r="I136" s="9" t="n">
        <v>0</v>
      </c>
      <c r="J136" s="9" t="n">
        <v>0</v>
      </c>
      <c r="K136" s="9">
        <f>E136+F136+G136+H136+I136-J136</f>
        <v/>
      </c>
      <c r="L136" s="10">
        <f>Q135</f>
        <v/>
      </c>
      <c r="M136" s="10" t="n">
        <v>85</v>
      </c>
      <c r="N136" s="10" t="n">
        <v>6</v>
      </c>
      <c r="O136" s="10">
        <f>J136/160</f>
        <v/>
      </c>
      <c r="P136" s="10" t="n">
        <v>60</v>
      </c>
      <c r="Q136" s="10">
        <f>L136+M136+N136+O136-P136</f>
        <v/>
      </c>
      <c r="R136" s="11">
        <f>T135</f>
        <v/>
      </c>
      <c r="S136" s="11">
        <f>N(V136) + N(X136) + N(Z136)</f>
        <v/>
      </c>
      <c r="T136" s="11">
        <f>R136+P136-S136</f>
        <v/>
      </c>
      <c r="U136" s="11" t="inlineStr">
        <is>
          <t>是</t>
        </is>
      </c>
      <c r="V136" s="11" t="n">
        <v>48</v>
      </c>
      <c r="W136" s="11" t="inlineStr">
        <is>
          <t>是</t>
        </is>
      </c>
      <c r="X136" s="11" t="n">
        <v>4</v>
      </c>
      <c r="Y136" s="11" t="inlineStr">
        <is>
          <t>-</t>
        </is>
      </c>
      <c r="Z136" s="11" t="n">
        <v>0</v>
      </c>
      <c r="AA136" s="11" t="inlineStr">
        <is>
          <t>无</t>
        </is>
      </c>
      <c r="AB136" s="12">
        <f>AE135</f>
        <v/>
      </c>
      <c r="AC136" s="12" t="n">
        <v>4</v>
      </c>
      <c r="AD136" s="12" t="n">
        <v>0</v>
      </c>
      <c r="AE136" s="12">
        <f>AB136+AC136+AD136</f>
        <v/>
      </c>
      <c r="AF136" s="13">
        <f>AI135</f>
        <v/>
      </c>
      <c r="AG136" s="13" t="n">
        <v>0</v>
      </c>
      <c r="AH136" s="13" t="n">
        <v>0</v>
      </c>
      <c r="AI136" s="13">
        <f>AF136+AG136+AH136</f>
        <v/>
      </c>
      <c r="AJ136" s="14" t="n">
        <v>0</v>
      </c>
      <c r="AK136" s="14" t="n">
        <v>50</v>
      </c>
      <c r="AL136" s="14" t="n">
        <v>0</v>
      </c>
      <c r="AM136" s="14">
        <f>AJ136+AK136+AL136</f>
        <v/>
      </c>
      <c r="AN136" s="14">
        <f>AN135+AM136</f>
        <v/>
      </c>
    </row>
    <row r="137">
      <c r="A137" s="8" t="n">
        <v>6</v>
      </c>
      <c r="B137" s="8" t="n">
        <v>3</v>
      </c>
      <c r="C137" s="8" t="n">
        <v>2</v>
      </c>
      <c r="D137" s="8" t="inlineStr">
        <is>
          <t>月卡收益</t>
        </is>
      </c>
      <c r="E137" s="9">
        <f>K136</f>
        <v/>
      </c>
      <c r="F137" s="9" t="n">
        <v>1540</v>
      </c>
      <c r="G137" s="9" t="n">
        <v>0</v>
      </c>
      <c r="H137" s="9" t="n">
        <v>0</v>
      </c>
      <c r="I137" s="9" t="n">
        <v>0</v>
      </c>
      <c r="J137" s="9" t="n">
        <v>8320</v>
      </c>
      <c r="K137" s="9">
        <f>E137+F137+G137+H137+I137-J137</f>
        <v/>
      </c>
      <c r="L137" s="10">
        <f>Q136</f>
        <v/>
      </c>
      <c r="M137" s="10" t="n">
        <v>0</v>
      </c>
      <c r="N137" s="10" t="n">
        <v>11</v>
      </c>
      <c r="O137" s="10">
        <f>J137/160</f>
        <v/>
      </c>
      <c r="P137" s="10" t="n">
        <v>90</v>
      </c>
      <c r="Q137" s="10">
        <f>L137+M137+N137+O137-P137</f>
        <v/>
      </c>
      <c r="R137" s="11">
        <f>T136</f>
        <v/>
      </c>
      <c r="S137" s="11">
        <f>N(V137) + N(X137) + N(Z137)</f>
        <v/>
      </c>
      <c r="T137" s="11">
        <f>R137+P137-S137</f>
        <v/>
      </c>
      <c r="U137" s="11" t="inlineStr">
        <is>
          <t>是</t>
        </is>
      </c>
      <c r="V137" s="11" t="n">
        <v>49</v>
      </c>
      <c r="W137" s="11" t="inlineStr">
        <is>
          <t>是</t>
        </is>
      </c>
      <c r="X137" s="11" t="n">
        <v>49</v>
      </c>
      <c r="Y137" s="11" t="inlineStr">
        <is>
          <t>-</t>
        </is>
      </c>
      <c r="Z137" s="11" t="n">
        <v>0</v>
      </c>
      <c r="AA137" s="11" t="inlineStr">
        <is>
          <t>无</t>
        </is>
      </c>
      <c r="AB137" s="12">
        <f>AE136</f>
        <v/>
      </c>
      <c r="AC137" s="12" t="n">
        <v>0</v>
      </c>
      <c r="AD137" s="12" t="n">
        <v>0</v>
      </c>
      <c r="AE137" s="12">
        <f>AB137+AC137+AD137</f>
        <v/>
      </c>
      <c r="AF137" s="13">
        <f>AI136</f>
        <v/>
      </c>
      <c r="AG137" s="13" t="n">
        <v>0</v>
      </c>
      <c r="AH137" s="13" t="n">
        <v>0</v>
      </c>
      <c r="AI137" s="13">
        <f>AF137+AG137+AH137</f>
        <v/>
      </c>
      <c r="AJ137" s="14" t="n">
        <v>0</v>
      </c>
      <c r="AK137" s="14" t="n">
        <v>0</v>
      </c>
      <c r="AL137" s="14" t="n">
        <v>0</v>
      </c>
      <c r="AM137" s="14">
        <f>AJ137+AK137+AL137</f>
        <v/>
      </c>
      <c r="AN137" s="14">
        <f>AN136+AM137</f>
        <v/>
      </c>
    </row>
    <row r="138">
      <c r="A138" s="8" t="n">
        <v>6</v>
      </c>
      <c r="B138" s="8" t="n">
        <v>4</v>
      </c>
      <c r="C138" s="8" t="n">
        <v>1</v>
      </c>
      <c r="D138" s="8" t="inlineStr">
        <is>
          <t>版本免费+义相逢 + 月卡收益 [月卡续费-30元]</t>
        </is>
      </c>
      <c r="E138" s="9">
        <f>K137</f>
        <v/>
      </c>
      <c r="F138" s="9" t="n">
        <v>1540</v>
      </c>
      <c r="G138" s="9" t="n">
        <v>4800</v>
      </c>
      <c r="H138" s="9" t="n">
        <v>0</v>
      </c>
      <c r="I138" s="9" t="n">
        <v>0</v>
      </c>
      <c r="J138" s="9" t="n">
        <v>14240</v>
      </c>
      <c r="K138" s="9">
        <f>E138+F138+G138+H138+I138-J138</f>
        <v/>
      </c>
      <c r="L138" s="10">
        <f>Q137</f>
        <v/>
      </c>
      <c r="M138" s="10" t="n">
        <v>85</v>
      </c>
      <c r="N138" s="10" t="n">
        <v>21</v>
      </c>
      <c r="O138" s="10">
        <f>J138/160</f>
        <v/>
      </c>
      <c r="P138" s="10" t="n">
        <v>200</v>
      </c>
      <c r="Q138" s="10">
        <f>L138+M138+N138+O138-P138</f>
        <v/>
      </c>
      <c r="R138" s="11">
        <f>T137</f>
        <v/>
      </c>
      <c r="S138" s="11">
        <f>N(V138) + N(X138) + N(Z138)</f>
        <v/>
      </c>
      <c r="T138" s="11">
        <f>R138+P138-S138</f>
        <v/>
      </c>
      <c r="U138" s="11" t="inlineStr">
        <is>
          <t>是</t>
        </is>
      </c>
      <c r="V138" s="11" t="n">
        <v>48</v>
      </c>
      <c r="W138" s="11" t="inlineStr">
        <is>
          <t>是</t>
        </is>
      </c>
      <c r="X138" s="11" t="n">
        <v>50</v>
      </c>
      <c r="Y138" s="11" t="inlineStr">
        <is>
          <t>歪(48), UP(47)</t>
        </is>
      </c>
      <c r="Z138" s="11" t="n">
        <v>95</v>
      </c>
      <c r="AA138" s="11" t="inlineStr">
        <is>
          <t>冲刺200(动态90)</t>
        </is>
      </c>
      <c r="AB138" s="12">
        <f>AE137</f>
        <v/>
      </c>
      <c r="AC138" s="12" t="n">
        <v>4</v>
      </c>
      <c r="AD138" s="12" t="n">
        <v>1</v>
      </c>
      <c r="AE138" s="12">
        <f>AB138+AC138+AD138</f>
        <v/>
      </c>
      <c r="AF138" s="13">
        <f>AI137</f>
        <v/>
      </c>
      <c r="AG138" s="13" t="n">
        <v>0</v>
      </c>
      <c r="AH138" s="13" t="n">
        <v>5000</v>
      </c>
      <c r="AI138" s="13">
        <f>AF138+AG138+AH138</f>
        <v/>
      </c>
      <c r="AJ138" s="14" t="n">
        <v>30</v>
      </c>
      <c r="AK138" s="14" t="n">
        <v>50</v>
      </c>
      <c r="AL138" s="14" t="n">
        <v>0</v>
      </c>
      <c r="AM138" s="14">
        <f>AJ138+AK138+AL138</f>
        <v/>
      </c>
      <c r="AN138" s="14">
        <f>AN137+AM138</f>
        <v/>
      </c>
    </row>
    <row r="139">
      <c r="A139" s="8" t="n">
        <v>6</v>
      </c>
      <c r="B139" s="8" t="n">
        <v>4</v>
      </c>
      <c r="C139" s="8" t="n">
        <v>2</v>
      </c>
      <c r="D139" s="8" t="inlineStr">
        <is>
          <t>月卡收益</t>
        </is>
      </c>
      <c r="E139" s="9">
        <f>K138</f>
        <v/>
      </c>
      <c r="F139" s="9" t="n">
        <v>1540</v>
      </c>
      <c r="G139" s="9" t="n">
        <v>0</v>
      </c>
      <c r="H139" s="9" t="n">
        <v>0</v>
      </c>
      <c r="I139" s="9" t="n">
        <v>0</v>
      </c>
      <c r="J139" s="9" t="n">
        <v>14240</v>
      </c>
      <c r="K139" s="9">
        <f>E139+F139+G139+H139+I139-J139</f>
        <v/>
      </c>
      <c r="L139" s="10">
        <f>Q138</f>
        <v/>
      </c>
      <c r="M139" s="10" t="n">
        <v>0</v>
      </c>
      <c r="N139" s="10" t="n">
        <v>11</v>
      </c>
      <c r="O139" s="10">
        <f>J139/160</f>
        <v/>
      </c>
      <c r="P139" s="10" t="n">
        <v>100</v>
      </c>
      <c r="Q139" s="10">
        <f>L139+M139+N139+O139-P139</f>
        <v/>
      </c>
      <c r="R139" s="11">
        <f>T138</f>
        <v/>
      </c>
      <c r="S139" s="11">
        <f>N(V139) + N(X139) + N(Z139)</f>
        <v/>
      </c>
      <c r="T139" s="11">
        <f>R139+P139-S139</f>
        <v/>
      </c>
      <c r="U139" s="11" t="inlineStr">
        <is>
          <t>是</t>
        </is>
      </c>
      <c r="V139" s="11" t="n">
        <v>50</v>
      </c>
      <c r="W139" s="11" t="inlineStr">
        <is>
          <t>是</t>
        </is>
      </c>
      <c r="X139" s="11" t="n">
        <v>51</v>
      </c>
      <c r="Y139" s="11" t="inlineStr">
        <is>
          <t>-</t>
        </is>
      </c>
      <c r="Z139" s="11" t="n">
        <v>0</v>
      </c>
      <c r="AA139" s="11" t="inlineStr">
        <is>
          <t>无</t>
        </is>
      </c>
      <c r="AB139" s="12">
        <f>AE138</f>
        <v/>
      </c>
      <c r="AC139" s="12" t="n">
        <v>0</v>
      </c>
      <c r="AD139" s="12" t="n">
        <v>0</v>
      </c>
      <c r="AE139" s="12">
        <f>AB139+AC139+AD139</f>
        <v/>
      </c>
      <c r="AF139" s="13">
        <f>AI138</f>
        <v/>
      </c>
      <c r="AG139" s="13" t="n">
        <v>0</v>
      </c>
      <c r="AH139" s="13" t="n">
        <v>0</v>
      </c>
      <c r="AI139" s="13">
        <f>AF139+AG139+AH139</f>
        <v/>
      </c>
      <c r="AJ139" s="14" t="n">
        <v>0</v>
      </c>
      <c r="AK139" s="14" t="n">
        <v>0</v>
      </c>
      <c r="AL139" s="14" t="n">
        <v>0</v>
      </c>
      <c r="AM139" s="14">
        <f>AJ139+AK139+AL139</f>
        <v/>
      </c>
      <c r="AN139" s="14">
        <f>AN138+AM139</f>
        <v/>
      </c>
    </row>
    <row r="140">
      <c r="A140" s="8" t="n">
        <v>6</v>
      </c>
      <c r="B140" s="8" t="n">
        <v>5</v>
      </c>
      <c r="C140" s="8" t="n">
        <v>1</v>
      </c>
      <c r="D140" s="8" t="inlineStr">
        <is>
          <t>版本免费+义相逢 + 月卡收益 [月卡续费-30元]</t>
        </is>
      </c>
      <c r="E140" s="9">
        <f>K139</f>
        <v/>
      </c>
      <c r="F140" s="9" t="n">
        <v>1540</v>
      </c>
      <c r="G140" s="9" t="n">
        <v>4800</v>
      </c>
      <c r="H140" s="9" t="n">
        <v>0</v>
      </c>
      <c r="I140" s="9" t="n">
        <v>0</v>
      </c>
      <c r="J140" s="9" t="n">
        <v>640</v>
      </c>
      <c r="K140" s="9">
        <f>E140+F140+G140+H140+I140-J140</f>
        <v/>
      </c>
      <c r="L140" s="10">
        <f>Q139</f>
        <v/>
      </c>
      <c r="M140" s="10" t="n">
        <v>85</v>
      </c>
      <c r="N140" s="10" t="n">
        <v>11</v>
      </c>
      <c r="O140" s="10">
        <f>J140/160</f>
        <v/>
      </c>
      <c r="P140" s="10" t="n">
        <v>100</v>
      </c>
      <c r="Q140" s="10">
        <f>L140+M140+N140+O140-P140</f>
        <v/>
      </c>
      <c r="R140" s="11">
        <f>T139</f>
        <v/>
      </c>
      <c r="S140" s="11">
        <f>N(V140) + N(X140) + N(Z140)</f>
        <v/>
      </c>
      <c r="T140" s="11">
        <f>R140+P140-S140</f>
        <v/>
      </c>
      <c r="U140" s="11" t="inlineStr">
        <is>
          <t>是</t>
        </is>
      </c>
      <c r="V140" s="11" t="n">
        <v>46</v>
      </c>
      <c r="W140" s="11" t="inlineStr">
        <is>
          <t>是</t>
        </is>
      </c>
      <c r="X140" s="11" t="n">
        <v>54</v>
      </c>
      <c r="Y140" s="11" t="inlineStr">
        <is>
          <t>-</t>
        </is>
      </c>
      <c r="Z140" s="11" t="n">
        <v>0</v>
      </c>
      <c r="AA140" s="11" t="inlineStr">
        <is>
          <t>无</t>
        </is>
      </c>
      <c r="AB140" s="12">
        <f>AE139</f>
        <v/>
      </c>
      <c r="AC140" s="12" t="n">
        <v>4</v>
      </c>
      <c r="AD140" s="12" t="n">
        <v>0</v>
      </c>
      <c r="AE140" s="12">
        <f>AB140+AC140+AD140</f>
        <v/>
      </c>
      <c r="AF140" s="13">
        <f>AI139</f>
        <v/>
      </c>
      <c r="AG140" s="13" t="n">
        <v>0</v>
      </c>
      <c r="AH140" s="13" t="n">
        <v>0</v>
      </c>
      <c r="AI140" s="13">
        <f>AF140+AG140+AH140</f>
        <v/>
      </c>
      <c r="AJ140" s="14" t="n">
        <v>30</v>
      </c>
      <c r="AK140" s="14" t="n">
        <v>50</v>
      </c>
      <c r="AL140" s="14" t="n">
        <v>0</v>
      </c>
      <c r="AM140" s="14">
        <f>AJ140+AK140+AL140</f>
        <v/>
      </c>
      <c r="AN140" s="14">
        <f>AN139+AM140</f>
        <v/>
      </c>
    </row>
    <row r="141">
      <c r="A141" s="8" t="n">
        <v>6</v>
      </c>
      <c r="B141" s="8" t="n">
        <v>5</v>
      </c>
      <c r="C141" s="8" t="n">
        <v>2</v>
      </c>
      <c r="D141" s="8" t="inlineStr">
        <is>
          <t>月卡收益</t>
        </is>
      </c>
      <c r="E141" s="9">
        <f>K140</f>
        <v/>
      </c>
      <c r="F141" s="9" t="n">
        <v>1540</v>
      </c>
      <c r="G141" s="9" t="n">
        <v>0</v>
      </c>
      <c r="H141" s="9" t="n">
        <v>0</v>
      </c>
      <c r="I141" s="9" t="n">
        <v>0</v>
      </c>
      <c r="J141" s="9" t="n">
        <v>9120</v>
      </c>
      <c r="K141" s="9">
        <f>E141+F141+G141+H141+I141-J141</f>
        <v/>
      </c>
      <c r="L141" s="10">
        <f>Q140</f>
        <v/>
      </c>
      <c r="M141" s="10" t="n">
        <v>0</v>
      </c>
      <c r="N141" s="10" t="n">
        <v>6</v>
      </c>
      <c r="O141" s="10">
        <f>J141/160</f>
        <v/>
      </c>
      <c r="P141" s="10" t="n">
        <v>60</v>
      </c>
      <c r="Q141" s="10">
        <f>L141+M141+N141+O141-P141</f>
        <v/>
      </c>
      <c r="R141" s="11">
        <f>T140</f>
        <v/>
      </c>
      <c r="S141" s="11">
        <f>N(V141) + N(X141) + N(Z141)</f>
        <v/>
      </c>
      <c r="T141" s="11">
        <f>R141+P141-S141</f>
        <v/>
      </c>
      <c r="U141" s="11" t="inlineStr">
        <is>
          <t>是</t>
        </is>
      </c>
      <c r="V141" s="11" t="n">
        <v>51</v>
      </c>
      <c r="W141" s="11" t="inlineStr">
        <is>
          <t>否</t>
        </is>
      </c>
      <c r="X141" s="11" t="inlineStr">
        <is>
          <t>-</t>
        </is>
      </c>
      <c r="Y141" s="11" t="inlineStr">
        <is>
          <t>-</t>
        </is>
      </c>
      <c r="Z141" s="11" t="n">
        <v>0</v>
      </c>
      <c r="AA141" s="11" t="inlineStr">
        <is>
          <t>垫到60抽</t>
        </is>
      </c>
      <c r="AB141" s="12">
        <f>AE140</f>
        <v/>
      </c>
      <c r="AC141" s="12" t="n">
        <v>0</v>
      </c>
      <c r="AD141" s="12" t="n">
        <v>0</v>
      </c>
      <c r="AE141" s="12">
        <f>AB141+AC141+AD141</f>
        <v/>
      </c>
      <c r="AF141" s="13">
        <f>AI140</f>
        <v/>
      </c>
      <c r="AG141" s="13" t="n">
        <v>0</v>
      </c>
      <c r="AH141" s="13" t="n">
        <v>0</v>
      </c>
      <c r="AI141" s="13">
        <f>AF141+AG141+AH141</f>
        <v/>
      </c>
      <c r="AJ141" s="14" t="n">
        <v>0</v>
      </c>
      <c r="AK141" s="14" t="n">
        <v>0</v>
      </c>
      <c r="AL141" s="14" t="n">
        <v>0</v>
      </c>
      <c r="AM141" s="14">
        <f>AJ141+AK141+AL141</f>
        <v/>
      </c>
      <c r="AN141" s="14">
        <f>AN140+AM141</f>
        <v/>
      </c>
    </row>
    <row r="142">
      <c r="A142" s="8" t="n">
        <v>6</v>
      </c>
      <c r="B142" s="8" t="n">
        <v>6</v>
      </c>
      <c r="C142" s="8" t="n">
        <v>1</v>
      </c>
      <c r="D142" s="8" t="inlineStr">
        <is>
          <t>版本免费+义相逢 + 月卡收益 [月卡续费-30元]</t>
        </is>
      </c>
      <c r="E142" s="9">
        <f>K141</f>
        <v/>
      </c>
      <c r="F142" s="9" t="n">
        <v>1540</v>
      </c>
      <c r="G142" s="9" t="n">
        <v>4800</v>
      </c>
      <c r="H142" s="9" t="n">
        <v>0</v>
      </c>
      <c r="I142" s="9" t="n">
        <v>0</v>
      </c>
      <c r="J142" s="9" t="n">
        <v>0</v>
      </c>
      <c r="K142" s="9">
        <f>E142+F142+G142+H142+I142-J142</f>
        <v/>
      </c>
      <c r="L142" s="10">
        <f>Q141</f>
        <v/>
      </c>
      <c r="M142" s="10" t="n">
        <v>85</v>
      </c>
      <c r="N142" s="10" t="n">
        <v>11</v>
      </c>
      <c r="O142" s="10">
        <f>J142/160</f>
        <v/>
      </c>
      <c r="P142" s="10" t="n">
        <v>90</v>
      </c>
      <c r="Q142" s="10">
        <f>L142+M142+N142+O142-P142</f>
        <v/>
      </c>
      <c r="R142" s="11">
        <f>T141</f>
        <v/>
      </c>
      <c r="S142" s="11">
        <f>N(V142) + N(X142) + N(Z142)</f>
        <v/>
      </c>
      <c r="T142" s="11">
        <f>R142+P142-S142</f>
        <v/>
      </c>
      <c r="U142" s="11" t="inlineStr">
        <is>
          <t>是</t>
        </is>
      </c>
      <c r="V142" s="11" t="n">
        <v>48</v>
      </c>
      <c r="W142" s="11" t="inlineStr">
        <is>
          <t>是</t>
        </is>
      </c>
      <c r="X142" s="11" t="n">
        <v>43</v>
      </c>
      <c r="Y142" s="11" t="inlineStr">
        <is>
          <t>-</t>
        </is>
      </c>
      <c r="Z142" s="11" t="n">
        <v>0</v>
      </c>
      <c r="AA142" s="11" t="inlineStr">
        <is>
          <t>垫到90抽</t>
        </is>
      </c>
      <c r="AB142" s="12">
        <f>AE141</f>
        <v/>
      </c>
      <c r="AC142" s="12" t="n">
        <v>4</v>
      </c>
      <c r="AD142" s="12" t="n">
        <v>0</v>
      </c>
      <c r="AE142" s="12">
        <f>AB142+AC142+AD142</f>
        <v/>
      </c>
      <c r="AF142" s="13">
        <f>AI141</f>
        <v/>
      </c>
      <c r="AG142" s="13" t="n">
        <v>0</v>
      </c>
      <c r="AH142" s="13" t="n">
        <v>0</v>
      </c>
      <c r="AI142" s="13">
        <f>AF142+AG142+AH142</f>
        <v/>
      </c>
      <c r="AJ142" s="14" t="n">
        <v>30</v>
      </c>
      <c r="AK142" s="14" t="n">
        <v>50</v>
      </c>
      <c r="AL142" s="14" t="n">
        <v>0</v>
      </c>
      <c r="AM142" s="14">
        <f>AJ142+AK142+AL142</f>
        <v/>
      </c>
      <c r="AN142" s="14">
        <f>AN141+AM142</f>
        <v/>
      </c>
    </row>
    <row r="143">
      <c r="A143" s="8" t="n">
        <v>6</v>
      </c>
      <c r="B143" s="8" t="n">
        <v>6</v>
      </c>
      <c r="C143" s="8" t="n">
        <v>2</v>
      </c>
      <c r="D143" s="8" t="inlineStr">
        <is>
          <t>月卡收益</t>
        </is>
      </c>
      <c r="E143" s="9">
        <f>K142</f>
        <v/>
      </c>
      <c r="F143" s="9" t="n">
        <v>1540</v>
      </c>
      <c r="G143" s="9" t="n">
        <v>0</v>
      </c>
      <c r="H143" s="9" t="n">
        <v>0</v>
      </c>
      <c r="I143" s="9" t="n">
        <v>0</v>
      </c>
      <c r="J143" s="9" t="n">
        <v>4480</v>
      </c>
      <c r="K143" s="9">
        <f>E143+F143+G143+H143+I143-J143</f>
        <v/>
      </c>
      <c r="L143" s="10">
        <f>Q142</f>
        <v/>
      </c>
      <c r="M143" s="10" t="n">
        <v>0</v>
      </c>
      <c r="N143" s="10" t="n">
        <v>3</v>
      </c>
      <c r="O143" s="10">
        <f>J143/160</f>
        <v/>
      </c>
      <c r="P143" s="10" t="n">
        <v>40</v>
      </c>
      <c r="Q143" s="10">
        <f>L143+M143+N143+O143-P143</f>
        <v/>
      </c>
      <c r="R143" s="11">
        <f>T142</f>
        <v/>
      </c>
      <c r="S143" s="11">
        <f>N(V143) + N(X143) + N(Z143)</f>
        <v/>
      </c>
      <c r="T143" s="11">
        <f>R143+P143-S143</f>
        <v/>
      </c>
      <c r="U143" s="11" t="inlineStr">
        <is>
          <t>是</t>
        </is>
      </c>
      <c r="V143" s="11" t="n">
        <v>47</v>
      </c>
      <c r="W143" s="11" t="inlineStr">
        <is>
          <t>是</t>
        </is>
      </c>
      <c r="X143" s="11" t="n">
        <v>4</v>
      </c>
      <c r="Y143" s="11" t="inlineStr">
        <is>
          <t>-</t>
        </is>
      </c>
      <c r="Z143" s="11" t="n">
        <v>0</v>
      </c>
      <c r="AA143" s="11" t="inlineStr">
        <is>
          <t>无</t>
        </is>
      </c>
      <c r="AB143" s="12">
        <f>AE142</f>
        <v/>
      </c>
      <c r="AC143" s="12" t="n">
        <v>0</v>
      </c>
      <c r="AD143" s="12" t="n">
        <v>0</v>
      </c>
      <c r="AE143" s="12">
        <f>AB143+AC143+AD143</f>
        <v/>
      </c>
      <c r="AF143" s="13">
        <f>AI142</f>
        <v/>
      </c>
      <c r="AG143" s="13" t="n">
        <v>0</v>
      </c>
      <c r="AH143" s="13" t="n">
        <v>0</v>
      </c>
      <c r="AI143" s="13">
        <f>AF143+AG143+AH143</f>
        <v/>
      </c>
      <c r="AJ143" s="14" t="n">
        <v>0</v>
      </c>
      <c r="AK143" s="14" t="n">
        <v>0</v>
      </c>
      <c r="AL143" s="14" t="n">
        <v>0</v>
      </c>
      <c r="AM143" s="14">
        <f>AJ143+AK143+AL143</f>
        <v/>
      </c>
      <c r="AN143" s="14">
        <f>AN142+AM143</f>
        <v/>
      </c>
    </row>
    <row r="144">
      <c r="A144" s="8" t="n">
        <v>6</v>
      </c>
      <c r="B144" s="8" t="n">
        <v>7</v>
      </c>
      <c r="C144" s="8" t="n">
        <v>1</v>
      </c>
      <c r="D144" s="8" t="inlineStr">
        <is>
          <t>版本免费+义相逢 + 月卡收益 [月卡续费-30元]</t>
        </is>
      </c>
      <c r="E144" s="9">
        <f>K143</f>
        <v/>
      </c>
      <c r="F144" s="9" t="n">
        <v>1540</v>
      </c>
      <c r="G144" s="9" t="n">
        <v>4800</v>
      </c>
      <c r="H144" s="9" t="n">
        <v>0</v>
      </c>
      <c r="I144" s="9" t="n">
        <v>0</v>
      </c>
      <c r="J144" s="9" t="n">
        <v>0</v>
      </c>
      <c r="K144" s="9">
        <f>E144+F144+G144+H144+I144-J144</f>
        <v/>
      </c>
      <c r="L144" s="10">
        <f>Q143</f>
        <v/>
      </c>
      <c r="M144" s="10" t="n">
        <v>85</v>
      </c>
      <c r="N144" s="10" t="n">
        <v>6</v>
      </c>
      <c r="O144" s="10">
        <f>J144/160</f>
        <v/>
      </c>
      <c r="P144" s="10" t="n">
        <v>60</v>
      </c>
      <c r="Q144" s="10">
        <f>L144+M144+N144+O144-P144</f>
        <v/>
      </c>
      <c r="R144" s="11">
        <f>T143</f>
        <v/>
      </c>
      <c r="S144" s="11">
        <f>N(V144) + N(X144) + N(Z144)</f>
        <v/>
      </c>
      <c r="T144" s="11">
        <f>R144+P144-S144</f>
        <v/>
      </c>
      <c r="U144" s="11" t="inlineStr">
        <is>
          <t>是</t>
        </is>
      </c>
      <c r="V144" s="11" t="n">
        <v>47</v>
      </c>
      <c r="W144" s="11" t="inlineStr">
        <is>
          <t>否</t>
        </is>
      </c>
      <c r="X144" s="11" t="inlineStr">
        <is>
          <t>-</t>
        </is>
      </c>
      <c r="Y144" s="11" t="inlineStr">
        <is>
          <t>-</t>
        </is>
      </c>
      <c r="Z144" s="11" t="n">
        <v>0</v>
      </c>
      <c r="AA144" s="11" t="inlineStr">
        <is>
          <t>垫到60抽</t>
        </is>
      </c>
      <c r="AB144" s="12">
        <f>AE143</f>
        <v/>
      </c>
      <c r="AC144" s="12" t="n">
        <v>4</v>
      </c>
      <c r="AD144" s="12" t="n">
        <v>0</v>
      </c>
      <c r="AE144" s="12">
        <f>AB144+AC144+AD144</f>
        <v/>
      </c>
      <c r="AF144" s="13">
        <f>AI143</f>
        <v/>
      </c>
      <c r="AG144" s="13" t="n">
        <v>0</v>
      </c>
      <c r="AH144" s="13" t="n">
        <v>0</v>
      </c>
      <c r="AI144" s="13">
        <f>AF144+AG144+AH144</f>
        <v/>
      </c>
      <c r="AJ144" s="14" t="n">
        <v>30</v>
      </c>
      <c r="AK144" s="14" t="n">
        <v>50</v>
      </c>
      <c r="AL144" s="14" t="n">
        <v>0</v>
      </c>
      <c r="AM144" s="14">
        <f>AJ144+AK144+AL144</f>
        <v/>
      </c>
      <c r="AN144" s="14">
        <f>AN143+AM144</f>
        <v/>
      </c>
    </row>
    <row r="145">
      <c r="A145" s="8" t="n">
        <v>6</v>
      </c>
      <c r="B145" s="8" t="n">
        <v>7</v>
      </c>
      <c r="C145" s="8" t="n">
        <v>2</v>
      </c>
      <c r="D145" s="8" t="inlineStr">
        <is>
          <t>月卡收益</t>
        </is>
      </c>
      <c r="E145" s="9">
        <f>K144</f>
        <v/>
      </c>
      <c r="F145" s="9" t="n">
        <v>1540</v>
      </c>
      <c r="G145" s="9" t="n">
        <v>0</v>
      </c>
      <c r="H145" s="9" t="n">
        <v>0</v>
      </c>
      <c r="I145" s="9" t="n">
        <v>0</v>
      </c>
      <c r="J145" s="9" t="n">
        <v>8480</v>
      </c>
      <c r="K145" s="9">
        <f>E145+F145+G145+H145+I145-J145</f>
        <v/>
      </c>
      <c r="L145" s="10">
        <f>Q144</f>
        <v/>
      </c>
      <c r="M145" s="10" t="n">
        <v>0</v>
      </c>
      <c r="N145" s="10" t="n">
        <v>11</v>
      </c>
      <c r="O145" s="10">
        <f>J145/160</f>
        <v/>
      </c>
      <c r="P145" s="10" t="n">
        <v>90</v>
      </c>
      <c r="Q145" s="10">
        <f>L145+M145+N145+O145-P145</f>
        <v/>
      </c>
      <c r="R145" s="11">
        <f>T144</f>
        <v/>
      </c>
      <c r="S145" s="11">
        <f>N(V145) + N(X145) + N(Z145)</f>
        <v/>
      </c>
      <c r="T145" s="11">
        <f>R145+P145-S145</f>
        <v/>
      </c>
      <c r="U145" s="11" t="inlineStr">
        <is>
          <t>是</t>
        </is>
      </c>
      <c r="V145" s="11" t="n">
        <v>50</v>
      </c>
      <c r="W145" s="11" t="inlineStr">
        <is>
          <t>是</t>
        </is>
      </c>
      <c r="X145" s="11" t="n">
        <v>46</v>
      </c>
      <c r="Y145" s="11" t="inlineStr">
        <is>
          <t>-</t>
        </is>
      </c>
      <c r="Z145" s="11" t="n">
        <v>0</v>
      </c>
      <c r="AA145" s="11" t="inlineStr">
        <is>
          <t>垫到90抽</t>
        </is>
      </c>
      <c r="AB145" s="12">
        <f>AE144</f>
        <v/>
      </c>
      <c r="AC145" s="12" t="n">
        <v>0</v>
      </c>
      <c r="AD145" s="12" t="n">
        <v>0</v>
      </c>
      <c r="AE145" s="12">
        <f>AB145+AC145+AD145</f>
        <v/>
      </c>
      <c r="AF145" s="13">
        <f>AI144</f>
        <v/>
      </c>
      <c r="AG145" s="13" t="n">
        <v>0</v>
      </c>
      <c r="AH145" s="13" t="n">
        <v>0</v>
      </c>
      <c r="AI145" s="13">
        <f>AF145+AG145+AH145</f>
        <v/>
      </c>
      <c r="AJ145" s="14" t="n">
        <v>0</v>
      </c>
      <c r="AK145" s="14" t="n">
        <v>0</v>
      </c>
      <c r="AL145" s="14" t="n">
        <v>0</v>
      </c>
      <c r="AM145" s="14">
        <f>AJ145+AK145+AL145</f>
        <v/>
      </c>
      <c r="AN145" s="14">
        <f>AN144+AM145</f>
        <v/>
      </c>
    </row>
    <row r="146">
      <c r="A146" s="8" t="n">
        <v>6</v>
      </c>
      <c r="B146" s="8" t="n">
        <v>8</v>
      </c>
      <c r="C146" s="8" t="n">
        <v>1</v>
      </c>
      <c r="D146" s="8" t="inlineStr">
        <is>
          <t>版本免费+义相逢 + 月卡收益 [月卡续费-30元]</t>
        </is>
      </c>
      <c r="E146" s="9">
        <f>K145</f>
        <v/>
      </c>
      <c r="F146" s="9" t="n">
        <v>1540</v>
      </c>
      <c r="G146" s="9" t="n">
        <v>4800</v>
      </c>
      <c r="H146" s="9" t="n">
        <v>0</v>
      </c>
      <c r="I146" s="9" t="n">
        <v>0</v>
      </c>
      <c r="J146" s="9" t="n">
        <v>0</v>
      </c>
      <c r="K146" s="9">
        <f>E146+F146+G146+H146+I146-J146</f>
        <v/>
      </c>
      <c r="L146" s="10">
        <f>Q145</f>
        <v/>
      </c>
      <c r="M146" s="10" t="n">
        <v>85</v>
      </c>
      <c r="N146" s="10" t="n">
        <v>3</v>
      </c>
      <c r="O146" s="10">
        <f>J146/160</f>
        <v/>
      </c>
      <c r="P146" s="10" t="n">
        <v>40</v>
      </c>
      <c r="Q146" s="10">
        <f>L146+M146+N146+O146-P146</f>
        <v/>
      </c>
      <c r="R146" s="11">
        <f>T145</f>
        <v/>
      </c>
      <c r="S146" s="11">
        <f>N(V146) + N(X146) + N(Z146)</f>
        <v/>
      </c>
      <c r="T146" s="11">
        <f>R146+P146-S146</f>
        <v/>
      </c>
      <c r="U146" s="11" t="inlineStr">
        <is>
          <t>是</t>
        </is>
      </c>
      <c r="V146" s="11" t="n">
        <v>47</v>
      </c>
      <c r="W146" s="11" t="inlineStr">
        <is>
          <t>否</t>
        </is>
      </c>
      <c r="X146" s="11" t="inlineStr">
        <is>
          <t>-</t>
        </is>
      </c>
      <c r="Y146" s="11" t="inlineStr">
        <is>
          <t>-</t>
        </is>
      </c>
      <c r="Z146" s="11" t="n">
        <v>0</v>
      </c>
      <c r="AA146" s="11" t="inlineStr">
        <is>
          <t>无</t>
        </is>
      </c>
      <c r="AB146" s="12">
        <f>AE145</f>
        <v/>
      </c>
      <c r="AC146" s="12" t="n">
        <v>4</v>
      </c>
      <c r="AD146" s="12" t="n">
        <v>0</v>
      </c>
      <c r="AE146" s="12">
        <f>AB146+AC146+AD146</f>
        <v/>
      </c>
      <c r="AF146" s="13">
        <f>AI145</f>
        <v/>
      </c>
      <c r="AG146" s="13" t="n">
        <v>0</v>
      </c>
      <c r="AH146" s="13" t="n">
        <v>0</v>
      </c>
      <c r="AI146" s="13">
        <f>AF146+AG146+AH146</f>
        <v/>
      </c>
      <c r="AJ146" s="14" t="n">
        <v>30</v>
      </c>
      <c r="AK146" s="14" t="n">
        <v>50</v>
      </c>
      <c r="AL146" s="14" t="n">
        <v>0</v>
      </c>
      <c r="AM146" s="14">
        <f>AJ146+AK146+AL146</f>
        <v/>
      </c>
      <c r="AN146" s="14">
        <f>AN145+AM146</f>
        <v/>
      </c>
    </row>
    <row r="147">
      <c r="A147" s="8" t="n">
        <v>6</v>
      </c>
      <c r="B147" s="8" t="n">
        <v>8</v>
      </c>
      <c r="C147" s="8" t="n">
        <v>2</v>
      </c>
      <c r="D147" s="8" t="inlineStr">
        <is>
          <t>月卡收益</t>
        </is>
      </c>
      <c r="E147" s="9">
        <f>K146</f>
        <v/>
      </c>
      <c r="F147" s="9" t="n">
        <v>1540</v>
      </c>
      <c r="G147" s="9" t="n">
        <v>0</v>
      </c>
      <c r="H147" s="9" t="n">
        <v>0</v>
      </c>
      <c r="I147" s="9" t="n">
        <v>0</v>
      </c>
      <c r="J147" s="9" t="n">
        <v>640</v>
      </c>
      <c r="K147" s="9">
        <f>E147+F147+G147+H147+I147-J147</f>
        <v/>
      </c>
      <c r="L147" s="10">
        <f>Q146</f>
        <v/>
      </c>
      <c r="M147" s="10" t="n">
        <v>0</v>
      </c>
      <c r="N147" s="10" t="n">
        <v>6</v>
      </c>
      <c r="O147" s="10">
        <f>J147/160</f>
        <v/>
      </c>
      <c r="P147" s="10" t="n">
        <v>60</v>
      </c>
      <c r="Q147" s="10">
        <f>L147+M147+N147+O147-P147</f>
        <v/>
      </c>
      <c r="R147" s="11">
        <f>T146</f>
        <v/>
      </c>
      <c r="S147" s="11">
        <f>N(V147) + N(X147) + N(Z147)</f>
        <v/>
      </c>
      <c r="T147" s="11">
        <f>R147+P147-S147</f>
        <v/>
      </c>
      <c r="U147" s="11" t="inlineStr">
        <is>
          <t>是</t>
        </is>
      </c>
      <c r="V147" s="11" t="n">
        <v>47</v>
      </c>
      <c r="W147" s="11" t="inlineStr">
        <is>
          <t>否</t>
        </is>
      </c>
      <c r="X147" s="11" t="inlineStr">
        <is>
          <t>-</t>
        </is>
      </c>
      <c r="Y147" s="11" t="inlineStr">
        <is>
          <t>-</t>
        </is>
      </c>
      <c r="Z147" s="11" t="n">
        <v>0</v>
      </c>
      <c r="AA147" s="11" t="inlineStr">
        <is>
          <t>垫到60抽</t>
        </is>
      </c>
      <c r="AB147" s="12">
        <f>AE146</f>
        <v/>
      </c>
      <c r="AC147" s="12" t="n">
        <v>0</v>
      </c>
      <c r="AD147" s="12" t="n">
        <v>0</v>
      </c>
      <c r="AE147" s="12">
        <f>AB147+AC147+AD147</f>
        <v/>
      </c>
      <c r="AF147" s="13">
        <f>AI146</f>
        <v/>
      </c>
      <c r="AG147" s="13" t="n">
        <v>0</v>
      </c>
      <c r="AH147" s="13" t="n">
        <v>0</v>
      </c>
      <c r="AI147" s="13">
        <f>AF147+AG147+AH147</f>
        <v/>
      </c>
      <c r="AJ147" s="14" t="n">
        <v>0</v>
      </c>
      <c r="AK147" s="14" t="n">
        <v>0</v>
      </c>
      <c r="AL147" s="14" t="n">
        <v>0</v>
      </c>
      <c r="AM147" s="14">
        <f>AJ147+AK147+AL147</f>
        <v/>
      </c>
      <c r="AN147" s="14">
        <f>AN146+AM147</f>
        <v/>
      </c>
    </row>
    <row r="148">
      <c r="A148" s="8" t="n">
        <v>6</v>
      </c>
      <c r="B148" s="8" t="n">
        <v>9</v>
      </c>
      <c r="C148" s="8" t="n">
        <v>1</v>
      </c>
      <c r="D148" s="8" t="inlineStr">
        <is>
          <t>版本免费+义相逢 + 月卡收益 [月卡续费-30元]</t>
        </is>
      </c>
      <c r="E148" s="9">
        <f>K147</f>
        <v/>
      </c>
      <c r="F148" s="9" t="n">
        <v>1540</v>
      </c>
      <c r="G148" s="9" t="n">
        <v>4800</v>
      </c>
      <c r="H148" s="9" t="n">
        <v>0</v>
      </c>
      <c r="I148" s="9" t="n">
        <v>0</v>
      </c>
      <c r="J148" s="9" t="n">
        <v>0</v>
      </c>
      <c r="K148" s="9">
        <f>E148+F148+G148+H148+I148-J148</f>
        <v/>
      </c>
      <c r="L148" s="10">
        <f>Q147</f>
        <v/>
      </c>
      <c r="M148" s="10" t="n">
        <v>85</v>
      </c>
      <c r="N148" s="10" t="n">
        <v>11</v>
      </c>
      <c r="O148" s="10">
        <f>J148/160</f>
        <v/>
      </c>
      <c r="P148" s="10" t="n">
        <v>90</v>
      </c>
      <c r="Q148" s="10">
        <f>L148+M148+N148+O148-P148</f>
        <v/>
      </c>
      <c r="R148" s="11">
        <f>T147</f>
        <v/>
      </c>
      <c r="S148" s="11">
        <f>N(V148) + N(X148) + N(Z148)</f>
        <v/>
      </c>
      <c r="T148" s="11">
        <f>R148+P148-S148</f>
        <v/>
      </c>
      <c r="U148" s="11" t="inlineStr">
        <is>
          <t>是</t>
        </is>
      </c>
      <c r="V148" s="11" t="n">
        <v>50</v>
      </c>
      <c r="W148" s="11" t="inlineStr">
        <is>
          <t>是</t>
        </is>
      </c>
      <c r="X148" s="11" t="n">
        <v>50</v>
      </c>
      <c r="Y148" s="11" t="inlineStr">
        <is>
          <t>-</t>
        </is>
      </c>
      <c r="Z148" s="11" t="n">
        <v>0</v>
      </c>
      <c r="AA148" s="11" t="inlineStr">
        <is>
          <t>无</t>
        </is>
      </c>
      <c r="AB148" s="12">
        <f>AE147</f>
        <v/>
      </c>
      <c r="AC148" s="12" t="n">
        <v>4</v>
      </c>
      <c r="AD148" s="12" t="n">
        <v>0</v>
      </c>
      <c r="AE148" s="12">
        <f>AB148+AC148+AD148</f>
        <v/>
      </c>
      <c r="AF148" s="13">
        <f>AI147</f>
        <v/>
      </c>
      <c r="AG148" s="13" t="n">
        <v>0</v>
      </c>
      <c r="AH148" s="13" t="n">
        <v>0</v>
      </c>
      <c r="AI148" s="13">
        <f>AF148+AG148+AH148</f>
        <v/>
      </c>
      <c r="AJ148" s="14" t="n">
        <v>30</v>
      </c>
      <c r="AK148" s="14" t="n">
        <v>50</v>
      </c>
      <c r="AL148" s="14" t="n">
        <v>0</v>
      </c>
      <c r="AM148" s="14">
        <f>AJ148+AK148+AL148</f>
        <v/>
      </c>
      <c r="AN148" s="14">
        <f>AN147+AM148</f>
        <v/>
      </c>
    </row>
    <row r="149">
      <c r="A149" s="8" t="n">
        <v>6</v>
      </c>
      <c r="B149" s="8" t="n">
        <v>9</v>
      </c>
      <c r="C149" s="8" t="n">
        <v>2</v>
      </c>
      <c r="D149" s="8" t="inlineStr">
        <is>
          <t>月卡收益</t>
        </is>
      </c>
      <c r="E149" s="9">
        <f>K148</f>
        <v/>
      </c>
      <c r="F149" s="9" t="n">
        <v>1540</v>
      </c>
      <c r="G149" s="9" t="n">
        <v>0</v>
      </c>
      <c r="H149" s="9" t="n">
        <v>0</v>
      </c>
      <c r="I149" s="9" t="n">
        <v>0</v>
      </c>
      <c r="J149" s="9" t="n">
        <v>12800</v>
      </c>
      <c r="K149" s="9">
        <f>E149+F149+G149+H149+I149-J149</f>
        <v/>
      </c>
      <c r="L149" s="10">
        <f>Q148</f>
        <v/>
      </c>
      <c r="M149" s="10" t="n">
        <v>0</v>
      </c>
      <c r="N149" s="10" t="n">
        <v>11</v>
      </c>
      <c r="O149" s="10">
        <f>J149/160</f>
        <v/>
      </c>
      <c r="P149" s="10" t="n">
        <v>100</v>
      </c>
      <c r="Q149" s="10">
        <f>L149+M149+N149+O149-P149</f>
        <v/>
      </c>
      <c r="R149" s="11">
        <f>T148</f>
        <v/>
      </c>
      <c r="S149" s="11">
        <f>N(V149) + N(X149) + N(Z149)</f>
        <v/>
      </c>
      <c r="T149" s="11">
        <f>R149+P149-S149</f>
        <v/>
      </c>
      <c r="U149" s="11" t="inlineStr">
        <is>
          <t>是</t>
        </is>
      </c>
      <c r="V149" s="11" t="n">
        <v>51</v>
      </c>
      <c r="W149" s="11" t="inlineStr">
        <is>
          <t>是</t>
        </is>
      </c>
      <c r="X149" s="11" t="n">
        <v>49</v>
      </c>
      <c r="Y149" s="11" t="inlineStr">
        <is>
          <t>-</t>
        </is>
      </c>
      <c r="Z149" s="11" t="n">
        <v>0</v>
      </c>
      <c r="AA149" s="11" t="inlineStr">
        <is>
          <t>无</t>
        </is>
      </c>
      <c r="AB149" s="12">
        <f>AE148</f>
        <v/>
      </c>
      <c r="AC149" s="12" t="n">
        <v>0</v>
      </c>
      <c r="AD149" s="12" t="n">
        <v>0</v>
      </c>
      <c r="AE149" s="12">
        <f>AB149+AC149+AD149</f>
        <v/>
      </c>
      <c r="AF149" s="13">
        <f>AI148</f>
        <v/>
      </c>
      <c r="AG149" s="13" t="n">
        <v>0</v>
      </c>
      <c r="AH149" s="13" t="n">
        <v>0</v>
      </c>
      <c r="AI149" s="13">
        <f>AF149+AG149+AH149</f>
        <v/>
      </c>
      <c r="AJ149" s="14" t="n">
        <v>0</v>
      </c>
      <c r="AK149" s="14" t="n">
        <v>0</v>
      </c>
      <c r="AL149" s="14" t="n">
        <v>0</v>
      </c>
      <c r="AM149" s="14">
        <f>AJ149+AK149+AL149</f>
        <v/>
      </c>
      <c r="AN149" s="14">
        <f>AN148+AM149</f>
        <v/>
      </c>
    </row>
    <row r="150">
      <c r="A150" s="8" t="n">
        <v>6</v>
      </c>
      <c r="B150" s="8" t="n">
        <v>10</v>
      </c>
      <c r="C150" s="8" t="n">
        <v>1</v>
      </c>
      <c r="D150" s="8" t="inlineStr">
        <is>
          <t>版本免费+义相逢 + 月卡收益 [月卡续费-30元]</t>
        </is>
      </c>
      <c r="E150" s="9">
        <f>K149</f>
        <v/>
      </c>
      <c r="F150" s="9" t="n">
        <v>1540</v>
      </c>
      <c r="G150" s="9" t="n">
        <v>4800</v>
      </c>
      <c r="H150" s="9" t="n">
        <v>0</v>
      </c>
      <c r="I150" s="9" t="n">
        <v>0</v>
      </c>
      <c r="J150" s="9" t="n">
        <v>640</v>
      </c>
      <c r="K150" s="9">
        <f>E150+F150+G150+H150+I150-J150</f>
        <v/>
      </c>
      <c r="L150" s="10">
        <f>Q149</f>
        <v/>
      </c>
      <c r="M150" s="10" t="n">
        <v>85</v>
      </c>
      <c r="N150" s="10" t="n">
        <v>11</v>
      </c>
      <c r="O150" s="10">
        <f>J150/160</f>
        <v/>
      </c>
      <c r="P150" s="10" t="n">
        <v>100</v>
      </c>
      <c r="Q150" s="10">
        <f>L150+M150+N150+O150-P150</f>
        <v/>
      </c>
      <c r="R150" s="11">
        <f>T149</f>
        <v/>
      </c>
      <c r="S150" s="11">
        <f>N(V150) + N(X150) + N(Z150)</f>
        <v/>
      </c>
      <c r="T150" s="11">
        <f>R150+P150-S150</f>
        <v/>
      </c>
      <c r="U150" s="11" t="inlineStr">
        <is>
          <t>是</t>
        </is>
      </c>
      <c r="V150" s="11" t="n">
        <v>48</v>
      </c>
      <c r="W150" s="11" t="inlineStr">
        <is>
          <t>是</t>
        </is>
      </c>
      <c r="X150" s="11" t="n">
        <v>49</v>
      </c>
      <c r="Y150" s="11" t="inlineStr">
        <is>
          <t>-</t>
        </is>
      </c>
      <c r="Z150" s="11" t="n">
        <v>0</v>
      </c>
      <c r="AA150" s="11" t="inlineStr">
        <is>
          <t>无</t>
        </is>
      </c>
      <c r="AB150" s="12">
        <f>AE149</f>
        <v/>
      </c>
      <c r="AC150" s="12" t="n">
        <v>4</v>
      </c>
      <c r="AD150" s="12" t="n">
        <v>0</v>
      </c>
      <c r="AE150" s="12">
        <f>AB150+AC150+AD150</f>
        <v/>
      </c>
      <c r="AF150" s="13">
        <f>AI149</f>
        <v/>
      </c>
      <c r="AG150" s="13" t="n">
        <v>0</v>
      </c>
      <c r="AH150" s="13" t="n">
        <v>0</v>
      </c>
      <c r="AI150" s="13">
        <f>AF150+AG150+AH150</f>
        <v/>
      </c>
      <c r="AJ150" s="14" t="n">
        <v>30</v>
      </c>
      <c r="AK150" s="14" t="n">
        <v>50</v>
      </c>
      <c r="AL150" s="14" t="n">
        <v>0</v>
      </c>
      <c r="AM150" s="14">
        <f>AJ150+AK150+AL150</f>
        <v/>
      </c>
      <c r="AN150" s="14">
        <f>AN149+AM150</f>
        <v/>
      </c>
    </row>
    <row r="151">
      <c r="A151" s="8" t="n">
        <v>6</v>
      </c>
      <c r="B151" s="8" t="n">
        <v>10</v>
      </c>
      <c r="C151" s="8" t="n">
        <v>2</v>
      </c>
      <c r="D151" s="8" t="inlineStr">
        <is>
          <t>月卡收益</t>
        </is>
      </c>
      <c r="E151" s="9">
        <f>K150</f>
        <v/>
      </c>
      <c r="F151" s="9" t="n">
        <v>1540</v>
      </c>
      <c r="G151" s="9" t="n">
        <v>0</v>
      </c>
      <c r="H151" s="9" t="n">
        <v>0</v>
      </c>
      <c r="I151" s="9" t="n">
        <v>0</v>
      </c>
      <c r="J151" s="9" t="n">
        <v>13440</v>
      </c>
      <c r="K151" s="9">
        <f>E151+F151+G151+H151+I151-J151</f>
        <v/>
      </c>
      <c r="L151" s="10">
        <f>Q150</f>
        <v/>
      </c>
      <c r="M151" s="10" t="n">
        <v>0</v>
      </c>
      <c r="N151" s="10" t="n">
        <v>11</v>
      </c>
      <c r="O151" s="10">
        <f>J151/160</f>
        <v/>
      </c>
      <c r="P151" s="10" t="n">
        <v>90</v>
      </c>
      <c r="Q151" s="10">
        <f>L151+M151+N151+O151-P151</f>
        <v/>
      </c>
      <c r="R151" s="11">
        <f>T150</f>
        <v/>
      </c>
      <c r="S151" s="11">
        <f>N(V151) + N(X151) + N(Z151)</f>
        <v/>
      </c>
      <c r="T151" s="11">
        <f>R151+P151-S151</f>
        <v/>
      </c>
      <c r="U151" s="11" t="inlineStr">
        <is>
          <t>是</t>
        </is>
      </c>
      <c r="V151" s="11" t="n">
        <v>49</v>
      </c>
      <c r="W151" s="11" t="inlineStr">
        <is>
          <t>是</t>
        </is>
      </c>
      <c r="X151" s="11" t="n">
        <v>50</v>
      </c>
      <c r="Y151" s="11" t="inlineStr">
        <is>
          <t>-</t>
        </is>
      </c>
      <c r="Z151" s="11" t="n">
        <v>0</v>
      </c>
      <c r="AA151" s="11" t="inlineStr">
        <is>
          <t>无</t>
        </is>
      </c>
      <c r="AB151" s="12">
        <f>AE150</f>
        <v/>
      </c>
      <c r="AC151" s="12" t="n">
        <v>0</v>
      </c>
      <c r="AD151" s="12" t="n">
        <v>0</v>
      </c>
      <c r="AE151" s="12">
        <f>AB151+AC151+AD151</f>
        <v/>
      </c>
      <c r="AF151" s="13">
        <f>AI150</f>
        <v/>
      </c>
      <c r="AG151" s="13" t="n">
        <v>0</v>
      </c>
      <c r="AH151" s="13" t="n">
        <v>0</v>
      </c>
      <c r="AI151" s="13">
        <f>AF151+AG151+AH151</f>
        <v/>
      </c>
      <c r="AJ151" s="14" t="n">
        <v>0</v>
      </c>
      <c r="AK151" s="14" t="n">
        <v>0</v>
      </c>
      <c r="AL151" s="14" t="n">
        <v>0</v>
      </c>
      <c r="AM151" s="14">
        <f>AJ151+AK151+AL151</f>
        <v/>
      </c>
      <c r="AN151" s="14">
        <f>AN150+AM151</f>
        <v/>
      </c>
    </row>
    <row r="152">
      <c r="A152" s="8" t="n">
        <v>6</v>
      </c>
      <c r="B152" s="8" t="n">
        <v>11</v>
      </c>
      <c r="C152" s="8" t="n">
        <v>1</v>
      </c>
      <c r="D152" s="8" t="inlineStr">
        <is>
          <t>版本免费+义相逢 + 月卡收益</t>
        </is>
      </c>
      <c r="E152" s="9">
        <f>K151</f>
        <v/>
      </c>
      <c r="F152" s="9" t="n">
        <v>1540</v>
      </c>
      <c r="G152" s="9" t="n">
        <v>4800</v>
      </c>
      <c r="H152" s="9" t="n">
        <v>0</v>
      </c>
      <c r="I152" s="9" t="n">
        <v>0</v>
      </c>
      <c r="J152" s="9" t="n">
        <v>0</v>
      </c>
      <c r="K152" s="9">
        <f>E152+F152+G152+H152+I152-J152</f>
        <v/>
      </c>
      <c r="L152" s="10">
        <f>Q151</f>
        <v/>
      </c>
      <c r="M152" s="10" t="n">
        <v>85</v>
      </c>
      <c r="N152" s="10" t="n">
        <v>11</v>
      </c>
      <c r="O152" s="10">
        <f>J152/160</f>
        <v/>
      </c>
      <c r="P152" s="10" t="n">
        <v>100</v>
      </c>
      <c r="Q152" s="10">
        <f>L152+M152+N152+O152-P152</f>
        <v/>
      </c>
      <c r="R152" s="11">
        <f>T151</f>
        <v/>
      </c>
      <c r="S152" s="11">
        <f>N(V152) + N(X152) + N(Z152)</f>
        <v/>
      </c>
      <c r="T152" s="11">
        <f>R152+P152-S152</f>
        <v/>
      </c>
      <c r="U152" s="11" t="inlineStr">
        <is>
          <t>是</t>
        </is>
      </c>
      <c r="V152" s="11" t="n">
        <v>49</v>
      </c>
      <c r="W152" s="11" t="inlineStr">
        <is>
          <t>是</t>
        </is>
      </c>
      <c r="X152" s="11" t="n">
        <v>48</v>
      </c>
      <c r="Y152" s="11" t="inlineStr">
        <is>
          <t>-</t>
        </is>
      </c>
      <c r="Z152" s="11" t="n">
        <v>0</v>
      </c>
      <c r="AA152" s="11" t="inlineStr">
        <is>
          <t>无</t>
        </is>
      </c>
      <c r="AB152" s="12">
        <f>AE151</f>
        <v/>
      </c>
      <c r="AC152" s="12" t="n">
        <v>4</v>
      </c>
      <c r="AD152" s="12" t="n">
        <v>0</v>
      </c>
      <c r="AE152" s="12">
        <f>AB152+AC152+AD152</f>
        <v/>
      </c>
      <c r="AF152" s="13">
        <f>AI151</f>
        <v/>
      </c>
      <c r="AG152" s="13" t="n">
        <v>0</v>
      </c>
      <c r="AH152" s="13" t="n">
        <v>0</v>
      </c>
      <c r="AI152" s="13">
        <f>AF152+AG152+AH152</f>
        <v/>
      </c>
      <c r="AJ152" s="14" t="n">
        <v>0</v>
      </c>
      <c r="AK152" s="14" t="n">
        <v>50</v>
      </c>
      <c r="AL152" s="14" t="n">
        <v>0</v>
      </c>
      <c r="AM152" s="14">
        <f>AJ152+AK152+AL152</f>
        <v/>
      </c>
      <c r="AN152" s="14">
        <f>AN151+AM152</f>
        <v/>
      </c>
    </row>
    <row r="153">
      <c r="A153" s="8" t="n">
        <v>6</v>
      </c>
      <c r="B153" s="8" t="n">
        <v>11</v>
      </c>
      <c r="C153" s="8" t="n">
        <v>2</v>
      </c>
      <c r="D153" s="8" t="inlineStr">
        <is>
          <t>月卡收益 [月卡续费-30元]</t>
        </is>
      </c>
      <c r="E153" s="9">
        <f>K152</f>
        <v/>
      </c>
      <c r="F153" s="9" t="n">
        <v>1540</v>
      </c>
      <c r="G153" s="9" t="n">
        <v>0</v>
      </c>
      <c r="H153" s="9" t="n">
        <v>0</v>
      </c>
      <c r="I153" s="9" t="n">
        <v>0</v>
      </c>
      <c r="J153" s="9" t="n">
        <v>15680</v>
      </c>
      <c r="K153" s="9">
        <f>E153+F153+G153+H153+I153-J153</f>
        <v/>
      </c>
      <c r="L153" s="10">
        <f>Q152</f>
        <v/>
      </c>
      <c r="M153" s="10" t="n">
        <v>0</v>
      </c>
      <c r="N153" s="10" t="n">
        <v>11</v>
      </c>
      <c r="O153" s="10">
        <f>J153/160</f>
        <v/>
      </c>
      <c r="P153" s="10" t="n">
        <v>110</v>
      </c>
      <c r="Q153" s="10">
        <f>L153+M153+N153+O153-P153</f>
        <v/>
      </c>
      <c r="R153" s="11">
        <f>T152</f>
        <v/>
      </c>
      <c r="S153" s="11">
        <f>N(V153) + N(X153) + N(Z153)</f>
        <v/>
      </c>
      <c r="T153" s="11">
        <f>R153+P153-S153</f>
        <v/>
      </c>
      <c r="U153" s="11" t="inlineStr">
        <is>
          <t>是</t>
        </is>
      </c>
      <c r="V153" s="11" t="n">
        <v>53</v>
      </c>
      <c r="W153" s="11" t="inlineStr">
        <is>
          <t>是</t>
        </is>
      </c>
      <c r="X153" s="11" t="n">
        <v>51</v>
      </c>
      <c r="Y153" s="11" t="inlineStr">
        <is>
          <t>-</t>
        </is>
      </c>
      <c r="Z153" s="11" t="n">
        <v>0</v>
      </c>
      <c r="AA153" s="11" t="inlineStr">
        <is>
          <t>无</t>
        </is>
      </c>
      <c r="AB153" s="12">
        <f>AE152</f>
        <v/>
      </c>
      <c r="AC153" s="12" t="n">
        <v>0</v>
      </c>
      <c r="AD153" s="12" t="n">
        <v>0</v>
      </c>
      <c r="AE153" s="12">
        <f>AB153+AC153+AD153</f>
        <v/>
      </c>
      <c r="AF153" s="13">
        <f>AI152</f>
        <v/>
      </c>
      <c r="AG153" s="13" t="n">
        <v>0</v>
      </c>
      <c r="AH153" s="13" t="n">
        <v>0</v>
      </c>
      <c r="AI153" s="13">
        <f>AF153+AG153+AH153</f>
        <v/>
      </c>
      <c r="AJ153" s="14" t="n">
        <v>30</v>
      </c>
      <c r="AK153" s="14" t="n">
        <v>0</v>
      </c>
      <c r="AL153" s="14" t="n">
        <v>0</v>
      </c>
      <c r="AM153" s="14">
        <f>AJ153+AK153+AL153</f>
        <v/>
      </c>
      <c r="AN153" s="14">
        <f>AN152+AM153</f>
        <v/>
      </c>
    </row>
    <row r="154">
      <c r="A154" s="8" t="n">
        <v>6</v>
      </c>
      <c r="B154" s="8" t="n">
        <v>12</v>
      </c>
      <c r="C154" s="8" t="n">
        <v>1</v>
      </c>
      <c r="D154" s="8" t="inlineStr">
        <is>
          <t>版本免费+义相逢 + 月卡收益</t>
        </is>
      </c>
      <c r="E154" s="9">
        <f>K153</f>
        <v/>
      </c>
      <c r="F154" s="9" t="n">
        <v>1540</v>
      </c>
      <c r="G154" s="9" t="n">
        <v>4800</v>
      </c>
      <c r="H154" s="9" t="n">
        <v>0</v>
      </c>
      <c r="I154" s="9" t="n">
        <v>0</v>
      </c>
      <c r="J154" s="9" t="n">
        <v>640</v>
      </c>
      <c r="K154" s="9">
        <f>E154+F154+G154+H154+I154-J154</f>
        <v/>
      </c>
      <c r="L154" s="10">
        <f>Q153</f>
        <v/>
      </c>
      <c r="M154" s="10" t="n">
        <v>85</v>
      </c>
      <c r="N154" s="10" t="n">
        <v>11</v>
      </c>
      <c r="O154" s="10">
        <f>J154/160</f>
        <v/>
      </c>
      <c r="P154" s="10" t="n">
        <v>100</v>
      </c>
      <c r="Q154" s="10">
        <f>L154+M154+N154+O154-P154</f>
        <v/>
      </c>
      <c r="R154" s="11">
        <f>T153</f>
        <v/>
      </c>
      <c r="S154" s="11">
        <f>N(V154) + N(X154) + N(Z154)</f>
        <v/>
      </c>
      <c r="T154" s="11">
        <f>R154+P154-S154</f>
        <v/>
      </c>
      <c r="U154" s="11" t="inlineStr">
        <is>
          <t>是</t>
        </is>
      </c>
      <c r="V154" s="11" t="n">
        <v>50</v>
      </c>
      <c r="W154" s="11" t="inlineStr">
        <is>
          <t>是</t>
        </is>
      </c>
      <c r="X154" s="11" t="n">
        <v>55</v>
      </c>
      <c r="Y154" s="11" t="inlineStr">
        <is>
          <t>-</t>
        </is>
      </c>
      <c r="Z154" s="11" t="n">
        <v>0</v>
      </c>
      <c r="AA154" s="11" t="inlineStr">
        <is>
          <t>无</t>
        </is>
      </c>
      <c r="AB154" s="12">
        <f>AE153</f>
        <v/>
      </c>
      <c r="AC154" s="12" t="n">
        <v>4</v>
      </c>
      <c r="AD154" s="12" t="n">
        <v>0</v>
      </c>
      <c r="AE154" s="12">
        <f>AB154+AC154+AD154</f>
        <v/>
      </c>
      <c r="AF154" s="13">
        <f>AI153</f>
        <v/>
      </c>
      <c r="AG154" s="13" t="n">
        <v>0</v>
      </c>
      <c r="AH154" s="13" t="n">
        <v>0</v>
      </c>
      <c r="AI154" s="13">
        <f>AF154+AG154+AH154</f>
        <v/>
      </c>
      <c r="AJ154" s="14" t="n">
        <v>0</v>
      </c>
      <c r="AK154" s="14" t="n">
        <v>50</v>
      </c>
      <c r="AL154" s="14" t="n">
        <v>0</v>
      </c>
      <c r="AM154" s="14">
        <f>AJ154+AK154+AL154</f>
        <v/>
      </c>
      <c r="AN154" s="14">
        <f>AN153+AM154</f>
        <v/>
      </c>
    </row>
    <row r="155">
      <c r="A155" s="8" t="n">
        <v>6</v>
      </c>
      <c r="B155" s="8" t="n">
        <v>12</v>
      </c>
      <c r="C155" s="8" t="n">
        <v>2</v>
      </c>
      <c r="D155" s="8" t="inlineStr">
        <is>
          <t>月卡收益 [月卡续费-30元]</t>
        </is>
      </c>
      <c r="E155" s="9">
        <f>K154</f>
        <v/>
      </c>
      <c r="F155" s="9" t="n">
        <v>1540</v>
      </c>
      <c r="G155" s="9" t="n">
        <v>0</v>
      </c>
      <c r="H155" s="9" t="n">
        <v>0</v>
      </c>
      <c r="I155" s="9" t="n">
        <v>0</v>
      </c>
      <c r="J155" s="9" t="n">
        <v>9120</v>
      </c>
      <c r="K155" s="9">
        <f>E155+F155+G155+H155+I155-J155</f>
        <v/>
      </c>
      <c r="L155" s="10">
        <f>Q154</f>
        <v/>
      </c>
      <c r="M155" s="10" t="n">
        <v>0</v>
      </c>
      <c r="N155" s="10" t="n">
        <v>6</v>
      </c>
      <c r="O155" s="10">
        <f>J155/160</f>
        <v/>
      </c>
      <c r="P155" s="10" t="n">
        <v>60</v>
      </c>
      <c r="Q155" s="10">
        <f>L155+M155+N155+O155-P155</f>
        <v/>
      </c>
      <c r="R155" s="11">
        <f>T154</f>
        <v/>
      </c>
      <c r="S155" s="11">
        <f>N(V155) + N(X155) + N(Z155)</f>
        <v/>
      </c>
      <c r="T155" s="11">
        <f>R155+P155-S155</f>
        <v/>
      </c>
      <c r="U155" s="11" t="inlineStr">
        <is>
          <t>是</t>
        </is>
      </c>
      <c r="V155" s="11" t="n">
        <v>48</v>
      </c>
      <c r="W155" s="11" t="inlineStr">
        <is>
          <t>否</t>
        </is>
      </c>
      <c r="X155" s="11" t="inlineStr">
        <is>
          <t>-</t>
        </is>
      </c>
      <c r="Y155" s="11" t="inlineStr">
        <is>
          <t>-</t>
        </is>
      </c>
      <c r="Z155" s="11" t="n">
        <v>0</v>
      </c>
      <c r="AA155" s="11" t="inlineStr">
        <is>
          <t>垫到60抽</t>
        </is>
      </c>
      <c r="AB155" s="12">
        <f>AE154</f>
        <v/>
      </c>
      <c r="AC155" s="12" t="n">
        <v>0</v>
      </c>
      <c r="AD155" s="12" t="n">
        <v>0</v>
      </c>
      <c r="AE155" s="12">
        <f>AB155+AC155+AD155</f>
        <v/>
      </c>
      <c r="AF155" s="13">
        <f>AI154</f>
        <v/>
      </c>
      <c r="AG155" s="13" t="n">
        <v>0</v>
      </c>
      <c r="AH155" s="13" t="n">
        <v>0</v>
      </c>
      <c r="AI155" s="13">
        <f>AF155+AG155+AH155</f>
        <v/>
      </c>
      <c r="AJ155" s="14" t="n">
        <v>30</v>
      </c>
      <c r="AK155" s="14" t="n">
        <v>0</v>
      </c>
      <c r="AL155" s="14" t="n">
        <v>0</v>
      </c>
      <c r="AM155" s="14">
        <f>AJ155+AK155+AL155</f>
        <v/>
      </c>
      <c r="AN155" s="14">
        <f>AN154+AM155</f>
        <v/>
      </c>
    </row>
    <row r="156">
      <c r="A156" s="8" t="n">
        <v>6</v>
      </c>
      <c r="B156" s="8" t="n">
        <v>13</v>
      </c>
      <c r="C156" s="8" t="n">
        <v>1</v>
      </c>
      <c r="D156" s="8" t="inlineStr">
        <is>
          <t>版本免费+义相逢 + 月卡收益</t>
        </is>
      </c>
      <c r="E156" s="9">
        <f>K155</f>
        <v/>
      </c>
      <c r="F156" s="9" t="n">
        <v>1540</v>
      </c>
      <c r="G156" s="9" t="n">
        <v>4800</v>
      </c>
      <c r="H156" s="9" t="n">
        <v>0</v>
      </c>
      <c r="I156" s="9" t="n">
        <v>0</v>
      </c>
      <c r="J156" s="9" t="n">
        <v>0</v>
      </c>
      <c r="K156" s="9">
        <f>E156+F156+G156+H156+I156-J156</f>
        <v/>
      </c>
      <c r="L156" s="10">
        <f>Q155</f>
        <v/>
      </c>
      <c r="M156" s="10" t="n">
        <v>85</v>
      </c>
      <c r="N156" s="10" t="n">
        <v>11</v>
      </c>
      <c r="O156" s="10">
        <f>J156/160</f>
        <v/>
      </c>
      <c r="P156" s="10" t="n">
        <v>90</v>
      </c>
      <c r="Q156" s="10">
        <f>L156+M156+N156+O156-P156</f>
        <v/>
      </c>
      <c r="R156" s="11">
        <f>T155</f>
        <v/>
      </c>
      <c r="S156" s="11">
        <f>N(V156) + N(X156) + N(Z156)</f>
        <v/>
      </c>
      <c r="T156" s="11">
        <f>R156+P156-S156</f>
        <v/>
      </c>
      <c r="U156" s="11" t="inlineStr">
        <is>
          <t>是</t>
        </is>
      </c>
      <c r="V156" s="11" t="n">
        <v>47</v>
      </c>
      <c r="W156" s="11" t="inlineStr">
        <is>
          <t>是</t>
        </is>
      </c>
      <c r="X156" s="11" t="n">
        <v>51</v>
      </c>
      <c r="Y156" s="11" t="inlineStr">
        <is>
          <t>-</t>
        </is>
      </c>
      <c r="Z156" s="11" t="n">
        <v>0</v>
      </c>
      <c r="AA156" s="11" t="inlineStr">
        <is>
          <t>无</t>
        </is>
      </c>
      <c r="AB156" s="12">
        <f>AE155</f>
        <v/>
      </c>
      <c r="AC156" s="12" t="n">
        <v>4</v>
      </c>
      <c r="AD156" s="12" t="n">
        <v>0</v>
      </c>
      <c r="AE156" s="12">
        <f>AB156+AC156+AD156</f>
        <v/>
      </c>
      <c r="AF156" s="13">
        <f>AI155</f>
        <v/>
      </c>
      <c r="AG156" s="13" t="n">
        <v>0</v>
      </c>
      <c r="AH156" s="13" t="n">
        <v>0</v>
      </c>
      <c r="AI156" s="13">
        <f>AF156+AG156+AH156</f>
        <v/>
      </c>
      <c r="AJ156" s="14" t="n">
        <v>0</v>
      </c>
      <c r="AK156" s="14" t="n">
        <v>50</v>
      </c>
      <c r="AL156" s="14" t="n">
        <v>0</v>
      </c>
      <c r="AM156" s="14">
        <f>AJ156+AK156+AL156</f>
        <v/>
      </c>
      <c r="AN156" s="14">
        <f>AN155+AM156</f>
        <v/>
      </c>
    </row>
    <row r="157">
      <c r="A157" s="8" t="n">
        <v>6</v>
      </c>
      <c r="B157" s="8" t="n">
        <v>13</v>
      </c>
      <c r="C157" s="8" t="n">
        <v>2</v>
      </c>
      <c r="D157" s="8" t="inlineStr">
        <is>
          <t>月卡收益 [月卡续费-30元]</t>
        </is>
      </c>
      <c r="E157" s="9">
        <f>K156</f>
        <v/>
      </c>
      <c r="F157" s="9" t="n">
        <v>1540</v>
      </c>
      <c r="G157" s="9" t="n">
        <v>0</v>
      </c>
      <c r="H157" s="9" t="n">
        <v>0</v>
      </c>
      <c r="I157" s="9" t="n">
        <v>0</v>
      </c>
      <c r="J157" s="9" t="n">
        <v>10400</v>
      </c>
      <c r="K157" s="9">
        <f>E157+F157+G157+H157+I157-J157</f>
        <v/>
      </c>
      <c r="L157" s="10">
        <f>Q156</f>
        <v/>
      </c>
      <c r="M157" s="10" t="n">
        <v>0</v>
      </c>
      <c r="N157" s="10" t="n">
        <v>6</v>
      </c>
      <c r="O157" s="10">
        <f>J157/160</f>
        <v/>
      </c>
      <c r="P157" s="10" t="n">
        <v>80</v>
      </c>
      <c r="Q157" s="10">
        <f>L157+M157+N157+O157-P157</f>
        <v/>
      </c>
      <c r="R157" s="11">
        <f>T156</f>
        <v/>
      </c>
      <c r="S157" s="11">
        <f>N(V157) + N(X157) + N(Z157)</f>
        <v/>
      </c>
      <c r="T157" s="11">
        <f>R157+P157-S157</f>
        <v/>
      </c>
      <c r="U157" s="11" t="inlineStr">
        <is>
          <t>否</t>
        </is>
      </c>
      <c r="V157" s="11" t="inlineStr">
        <is>
          <t>-</t>
        </is>
      </c>
      <c r="W157" s="11" t="inlineStr">
        <is>
          <t>是</t>
        </is>
      </c>
      <c r="X157" s="11" t="n">
        <v>51</v>
      </c>
      <c r="Y157" s="11" t="inlineStr">
        <is>
          <t>-</t>
        </is>
      </c>
      <c r="Z157" s="11" t="n">
        <v>0</v>
      </c>
      <c r="AA157" s="11" t="inlineStr">
        <is>
          <t>无</t>
        </is>
      </c>
      <c r="AB157" s="12">
        <f>AE156</f>
        <v/>
      </c>
      <c r="AC157" s="12" t="n">
        <v>0</v>
      </c>
      <c r="AD157" s="12" t="n">
        <v>0</v>
      </c>
      <c r="AE157" s="12">
        <f>AB157+AC157+AD157</f>
        <v/>
      </c>
      <c r="AF157" s="13">
        <f>AI156</f>
        <v/>
      </c>
      <c r="AG157" s="13" t="n">
        <v>0</v>
      </c>
      <c r="AH157" s="13" t="n">
        <v>0</v>
      </c>
      <c r="AI157" s="13">
        <f>AF157+AG157+AH157</f>
        <v/>
      </c>
      <c r="AJ157" s="14" t="n">
        <v>30</v>
      </c>
      <c r="AK157" s="14" t="n">
        <v>0</v>
      </c>
      <c r="AL157" s="14" t="n">
        <v>0</v>
      </c>
      <c r="AM157" s="14">
        <f>AJ157+AK157+AL157</f>
        <v/>
      </c>
      <c r="AN157" s="14">
        <f>AN156+AM157</f>
        <v/>
      </c>
    </row>
    <row r="158">
      <c r="A158" s="8" t="n">
        <v>7</v>
      </c>
      <c r="B158" s="8" t="n">
        <v>1</v>
      </c>
      <c r="C158" s="8" t="n">
        <v>1</v>
      </c>
      <c r="D158" s="8" t="inlineStr">
        <is>
          <t>版本免费+义相逢 + 月卡收益</t>
        </is>
      </c>
      <c r="E158" s="9" t="n">
        <v>560</v>
      </c>
      <c r="F158" s="9" t="n">
        <v>1540</v>
      </c>
      <c r="G158" s="9" t="n">
        <v>4800</v>
      </c>
      <c r="H158" s="9" t="n">
        <v>0</v>
      </c>
      <c r="I158" s="9" t="n">
        <v>0</v>
      </c>
      <c r="J158" s="9" t="n">
        <v>0</v>
      </c>
      <c r="K158" s="9">
        <f>E158+F158+G158+H158+I158-J158</f>
        <v/>
      </c>
      <c r="L158" s="10" t="n">
        <v>0</v>
      </c>
      <c r="M158" s="10" t="n">
        <v>85</v>
      </c>
      <c r="N158" s="10" t="n">
        <v>1</v>
      </c>
      <c r="O158" s="10">
        <f>J158/160</f>
        <v/>
      </c>
      <c r="P158" s="10" t="n">
        <v>20</v>
      </c>
      <c r="Q158" s="10">
        <f>L158+M158+N158+O158-P158</f>
        <v/>
      </c>
      <c r="R158" s="11" t="n">
        <v>37</v>
      </c>
      <c r="S158" s="11">
        <f>N(V158) + N(X158) + N(Z158)</f>
        <v/>
      </c>
      <c r="T158" s="11">
        <f>R158+P158-S158</f>
        <v/>
      </c>
      <c r="U158" s="11" t="inlineStr">
        <is>
          <t>是</t>
        </is>
      </c>
      <c r="V158" s="11" t="n">
        <v>51</v>
      </c>
      <c r="W158" s="11" t="inlineStr">
        <is>
          <t>否</t>
        </is>
      </c>
      <c r="X158" s="11" t="inlineStr">
        <is>
          <t>-</t>
        </is>
      </c>
      <c r="Y158" s="11" t="inlineStr">
        <is>
          <t>-</t>
        </is>
      </c>
      <c r="Z158" s="11" t="n">
        <v>0</v>
      </c>
      <c r="AA158" s="11" t="inlineStr">
        <is>
          <t>无</t>
        </is>
      </c>
      <c r="AB158" s="12" t="n">
        <v>321</v>
      </c>
      <c r="AC158" s="12" t="n">
        <v>4</v>
      </c>
      <c r="AD158" s="12" t="n">
        <v>0</v>
      </c>
      <c r="AE158" s="12">
        <f>AB158+AC158+AD158</f>
        <v/>
      </c>
      <c r="AF158" s="13" t="n">
        <v>45000</v>
      </c>
      <c r="AG158" s="13" t="n">
        <v>0</v>
      </c>
      <c r="AH158" s="13" t="n">
        <v>0</v>
      </c>
      <c r="AI158" s="13">
        <f>AF158+AG158+AH158</f>
        <v/>
      </c>
      <c r="AJ158" s="14" t="n">
        <v>0</v>
      </c>
      <c r="AK158" s="14" t="n">
        <v>50</v>
      </c>
      <c r="AL158" s="14" t="n">
        <v>0</v>
      </c>
      <c r="AM158" s="14">
        <f>AJ158+AK158+AL158</f>
        <v/>
      </c>
      <c r="AN158" s="14">
        <f>AM158</f>
        <v/>
      </c>
    </row>
    <row r="159">
      <c r="A159" s="8" t="n">
        <v>7</v>
      </c>
      <c r="B159" s="8" t="n">
        <v>1</v>
      </c>
      <c r="C159" s="8" t="n">
        <v>2</v>
      </c>
      <c r="D159" s="8" t="inlineStr">
        <is>
          <t>月卡收益 [月卡续费-30元]</t>
        </is>
      </c>
      <c r="E159" s="9">
        <f>K158</f>
        <v/>
      </c>
      <c r="F159" s="9" t="n">
        <v>1540</v>
      </c>
      <c r="G159" s="9" t="n">
        <v>0</v>
      </c>
      <c r="H159" s="9" t="n">
        <v>0</v>
      </c>
      <c r="I159" s="9" t="n">
        <v>0</v>
      </c>
      <c r="J159" s="9" t="n">
        <v>0</v>
      </c>
      <c r="K159" s="9">
        <f>E159+F159+G159+H159+I159-J159</f>
        <v/>
      </c>
      <c r="L159" s="10">
        <f>Q158</f>
        <v/>
      </c>
      <c r="M159" s="10" t="n">
        <v>0</v>
      </c>
      <c r="N159" s="10" t="n">
        <v>6</v>
      </c>
      <c r="O159" s="10">
        <f>J159/160</f>
        <v/>
      </c>
      <c r="P159" s="10" t="n">
        <v>60</v>
      </c>
      <c r="Q159" s="10">
        <f>L159+M159+N159+O159-P159</f>
        <v/>
      </c>
      <c r="R159" s="11">
        <f>T158</f>
        <v/>
      </c>
      <c r="S159" s="11">
        <f>N(V159) + N(X159) + N(Z159)</f>
        <v/>
      </c>
      <c r="T159" s="11">
        <f>R159+P159-S159</f>
        <v/>
      </c>
      <c r="U159" s="11" t="inlineStr">
        <is>
          <t>是</t>
        </is>
      </c>
      <c r="V159" s="11" t="n">
        <v>6</v>
      </c>
      <c r="W159" s="11" t="inlineStr">
        <is>
          <t>是</t>
        </is>
      </c>
      <c r="X159" s="11" t="n">
        <v>49</v>
      </c>
      <c r="Y159" s="11" t="inlineStr">
        <is>
          <t>-</t>
        </is>
      </c>
      <c r="Z159" s="11" t="n">
        <v>0</v>
      </c>
      <c r="AA159" s="11" t="inlineStr">
        <is>
          <t>垫到60抽</t>
        </is>
      </c>
      <c r="AB159" s="12">
        <f>AE158</f>
        <v/>
      </c>
      <c r="AC159" s="12" t="n">
        <v>0</v>
      </c>
      <c r="AD159" s="12" t="n">
        <v>0</v>
      </c>
      <c r="AE159" s="12">
        <f>AB159+AC159+AD159</f>
        <v/>
      </c>
      <c r="AF159" s="13">
        <f>AI158</f>
        <v/>
      </c>
      <c r="AG159" s="13" t="n">
        <v>0</v>
      </c>
      <c r="AH159" s="13" t="n">
        <v>0</v>
      </c>
      <c r="AI159" s="13">
        <f>AF159+AG159+AH159</f>
        <v/>
      </c>
      <c r="AJ159" s="14" t="n">
        <v>30</v>
      </c>
      <c r="AK159" s="14" t="n">
        <v>0</v>
      </c>
      <c r="AL159" s="14" t="n">
        <v>0</v>
      </c>
      <c r="AM159" s="14">
        <f>AJ159+AK159+AL159</f>
        <v/>
      </c>
      <c r="AN159" s="14">
        <f>AN158+AM159</f>
        <v/>
      </c>
    </row>
    <row r="160">
      <c r="A160" s="8" t="n">
        <v>7</v>
      </c>
      <c r="B160" s="8" t="n">
        <v>2</v>
      </c>
      <c r="C160" s="8" t="n">
        <v>1</v>
      </c>
      <c r="D160" s="8" t="inlineStr">
        <is>
          <t>版本免费+义相逢 + 月卡收益</t>
        </is>
      </c>
      <c r="E160" s="9">
        <f>K159</f>
        <v/>
      </c>
      <c r="F160" s="9" t="n">
        <v>1540</v>
      </c>
      <c r="G160" s="9" t="n">
        <v>4800</v>
      </c>
      <c r="H160" s="9" t="n">
        <v>0</v>
      </c>
      <c r="I160" s="9" t="n">
        <v>0</v>
      </c>
      <c r="J160" s="9" t="n">
        <v>0</v>
      </c>
      <c r="K160" s="9">
        <f>E160+F160+G160+H160+I160-J160</f>
        <v/>
      </c>
      <c r="L160" s="10">
        <f>Q159</f>
        <v/>
      </c>
      <c r="M160" s="10" t="n">
        <v>85</v>
      </c>
      <c r="N160" s="10" t="n">
        <v>3</v>
      </c>
      <c r="O160" s="10">
        <f>J160/160</f>
        <v/>
      </c>
      <c r="P160" s="10" t="n">
        <v>40</v>
      </c>
      <c r="Q160" s="10">
        <f>L160+M160+N160+O160-P160</f>
        <v/>
      </c>
      <c r="R160" s="11">
        <f>T159</f>
        <v/>
      </c>
      <c r="S160" s="11">
        <f>N(V160) + N(X160) + N(Z160)</f>
        <v/>
      </c>
      <c r="T160" s="11">
        <f>R160+P160-S160</f>
        <v/>
      </c>
      <c r="U160" s="11" t="inlineStr">
        <is>
          <t>是</t>
        </is>
      </c>
      <c r="V160" s="11" t="n">
        <v>49</v>
      </c>
      <c r="W160" s="11" t="inlineStr">
        <is>
          <t>否</t>
        </is>
      </c>
      <c r="X160" s="11" t="inlineStr">
        <is>
          <t>-</t>
        </is>
      </c>
      <c r="Y160" s="11" t="inlineStr">
        <is>
          <t>-</t>
        </is>
      </c>
      <c r="Z160" s="11" t="n">
        <v>0</v>
      </c>
      <c r="AA160" s="11" t="inlineStr">
        <is>
          <t>无</t>
        </is>
      </c>
      <c r="AB160" s="12">
        <f>AE159</f>
        <v/>
      </c>
      <c r="AC160" s="12" t="n">
        <v>4</v>
      </c>
      <c r="AD160" s="12" t="n">
        <v>0</v>
      </c>
      <c r="AE160" s="12">
        <f>AB160+AC160+AD160</f>
        <v/>
      </c>
      <c r="AF160" s="13">
        <f>AI159</f>
        <v/>
      </c>
      <c r="AG160" s="13" t="n">
        <v>0</v>
      </c>
      <c r="AH160" s="13" t="n">
        <v>0</v>
      </c>
      <c r="AI160" s="13">
        <f>AF160+AG160+AH160</f>
        <v/>
      </c>
      <c r="AJ160" s="14" t="n">
        <v>0</v>
      </c>
      <c r="AK160" s="14" t="n">
        <v>50</v>
      </c>
      <c r="AL160" s="14" t="n">
        <v>0</v>
      </c>
      <c r="AM160" s="14">
        <f>AJ160+AK160+AL160</f>
        <v/>
      </c>
      <c r="AN160" s="14">
        <f>AN159+AM160</f>
        <v/>
      </c>
    </row>
    <row r="161">
      <c r="A161" s="8" t="n">
        <v>7</v>
      </c>
      <c r="B161" s="8" t="n">
        <v>2</v>
      </c>
      <c r="C161" s="8" t="n">
        <v>2</v>
      </c>
      <c r="D161" s="8" t="inlineStr">
        <is>
          <t>月卡收益 [月卡续费-30元]</t>
        </is>
      </c>
      <c r="E161" s="9">
        <f>K160</f>
        <v/>
      </c>
      <c r="F161" s="9" t="n">
        <v>1540</v>
      </c>
      <c r="G161" s="9" t="n">
        <v>0</v>
      </c>
      <c r="H161" s="9" t="n">
        <v>0</v>
      </c>
      <c r="I161" s="9" t="n">
        <v>0</v>
      </c>
      <c r="J161" s="9" t="n">
        <v>0</v>
      </c>
      <c r="K161" s="9">
        <f>E161+F161+G161+H161+I161-J161</f>
        <v/>
      </c>
      <c r="L161" s="10">
        <f>Q160</f>
        <v/>
      </c>
      <c r="M161" s="10" t="n">
        <v>0</v>
      </c>
      <c r="N161" s="10" t="n">
        <v>1</v>
      </c>
      <c r="O161" s="10">
        <f>J161/160</f>
        <v/>
      </c>
      <c r="P161" s="10" t="n">
        <v>20</v>
      </c>
      <c r="Q161" s="10">
        <f>L161+M161+N161+O161-P161</f>
        <v/>
      </c>
      <c r="R161" s="11">
        <f>T160</f>
        <v/>
      </c>
      <c r="S161" s="11">
        <f>N(V161) + N(X161) + N(Z161)</f>
        <v/>
      </c>
      <c r="T161" s="11">
        <f>R161+P161-S161</f>
        <v/>
      </c>
      <c r="U161" s="11" t="inlineStr">
        <is>
          <t>是</t>
        </is>
      </c>
      <c r="V161" s="11" t="n">
        <v>15</v>
      </c>
      <c r="W161" s="11" t="inlineStr">
        <is>
          <t>否</t>
        </is>
      </c>
      <c r="X161" s="11" t="inlineStr">
        <is>
          <t>-</t>
        </is>
      </c>
      <c r="Y161" s="11" t="inlineStr">
        <is>
          <t>-</t>
        </is>
      </c>
      <c r="Z161" s="11" t="n">
        <v>0</v>
      </c>
      <c r="AA161" s="11" t="inlineStr">
        <is>
          <t>无</t>
        </is>
      </c>
      <c r="AB161" s="12">
        <f>AE160</f>
        <v/>
      </c>
      <c r="AC161" s="12" t="n">
        <v>0</v>
      </c>
      <c r="AD161" s="12" t="n">
        <v>0</v>
      </c>
      <c r="AE161" s="12">
        <f>AB161+AC161+AD161</f>
        <v/>
      </c>
      <c r="AF161" s="13">
        <f>AI160</f>
        <v/>
      </c>
      <c r="AG161" s="13" t="n">
        <v>0</v>
      </c>
      <c r="AH161" s="13" t="n">
        <v>0</v>
      </c>
      <c r="AI161" s="13">
        <f>AF161+AG161+AH161</f>
        <v/>
      </c>
      <c r="AJ161" s="14" t="n">
        <v>30</v>
      </c>
      <c r="AK161" s="14" t="n">
        <v>0</v>
      </c>
      <c r="AL161" s="14" t="n">
        <v>0</v>
      </c>
      <c r="AM161" s="14">
        <f>AJ161+AK161+AL161</f>
        <v/>
      </c>
      <c r="AN161" s="14">
        <f>AN160+AM161</f>
        <v/>
      </c>
    </row>
    <row r="162">
      <c r="A162" s="8" t="n">
        <v>7</v>
      </c>
      <c r="B162" s="8" t="n">
        <v>3</v>
      </c>
      <c r="C162" s="8" t="n">
        <v>1</v>
      </c>
      <c r="D162" s="8" t="inlineStr">
        <is>
          <t>版本免费+义相逢 + 月卡收益</t>
        </is>
      </c>
      <c r="E162" s="9">
        <f>K161</f>
        <v/>
      </c>
      <c r="F162" s="9" t="n">
        <v>1540</v>
      </c>
      <c r="G162" s="9" t="n">
        <v>4800</v>
      </c>
      <c r="H162" s="9" t="n">
        <v>0</v>
      </c>
      <c r="I162" s="9" t="n">
        <v>0</v>
      </c>
      <c r="J162" s="9" t="n">
        <v>0</v>
      </c>
      <c r="K162" s="9">
        <f>E162+F162+G162+H162+I162-J162</f>
        <v/>
      </c>
      <c r="L162" s="10">
        <f>Q161</f>
        <v/>
      </c>
      <c r="M162" s="10" t="n">
        <v>85</v>
      </c>
      <c r="N162" s="10" t="n">
        <v>6</v>
      </c>
      <c r="O162" s="10">
        <f>J162/160</f>
        <v/>
      </c>
      <c r="P162" s="10" t="n">
        <v>60</v>
      </c>
      <c r="Q162" s="10">
        <f>L162+M162+N162+O162-P162</f>
        <v/>
      </c>
      <c r="R162" s="11">
        <f>T161</f>
        <v/>
      </c>
      <c r="S162" s="11">
        <f>N(V162) + N(X162) + N(Z162)</f>
        <v/>
      </c>
      <c r="T162" s="11">
        <f>R162+P162-S162</f>
        <v/>
      </c>
      <c r="U162" s="11" t="inlineStr">
        <is>
          <t>是</t>
        </is>
      </c>
      <c r="V162" s="11" t="n">
        <v>48</v>
      </c>
      <c r="W162" s="11" t="inlineStr">
        <is>
          <t>否</t>
        </is>
      </c>
      <c r="X162" s="11" t="inlineStr">
        <is>
          <t>-</t>
        </is>
      </c>
      <c r="Y162" s="11" t="inlineStr">
        <is>
          <t>UP(5)</t>
        </is>
      </c>
      <c r="Z162" s="11" t="n">
        <v>5</v>
      </c>
      <c r="AA162" s="11" t="inlineStr">
        <is>
          <t>垫到60抽</t>
        </is>
      </c>
      <c r="AB162" s="12">
        <f>AE161</f>
        <v/>
      </c>
      <c r="AC162" s="12" t="n">
        <v>4</v>
      </c>
      <c r="AD162" s="12" t="n">
        <v>0</v>
      </c>
      <c r="AE162" s="12">
        <f>AB162+AC162+AD162</f>
        <v/>
      </c>
      <c r="AF162" s="13">
        <f>AI161</f>
        <v/>
      </c>
      <c r="AG162" s="13" t="n">
        <v>0</v>
      </c>
      <c r="AH162" s="13" t="n">
        <v>0</v>
      </c>
      <c r="AI162" s="13">
        <f>AF162+AG162+AH162</f>
        <v/>
      </c>
      <c r="AJ162" s="14" t="n">
        <v>0</v>
      </c>
      <c r="AK162" s="14" t="n">
        <v>50</v>
      </c>
      <c r="AL162" s="14" t="n">
        <v>0</v>
      </c>
      <c r="AM162" s="14">
        <f>AJ162+AK162+AL162</f>
        <v/>
      </c>
      <c r="AN162" s="14">
        <f>AN161+AM162</f>
        <v/>
      </c>
    </row>
    <row r="163">
      <c r="A163" s="8" t="n">
        <v>7</v>
      </c>
      <c r="B163" s="8" t="n">
        <v>3</v>
      </c>
      <c r="C163" s="8" t="n">
        <v>2</v>
      </c>
      <c r="D163" s="8" t="inlineStr">
        <is>
          <t>月卡收益 [月卡续费-30元]</t>
        </is>
      </c>
      <c r="E163" s="9">
        <f>K162</f>
        <v/>
      </c>
      <c r="F163" s="9" t="n">
        <v>1540</v>
      </c>
      <c r="G163" s="9" t="n">
        <v>0</v>
      </c>
      <c r="H163" s="9" t="n">
        <v>0</v>
      </c>
      <c r="I163" s="9" t="n">
        <v>0</v>
      </c>
      <c r="J163" s="9" t="n">
        <v>0</v>
      </c>
      <c r="K163" s="9">
        <f>E163+F163+G163+H163+I163-J163</f>
        <v/>
      </c>
      <c r="L163" s="10">
        <f>Q162</f>
        <v/>
      </c>
      <c r="M163" s="10" t="n">
        <v>0</v>
      </c>
      <c r="N163" s="10" t="n">
        <v>6</v>
      </c>
      <c r="O163" s="10">
        <f>J163/160</f>
        <v/>
      </c>
      <c r="P163" s="10" t="n">
        <v>60</v>
      </c>
      <c r="Q163" s="10">
        <f>L163+M163+N163+O163-P163</f>
        <v/>
      </c>
      <c r="R163" s="11">
        <f>T162</f>
        <v/>
      </c>
      <c r="S163" s="11">
        <f>N(V163) + N(X163) + N(Z163)</f>
        <v/>
      </c>
      <c r="T163" s="11">
        <f>R163+P163-S163</f>
        <v/>
      </c>
      <c r="U163" s="11" t="inlineStr">
        <is>
          <t>是</t>
        </is>
      </c>
      <c r="V163" s="11" t="n">
        <v>6</v>
      </c>
      <c r="W163" s="11" t="inlineStr">
        <is>
          <t>是</t>
        </is>
      </c>
      <c r="X163" s="11" t="n">
        <v>51</v>
      </c>
      <c r="Y163" s="11" t="inlineStr">
        <is>
          <t>-</t>
        </is>
      </c>
      <c r="Z163" s="11" t="n">
        <v>0</v>
      </c>
      <c r="AA163" s="11" t="inlineStr">
        <is>
          <t>垫到60抽</t>
        </is>
      </c>
      <c r="AB163" s="12">
        <f>AE162</f>
        <v/>
      </c>
      <c r="AC163" s="12" t="n">
        <v>0</v>
      </c>
      <c r="AD163" s="12" t="n">
        <v>0</v>
      </c>
      <c r="AE163" s="12">
        <f>AB163+AC163+AD163</f>
        <v/>
      </c>
      <c r="AF163" s="13">
        <f>AI162</f>
        <v/>
      </c>
      <c r="AG163" s="13" t="n">
        <v>0</v>
      </c>
      <c r="AH163" s="13" t="n">
        <v>0</v>
      </c>
      <c r="AI163" s="13">
        <f>AF163+AG163+AH163</f>
        <v/>
      </c>
      <c r="AJ163" s="14" t="n">
        <v>30</v>
      </c>
      <c r="AK163" s="14" t="n">
        <v>0</v>
      </c>
      <c r="AL163" s="14" t="n">
        <v>0</v>
      </c>
      <c r="AM163" s="14">
        <f>AJ163+AK163+AL163</f>
        <v/>
      </c>
      <c r="AN163" s="14">
        <f>AN162+AM163</f>
        <v/>
      </c>
    </row>
    <row r="164">
      <c r="A164" s="8" t="n">
        <v>7</v>
      </c>
      <c r="B164" s="8" t="n">
        <v>4</v>
      </c>
      <c r="C164" s="8" t="n">
        <v>1</v>
      </c>
      <c r="D164" s="8" t="inlineStr">
        <is>
          <t>版本免费+义相逢 + 月卡收益</t>
        </is>
      </c>
      <c r="E164" s="9">
        <f>K163</f>
        <v/>
      </c>
      <c r="F164" s="9" t="n">
        <v>1540</v>
      </c>
      <c r="G164" s="9" t="n">
        <v>4800</v>
      </c>
      <c r="H164" s="9" t="n">
        <v>0</v>
      </c>
      <c r="I164" s="9" t="n">
        <v>0</v>
      </c>
      <c r="J164" s="9" t="n">
        <v>0</v>
      </c>
      <c r="K164" s="9">
        <f>E164+F164+G164+H164+I164-J164</f>
        <v/>
      </c>
      <c r="L164" s="10">
        <f>Q163</f>
        <v/>
      </c>
      <c r="M164" s="10" t="n">
        <v>85</v>
      </c>
      <c r="N164" s="10" t="n">
        <v>11</v>
      </c>
      <c r="O164" s="10">
        <f>J164/160</f>
        <v/>
      </c>
      <c r="P164" s="10" t="n">
        <v>90</v>
      </c>
      <c r="Q164" s="10">
        <f>L164+M164+N164+O164-P164</f>
        <v/>
      </c>
      <c r="R164" s="11">
        <f>T163</f>
        <v/>
      </c>
      <c r="S164" s="11">
        <f>N(V164) + N(X164) + N(Z164)</f>
        <v/>
      </c>
      <c r="T164" s="11">
        <f>R164+P164-S164</f>
        <v/>
      </c>
      <c r="U164" s="11" t="inlineStr">
        <is>
          <t>是</t>
        </is>
      </c>
      <c r="V164" s="11" t="n">
        <v>51</v>
      </c>
      <c r="W164" s="11" t="inlineStr">
        <is>
          <t>是</t>
        </is>
      </c>
      <c r="X164" s="11" t="n">
        <v>46</v>
      </c>
      <c r="Y164" s="11" t="inlineStr">
        <is>
          <t>-</t>
        </is>
      </c>
      <c r="Z164" s="11" t="n">
        <v>0</v>
      </c>
      <c r="AA164" s="11" t="inlineStr">
        <is>
          <t>垫到90抽</t>
        </is>
      </c>
      <c r="AB164" s="12">
        <f>AE163</f>
        <v/>
      </c>
      <c r="AC164" s="12" t="n">
        <v>4</v>
      </c>
      <c r="AD164" s="12" t="n">
        <v>0</v>
      </c>
      <c r="AE164" s="12">
        <f>AB164+AC164+AD164</f>
        <v/>
      </c>
      <c r="AF164" s="13">
        <f>AI163</f>
        <v/>
      </c>
      <c r="AG164" s="13" t="n">
        <v>0</v>
      </c>
      <c r="AH164" s="13" t="n">
        <v>0</v>
      </c>
      <c r="AI164" s="13">
        <f>AF164+AG164+AH164</f>
        <v/>
      </c>
      <c r="AJ164" s="14" t="n">
        <v>0</v>
      </c>
      <c r="AK164" s="14" t="n">
        <v>50</v>
      </c>
      <c r="AL164" s="14" t="n">
        <v>0</v>
      </c>
      <c r="AM164" s="14">
        <f>AJ164+AK164+AL164</f>
        <v/>
      </c>
      <c r="AN164" s="14">
        <f>AN163+AM164</f>
        <v/>
      </c>
    </row>
    <row r="165">
      <c r="A165" s="8" t="n">
        <v>7</v>
      </c>
      <c r="B165" s="8" t="n">
        <v>4</v>
      </c>
      <c r="C165" s="8" t="n">
        <v>2</v>
      </c>
      <c r="D165" s="8" t="inlineStr">
        <is>
          <t>月卡收益 [月卡续费-30元]</t>
        </is>
      </c>
      <c r="E165" s="9">
        <f>K164</f>
        <v/>
      </c>
      <c r="F165" s="9" t="n">
        <v>1540</v>
      </c>
      <c r="G165" s="9" t="n">
        <v>0</v>
      </c>
      <c r="H165" s="9" t="n">
        <v>0</v>
      </c>
      <c r="I165" s="9" t="n">
        <v>0</v>
      </c>
      <c r="J165" s="9" t="n">
        <v>9600</v>
      </c>
      <c r="K165" s="9">
        <f>E165+F165+G165+H165+I165-J165</f>
        <v/>
      </c>
      <c r="L165" s="10">
        <f>Q164</f>
        <v/>
      </c>
      <c r="M165" s="10" t="n">
        <v>0</v>
      </c>
      <c r="N165" s="10" t="n">
        <v>11</v>
      </c>
      <c r="O165" s="10">
        <f>J165/160</f>
        <v/>
      </c>
      <c r="P165" s="10" t="n">
        <v>90</v>
      </c>
      <c r="Q165" s="10">
        <f>L165+M165+N165+O165-P165</f>
        <v/>
      </c>
      <c r="R165" s="11">
        <f>T164</f>
        <v/>
      </c>
      <c r="S165" s="11">
        <f>N(V165) + N(X165) + N(Z165)</f>
        <v/>
      </c>
      <c r="T165" s="11">
        <f>R165+P165-S165</f>
        <v/>
      </c>
      <c r="U165" s="11" t="inlineStr">
        <is>
          <t>是</t>
        </is>
      </c>
      <c r="V165" s="11" t="n">
        <v>41</v>
      </c>
      <c r="W165" s="11" t="inlineStr">
        <is>
          <t>是</t>
        </is>
      </c>
      <c r="X165" s="11" t="n">
        <v>51</v>
      </c>
      <c r="Y165" s="11" t="inlineStr">
        <is>
          <t>-</t>
        </is>
      </c>
      <c r="Z165" s="11" t="n">
        <v>0</v>
      </c>
      <c r="AA165" s="11" t="inlineStr">
        <is>
          <t>无</t>
        </is>
      </c>
      <c r="AB165" s="12">
        <f>AE164</f>
        <v/>
      </c>
      <c r="AC165" s="12" t="n">
        <v>0</v>
      </c>
      <c r="AD165" s="12" t="n">
        <v>0</v>
      </c>
      <c r="AE165" s="12">
        <f>AB165+AC165+AD165</f>
        <v/>
      </c>
      <c r="AF165" s="13">
        <f>AI164</f>
        <v/>
      </c>
      <c r="AG165" s="13" t="n">
        <v>0</v>
      </c>
      <c r="AH165" s="13" t="n">
        <v>0</v>
      </c>
      <c r="AI165" s="13">
        <f>AF165+AG165+AH165</f>
        <v/>
      </c>
      <c r="AJ165" s="14" t="n">
        <v>30</v>
      </c>
      <c r="AK165" s="14" t="n">
        <v>0</v>
      </c>
      <c r="AL165" s="14" t="n">
        <v>0</v>
      </c>
      <c r="AM165" s="14">
        <f>AJ165+AK165+AL165</f>
        <v/>
      </c>
      <c r="AN165" s="14">
        <f>AN164+AM165</f>
        <v/>
      </c>
    </row>
    <row r="166">
      <c r="A166" s="8" t="n">
        <v>7</v>
      </c>
      <c r="B166" s="8" t="n">
        <v>5</v>
      </c>
      <c r="C166" s="8" t="n">
        <v>1</v>
      </c>
      <c r="D166" s="8" t="inlineStr">
        <is>
          <t>版本免费+义相逢 + 月卡收益</t>
        </is>
      </c>
      <c r="E166" s="9">
        <f>K165</f>
        <v/>
      </c>
      <c r="F166" s="9" t="n">
        <v>1540</v>
      </c>
      <c r="G166" s="9" t="n">
        <v>4800</v>
      </c>
      <c r="H166" s="9" t="n">
        <v>0</v>
      </c>
      <c r="I166" s="9" t="n">
        <v>0</v>
      </c>
      <c r="J166" s="9" t="n">
        <v>0</v>
      </c>
      <c r="K166" s="9">
        <f>E166+F166+G166+H166+I166-J166</f>
        <v/>
      </c>
      <c r="L166" s="10">
        <f>Q165</f>
        <v/>
      </c>
      <c r="M166" s="10" t="n">
        <v>85</v>
      </c>
      <c r="N166" s="10" t="n">
        <v>3</v>
      </c>
      <c r="O166" s="10">
        <f>J166/160</f>
        <v/>
      </c>
      <c r="P166" s="10" t="n">
        <v>40</v>
      </c>
      <c r="Q166" s="10">
        <f>L166+M166+N166+O166-P166</f>
        <v/>
      </c>
      <c r="R166" s="11">
        <f>T165</f>
        <v/>
      </c>
      <c r="S166" s="11">
        <f>N(V166) + N(X166) + N(Z166)</f>
        <v/>
      </c>
      <c r="T166" s="11">
        <f>R166+P166-S166</f>
        <v/>
      </c>
      <c r="U166" s="11" t="inlineStr">
        <is>
          <t>是</t>
        </is>
      </c>
      <c r="V166" s="11" t="n">
        <v>48</v>
      </c>
      <c r="W166" s="11" t="inlineStr">
        <is>
          <t>否</t>
        </is>
      </c>
      <c r="X166" s="11" t="inlineStr">
        <is>
          <t>-</t>
        </is>
      </c>
      <c r="Y166" s="11" t="inlineStr">
        <is>
          <t>-</t>
        </is>
      </c>
      <c r="Z166" s="11" t="n">
        <v>0</v>
      </c>
      <c r="AA166" s="11" t="inlineStr">
        <is>
          <t>无</t>
        </is>
      </c>
      <c r="AB166" s="12">
        <f>AE165</f>
        <v/>
      </c>
      <c r="AC166" s="12" t="n">
        <v>4</v>
      </c>
      <c r="AD166" s="12" t="n">
        <v>0</v>
      </c>
      <c r="AE166" s="12">
        <f>AB166+AC166+AD166</f>
        <v/>
      </c>
      <c r="AF166" s="13">
        <f>AI165</f>
        <v/>
      </c>
      <c r="AG166" s="13" t="n">
        <v>0</v>
      </c>
      <c r="AH166" s="13" t="n">
        <v>0</v>
      </c>
      <c r="AI166" s="13">
        <f>AF166+AG166+AH166</f>
        <v/>
      </c>
      <c r="AJ166" s="14" t="n">
        <v>0</v>
      </c>
      <c r="AK166" s="14" t="n">
        <v>50</v>
      </c>
      <c r="AL166" s="14" t="n">
        <v>0</v>
      </c>
      <c r="AM166" s="14">
        <f>AJ166+AK166+AL166</f>
        <v/>
      </c>
      <c r="AN166" s="14">
        <f>AN165+AM166</f>
        <v/>
      </c>
    </row>
    <row r="167">
      <c r="A167" s="8" t="n">
        <v>7</v>
      </c>
      <c r="B167" s="8" t="n">
        <v>5</v>
      </c>
      <c r="C167" s="8" t="n">
        <v>2</v>
      </c>
      <c r="D167" s="8" t="inlineStr">
        <is>
          <t>月卡收益</t>
        </is>
      </c>
      <c r="E167" s="9">
        <f>K166</f>
        <v/>
      </c>
      <c r="F167" s="9" t="n">
        <v>1540</v>
      </c>
      <c r="G167" s="9" t="n">
        <v>0</v>
      </c>
      <c r="H167" s="9" t="n">
        <v>0</v>
      </c>
      <c r="I167" s="9" t="n">
        <v>0</v>
      </c>
      <c r="J167" s="9" t="n">
        <v>0</v>
      </c>
      <c r="K167" s="9">
        <f>E167+F167+G167+H167+I167-J167</f>
        <v/>
      </c>
      <c r="L167" s="10">
        <f>Q166</f>
        <v/>
      </c>
      <c r="M167" s="10" t="n">
        <v>0</v>
      </c>
      <c r="N167" s="10" t="n">
        <v>1</v>
      </c>
      <c r="O167" s="10">
        <f>J167/160</f>
        <v/>
      </c>
      <c r="P167" s="10" t="n">
        <v>20</v>
      </c>
      <c r="Q167" s="10">
        <f>L167+M167+N167+O167-P167</f>
        <v/>
      </c>
      <c r="R167" s="11">
        <f>T166</f>
        <v/>
      </c>
      <c r="S167" s="11">
        <f>N(V167) + N(X167) + N(Z167)</f>
        <v/>
      </c>
      <c r="T167" s="11">
        <f>R167+P167-S167</f>
        <v/>
      </c>
      <c r="U167" s="11" t="inlineStr">
        <is>
          <t>是</t>
        </is>
      </c>
      <c r="V167" s="11" t="n">
        <v>15</v>
      </c>
      <c r="W167" s="11" t="inlineStr">
        <is>
          <t>否</t>
        </is>
      </c>
      <c r="X167" s="11" t="inlineStr">
        <is>
          <t>-</t>
        </is>
      </c>
      <c r="Y167" s="11" t="inlineStr">
        <is>
          <t>-</t>
        </is>
      </c>
      <c r="Z167" s="11" t="n">
        <v>0</v>
      </c>
      <c r="AA167" s="11" t="inlineStr">
        <is>
          <t>无</t>
        </is>
      </c>
      <c r="AB167" s="12">
        <f>AE166</f>
        <v/>
      </c>
      <c r="AC167" s="12" t="n">
        <v>0</v>
      </c>
      <c r="AD167" s="12" t="n">
        <v>0</v>
      </c>
      <c r="AE167" s="12">
        <f>AB167+AC167+AD167</f>
        <v/>
      </c>
      <c r="AF167" s="13">
        <f>AI166</f>
        <v/>
      </c>
      <c r="AG167" s="13" t="n">
        <v>0</v>
      </c>
      <c r="AH167" s="13" t="n">
        <v>0</v>
      </c>
      <c r="AI167" s="13">
        <f>AF167+AG167+AH167</f>
        <v/>
      </c>
      <c r="AJ167" s="14" t="n">
        <v>0</v>
      </c>
      <c r="AK167" s="14" t="n">
        <v>0</v>
      </c>
      <c r="AL167" s="14" t="n">
        <v>0</v>
      </c>
      <c r="AM167" s="14">
        <f>AJ167+AK167+AL167</f>
        <v/>
      </c>
      <c r="AN167" s="14">
        <f>AN166+AM167</f>
        <v/>
      </c>
    </row>
    <row r="168">
      <c r="A168" s="8" t="n">
        <v>7</v>
      </c>
      <c r="B168" s="8" t="n">
        <v>6</v>
      </c>
      <c r="C168" s="8" t="n">
        <v>1</v>
      </c>
      <c r="D168" s="8" t="inlineStr">
        <is>
          <t>版本免费+义相逢 + 月卡收益 [月卡续费-30元]</t>
        </is>
      </c>
      <c r="E168" s="9">
        <f>K167</f>
        <v/>
      </c>
      <c r="F168" s="9" t="n">
        <v>1540</v>
      </c>
      <c r="G168" s="9" t="n">
        <v>4800</v>
      </c>
      <c r="H168" s="9" t="n">
        <v>0</v>
      </c>
      <c r="I168" s="9" t="n">
        <v>0</v>
      </c>
      <c r="J168" s="9" t="n">
        <v>9600</v>
      </c>
      <c r="K168" s="9">
        <f>E168+F168+G168+H168+I168-J168</f>
        <v/>
      </c>
      <c r="L168" s="10">
        <f>Q167</f>
        <v/>
      </c>
      <c r="M168" s="10" t="n">
        <v>85</v>
      </c>
      <c r="N168" s="10" t="n">
        <v>21</v>
      </c>
      <c r="O168" s="10">
        <f>J168/160</f>
        <v/>
      </c>
      <c r="P168" s="10" t="n">
        <v>200</v>
      </c>
      <c r="Q168" s="10">
        <f>L168+M168+N168+O168-P168</f>
        <v/>
      </c>
      <c r="R168" s="11">
        <f>T167</f>
        <v/>
      </c>
      <c r="S168" s="11">
        <f>N(V168) + N(X168) + N(Z168)</f>
        <v/>
      </c>
      <c r="T168" s="11">
        <f>R168+P168-S168</f>
        <v/>
      </c>
      <c r="U168" s="11" t="inlineStr">
        <is>
          <t>是</t>
        </is>
      </c>
      <c r="V168" s="11" t="n">
        <v>26</v>
      </c>
      <c r="W168" s="11" t="inlineStr">
        <is>
          <t>是</t>
        </is>
      </c>
      <c r="X168" s="11" t="n">
        <v>51</v>
      </c>
      <c r="Y168" s="11" t="inlineStr">
        <is>
          <t>歪(50), UP(47)</t>
        </is>
      </c>
      <c r="Z168" s="11" t="n">
        <v>97</v>
      </c>
      <c r="AA168" s="11" t="inlineStr">
        <is>
          <t>垫到90抽+冲刺200(动态90)</t>
        </is>
      </c>
      <c r="AB168" s="12">
        <f>AE167</f>
        <v/>
      </c>
      <c r="AC168" s="12" t="n">
        <v>4</v>
      </c>
      <c r="AD168" s="12" t="n">
        <v>1</v>
      </c>
      <c r="AE168" s="12">
        <f>AB168+AC168+AD168</f>
        <v/>
      </c>
      <c r="AF168" s="13">
        <f>AI167</f>
        <v/>
      </c>
      <c r="AG168" s="13" t="n">
        <v>0</v>
      </c>
      <c r="AH168" s="13" t="n">
        <v>5000</v>
      </c>
      <c r="AI168" s="13">
        <f>AF168+AG168+AH168</f>
        <v/>
      </c>
      <c r="AJ168" s="14" t="n">
        <v>30</v>
      </c>
      <c r="AK168" s="14" t="n">
        <v>50</v>
      </c>
      <c r="AL168" s="14" t="n">
        <v>0</v>
      </c>
      <c r="AM168" s="14">
        <f>AJ168+AK168+AL168</f>
        <v/>
      </c>
      <c r="AN168" s="14">
        <f>AN167+AM168</f>
        <v/>
      </c>
    </row>
    <row r="169">
      <c r="A169" s="8" t="n">
        <v>7</v>
      </c>
      <c r="B169" s="8" t="n">
        <v>6</v>
      </c>
      <c r="C169" s="8" t="n">
        <v>2</v>
      </c>
      <c r="D169" s="8" t="inlineStr">
        <is>
          <t>月卡收益</t>
        </is>
      </c>
      <c r="E169" s="9">
        <f>K168</f>
        <v/>
      </c>
      <c r="F169" s="9" t="n">
        <v>1540</v>
      </c>
      <c r="G169" s="9" t="n">
        <v>0</v>
      </c>
      <c r="H169" s="9" t="n">
        <v>0</v>
      </c>
      <c r="I169" s="9" t="n">
        <v>0</v>
      </c>
      <c r="J169" s="9" t="n">
        <v>10240</v>
      </c>
      <c r="K169" s="9">
        <f>E169+F169+G169+H169+I169-J169</f>
        <v/>
      </c>
      <c r="L169" s="10">
        <f>Q168</f>
        <v/>
      </c>
      <c r="M169" s="10" t="n">
        <v>0</v>
      </c>
      <c r="N169" s="10" t="n">
        <v>6</v>
      </c>
      <c r="O169" s="10">
        <f>J169/160</f>
        <v/>
      </c>
      <c r="P169" s="10" t="n">
        <v>70</v>
      </c>
      <c r="Q169" s="10">
        <f>L169+M169+N169+O169-P169</f>
        <v/>
      </c>
      <c r="R169" s="11">
        <f>T168</f>
        <v/>
      </c>
      <c r="S169" s="11">
        <f>N(V169) + N(X169) + N(Z169)</f>
        <v/>
      </c>
      <c r="T169" s="11">
        <f>R169+P169-S169</f>
        <v/>
      </c>
      <c r="U169" s="11" t="inlineStr">
        <is>
          <t>是</t>
        </is>
      </c>
      <c r="V169" s="11" t="n">
        <v>51</v>
      </c>
      <c r="W169" s="11" t="inlineStr">
        <is>
          <t>是</t>
        </is>
      </c>
      <c r="X169" s="11" t="n">
        <v>49</v>
      </c>
      <c r="Y169" s="11" t="inlineStr">
        <is>
          <t>-</t>
        </is>
      </c>
      <c r="Z169" s="11" t="n">
        <v>0</v>
      </c>
      <c r="AA169" s="11" t="inlineStr">
        <is>
          <t>无</t>
        </is>
      </c>
      <c r="AB169" s="12">
        <f>AE168</f>
        <v/>
      </c>
      <c r="AC169" s="12" t="n">
        <v>0</v>
      </c>
      <c r="AD169" s="12" t="n">
        <v>0</v>
      </c>
      <c r="AE169" s="12">
        <f>AB169+AC169+AD169</f>
        <v/>
      </c>
      <c r="AF169" s="13">
        <f>AI168</f>
        <v/>
      </c>
      <c r="AG169" s="13" t="n">
        <v>0</v>
      </c>
      <c r="AH169" s="13" t="n">
        <v>0</v>
      </c>
      <c r="AI169" s="13">
        <f>AF169+AG169+AH169</f>
        <v/>
      </c>
      <c r="AJ169" s="14" t="n">
        <v>0</v>
      </c>
      <c r="AK169" s="14" t="n">
        <v>0</v>
      </c>
      <c r="AL169" s="14" t="n">
        <v>0</v>
      </c>
      <c r="AM169" s="14">
        <f>AJ169+AK169+AL169</f>
        <v/>
      </c>
      <c r="AN169" s="14">
        <f>AN168+AM169</f>
        <v/>
      </c>
    </row>
    <row r="170">
      <c r="A170" s="8" t="n">
        <v>7</v>
      </c>
      <c r="B170" s="8" t="n">
        <v>7</v>
      </c>
      <c r="C170" s="8" t="n">
        <v>1</v>
      </c>
      <c r="D170" s="8" t="inlineStr">
        <is>
          <t>版本免费+义相逢 + 月卡收益 [月卡续费-30元]</t>
        </is>
      </c>
      <c r="E170" s="9">
        <f>K169</f>
        <v/>
      </c>
      <c r="F170" s="9" t="n">
        <v>1540</v>
      </c>
      <c r="G170" s="9" t="n">
        <v>4800</v>
      </c>
      <c r="H170" s="9" t="n">
        <v>0</v>
      </c>
      <c r="I170" s="9" t="n">
        <v>0</v>
      </c>
      <c r="J170" s="9" t="n">
        <v>640</v>
      </c>
      <c r="K170" s="9">
        <f>E170+F170+G170+H170+I170-J170</f>
        <v/>
      </c>
      <c r="L170" s="10">
        <f>Q169</f>
        <v/>
      </c>
      <c r="M170" s="10" t="n">
        <v>85</v>
      </c>
      <c r="N170" s="10" t="n">
        <v>11</v>
      </c>
      <c r="O170" s="10">
        <f>J170/160</f>
        <v/>
      </c>
      <c r="P170" s="10" t="n">
        <v>100</v>
      </c>
      <c r="Q170" s="10">
        <f>L170+M170+N170+O170-P170</f>
        <v/>
      </c>
      <c r="R170" s="11">
        <f>T169</f>
        <v/>
      </c>
      <c r="S170" s="11">
        <f>N(V170) + N(X170) + N(Z170)</f>
        <v/>
      </c>
      <c r="T170" s="11">
        <f>R170+P170-S170</f>
        <v/>
      </c>
      <c r="U170" s="11" t="inlineStr">
        <is>
          <t>是</t>
        </is>
      </c>
      <c r="V170" s="11" t="n">
        <v>48</v>
      </c>
      <c r="W170" s="11" t="inlineStr">
        <is>
          <t>是</t>
        </is>
      </c>
      <c r="X170" s="11" t="n">
        <v>50</v>
      </c>
      <c r="Y170" s="11" t="inlineStr">
        <is>
          <t>-</t>
        </is>
      </c>
      <c r="Z170" s="11" t="n">
        <v>0</v>
      </c>
      <c r="AA170" s="11" t="inlineStr">
        <is>
          <t>无</t>
        </is>
      </c>
      <c r="AB170" s="12">
        <f>AE169</f>
        <v/>
      </c>
      <c r="AC170" s="12" t="n">
        <v>4</v>
      </c>
      <c r="AD170" s="12" t="n">
        <v>0</v>
      </c>
      <c r="AE170" s="12">
        <f>AB170+AC170+AD170</f>
        <v/>
      </c>
      <c r="AF170" s="13">
        <f>AI169</f>
        <v/>
      </c>
      <c r="AG170" s="13" t="n">
        <v>0</v>
      </c>
      <c r="AH170" s="13" t="n">
        <v>0</v>
      </c>
      <c r="AI170" s="13">
        <f>AF170+AG170+AH170</f>
        <v/>
      </c>
      <c r="AJ170" s="14" t="n">
        <v>30</v>
      </c>
      <c r="AK170" s="14" t="n">
        <v>50</v>
      </c>
      <c r="AL170" s="14" t="n">
        <v>0</v>
      </c>
      <c r="AM170" s="14">
        <f>AJ170+AK170+AL170</f>
        <v/>
      </c>
      <c r="AN170" s="14">
        <f>AN169+AM170</f>
        <v/>
      </c>
    </row>
    <row r="171">
      <c r="A171" s="8" t="n">
        <v>7</v>
      </c>
      <c r="B171" s="8" t="n">
        <v>7</v>
      </c>
      <c r="C171" s="8" t="n">
        <v>2</v>
      </c>
      <c r="D171" s="8" t="inlineStr">
        <is>
          <t>月卡收益</t>
        </is>
      </c>
      <c r="E171" s="9">
        <f>K170</f>
        <v/>
      </c>
      <c r="F171" s="9" t="n">
        <v>1540</v>
      </c>
      <c r="G171" s="9" t="n">
        <v>0</v>
      </c>
      <c r="H171" s="9" t="n">
        <v>0</v>
      </c>
      <c r="I171" s="9" t="n">
        <v>0</v>
      </c>
      <c r="J171" s="9" t="n">
        <v>9120</v>
      </c>
      <c r="K171" s="9">
        <f>E171+F171+G171+H171+I171-J171</f>
        <v/>
      </c>
      <c r="L171" s="10">
        <f>Q170</f>
        <v/>
      </c>
      <c r="M171" s="10" t="n">
        <v>0</v>
      </c>
      <c r="N171" s="10" t="n">
        <v>6</v>
      </c>
      <c r="O171" s="10">
        <f>J171/160</f>
        <v/>
      </c>
      <c r="P171" s="10" t="n">
        <v>60</v>
      </c>
      <c r="Q171" s="10">
        <f>L171+M171+N171+O171-P171</f>
        <v/>
      </c>
      <c r="R171" s="11">
        <f>T170</f>
        <v/>
      </c>
      <c r="S171" s="11">
        <f>N(V171) + N(X171) + N(Z171)</f>
        <v/>
      </c>
      <c r="T171" s="11">
        <f>R171+P171-S171</f>
        <v/>
      </c>
      <c r="U171" s="11" t="inlineStr">
        <is>
          <t>是</t>
        </is>
      </c>
      <c r="V171" s="11" t="n">
        <v>48</v>
      </c>
      <c r="W171" s="11" t="inlineStr">
        <is>
          <t>否</t>
        </is>
      </c>
      <c r="X171" s="11" t="inlineStr">
        <is>
          <t>-</t>
        </is>
      </c>
      <c r="Y171" s="11" t="inlineStr">
        <is>
          <t>-</t>
        </is>
      </c>
      <c r="Z171" s="11" t="n">
        <v>0</v>
      </c>
      <c r="AA171" s="11" t="inlineStr">
        <is>
          <t>垫到60抽</t>
        </is>
      </c>
      <c r="AB171" s="12">
        <f>AE170</f>
        <v/>
      </c>
      <c r="AC171" s="12" t="n">
        <v>0</v>
      </c>
      <c r="AD171" s="12" t="n">
        <v>0</v>
      </c>
      <c r="AE171" s="12">
        <f>AB171+AC171+AD171</f>
        <v/>
      </c>
      <c r="AF171" s="13">
        <f>AI170</f>
        <v/>
      </c>
      <c r="AG171" s="13" t="n">
        <v>0</v>
      </c>
      <c r="AH171" s="13" t="n">
        <v>0</v>
      </c>
      <c r="AI171" s="13">
        <f>AF171+AG171+AH171</f>
        <v/>
      </c>
      <c r="AJ171" s="14" t="n">
        <v>0</v>
      </c>
      <c r="AK171" s="14" t="n">
        <v>0</v>
      </c>
      <c r="AL171" s="14" t="n">
        <v>0</v>
      </c>
      <c r="AM171" s="14">
        <f>AJ171+AK171+AL171</f>
        <v/>
      </c>
      <c r="AN171" s="14">
        <f>AN170+AM171</f>
        <v/>
      </c>
    </row>
    <row r="172">
      <c r="A172" s="8" t="n">
        <v>7</v>
      </c>
      <c r="B172" s="8" t="n">
        <v>8</v>
      </c>
      <c r="C172" s="8" t="n">
        <v>1</v>
      </c>
      <c r="D172" s="8" t="inlineStr">
        <is>
          <t>版本免费+义相逢 + 月卡收益 [月卡续费-30元]</t>
        </is>
      </c>
      <c r="E172" s="9">
        <f>K171</f>
        <v/>
      </c>
      <c r="F172" s="9" t="n">
        <v>1540</v>
      </c>
      <c r="G172" s="9" t="n">
        <v>4800</v>
      </c>
      <c r="H172" s="9" t="n">
        <v>0</v>
      </c>
      <c r="I172" s="9" t="n">
        <v>0</v>
      </c>
      <c r="J172" s="9" t="n">
        <v>0</v>
      </c>
      <c r="K172" s="9">
        <f>E172+F172+G172+H172+I172-J172</f>
        <v/>
      </c>
      <c r="L172" s="10">
        <f>Q171</f>
        <v/>
      </c>
      <c r="M172" s="10" t="n">
        <v>85</v>
      </c>
      <c r="N172" s="10" t="n">
        <v>11</v>
      </c>
      <c r="O172" s="10">
        <f>J172/160</f>
        <v/>
      </c>
      <c r="P172" s="10" t="n">
        <v>90</v>
      </c>
      <c r="Q172" s="10">
        <f>L172+M172+N172+O172-P172</f>
        <v/>
      </c>
      <c r="R172" s="11">
        <f>T171</f>
        <v/>
      </c>
      <c r="S172" s="11">
        <f>N(V172) + N(X172) + N(Z172)</f>
        <v/>
      </c>
      <c r="T172" s="11">
        <f>R172+P172-S172</f>
        <v/>
      </c>
      <c r="U172" s="11" t="inlineStr">
        <is>
          <t>是</t>
        </is>
      </c>
      <c r="V172" s="11" t="n">
        <v>49</v>
      </c>
      <c r="W172" s="11" t="inlineStr">
        <is>
          <t>是</t>
        </is>
      </c>
      <c r="X172" s="11" t="n">
        <v>48</v>
      </c>
      <c r="Y172" s="11" t="inlineStr">
        <is>
          <t>-</t>
        </is>
      </c>
      <c r="Z172" s="11" t="n">
        <v>0</v>
      </c>
      <c r="AA172" s="11" t="inlineStr">
        <is>
          <t>无</t>
        </is>
      </c>
      <c r="AB172" s="12">
        <f>AE171</f>
        <v/>
      </c>
      <c r="AC172" s="12" t="n">
        <v>4</v>
      </c>
      <c r="AD172" s="12" t="n">
        <v>0</v>
      </c>
      <c r="AE172" s="12">
        <f>AB172+AC172+AD172</f>
        <v/>
      </c>
      <c r="AF172" s="13">
        <f>AI171</f>
        <v/>
      </c>
      <c r="AG172" s="13" t="n">
        <v>0</v>
      </c>
      <c r="AH172" s="13" t="n">
        <v>0</v>
      </c>
      <c r="AI172" s="13">
        <f>AF172+AG172+AH172</f>
        <v/>
      </c>
      <c r="AJ172" s="14" t="n">
        <v>30</v>
      </c>
      <c r="AK172" s="14" t="n">
        <v>50</v>
      </c>
      <c r="AL172" s="14" t="n">
        <v>0</v>
      </c>
      <c r="AM172" s="14">
        <f>AJ172+AK172+AL172</f>
        <v/>
      </c>
      <c r="AN172" s="14">
        <f>AN171+AM172</f>
        <v/>
      </c>
    </row>
    <row r="173">
      <c r="A173" s="8" t="n">
        <v>7</v>
      </c>
      <c r="B173" s="8" t="n">
        <v>8</v>
      </c>
      <c r="C173" s="8" t="n">
        <v>2</v>
      </c>
      <c r="D173" s="8" t="inlineStr">
        <is>
          <t>月卡收益</t>
        </is>
      </c>
      <c r="E173" s="9">
        <f>K172</f>
        <v/>
      </c>
      <c r="F173" s="9" t="n">
        <v>1540</v>
      </c>
      <c r="G173" s="9" t="n">
        <v>0</v>
      </c>
      <c r="H173" s="9" t="n">
        <v>0</v>
      </c>
      <c r="I173" s="9" t="n">
        <v>0</v>
      </c>
      <c r="J173" s="9" t="n">
        <v>7680</v>
      </c>
      <c r="K173" s="9">
        <f>E173+F173+G173+H173+I173-J173</f>
        <v/>
      </c>
      <c r="L173" s="10">
        <f>Q172</f>
        <v/>
      </c>
      <c r="M173" s="10" t="n">
        <v>0</v>
      </c>
      <c r="N173" s="10" t="n">
        <v>6</v>
      </c>
      <c r="O173" s="10">
        <f>J173/160</f>
        <v/>
      </c>
      <c r="P173" s="10" t="n">
        <v>60</v>
      </c>
      <c r="Q173" s="10">
        <f>L173+M173+N173+O173-P173</f>
        <v/>
      </c>
      <c r="R173" s="11">
        <f>T172</f>
        <v/>
      </c>
      <c r="S173" s="11">
        <f>N(V173) + N(X173) + N(Z173)</f>
        <v/>
      </c>
      <c r="T173" s="11">
        <f>R173+P173-S173</f>
        <v/>
      </c>
      <c r="U173" s="11" t="inlineStr">
        <is>
          <t>是</t>
        </is>
      </c>
      <c r="V173" s="11" t="n">
        <v>1</v>
      </c>
      <c r="W173" s="11" t="inlineStr">
        <is>
          <t>是</t>
        </is>
      </c>
      <c r="X173" s="11" t="n">
        <v>48</v>
      </c>
      <c r="Y173" s="11" t="inlineStr">
        <is>
          <t>-</t>
        </is>
      </c>
      <c r="Z173" s="11" t="n">
        <v>0</v>
      </c>
      <c r="AA173" s="11" t="inlineStr">
        <is>
          <t>垫到60抽</t>
        </is>
      </c>
      <c r="AB173" s="12">
        <f>AE172</f>
        <v/>
      </c>
      <c r="AC173" s="12" t="n">
        <v>0</v>
      </c>
      <c r="AD173" s="12" t="n">
        <v>0</v>
      </c>
      <c r="AE173" s="12">
        <f>AB173+AC173+AD173</f>
        <v/>
      </c>
      <c r="AF173" s="13">
        <f>AI172</f>
        <v/>
      </c>
      <c r="AG173" s="13" t="n">
        <v>0</v>
      </c>
      <c r="AH173" s="13" t="n">
        <v>0</v>
      </c>
      <c r="AI173" s="13">
        <f>AF173+AG173+AH173</f>
        <v/>
      </c>
      <c r="AJ173" s="14" t="n">
        <v>0</v>
      </c>
      <c r="AK173" s="14" t="n">
        <v>0</v>
      </c>
      <c r="AL173" s="14" t="n">
        <v>0</v>
      </c>
      <c r="AM173" s="14">
        <f>AJ173+AK173+AL173</f>
        <v/>
      </c>
      <c r="AN173" s="14">
        <f>AN172+AM173</f>
        <v/>
      </c>
    </row>
    <row r="174">
      <c r="A174" s="8" t="n">
        <v>7</v>
      </c>
      <c r="B174" s="8" t="n">
        <v>9</v>
      </c>
      <c r="C174" s="8" t="n">
        <v>1</v>
      </c>
      <c r="D174" s="8" t="inlineStr">
        <is>
          <t>版本免费+义相逢 + 月卡收益 [月卡续费-30元]</t>
        </is>
      </c>
      <c r="E174" s="9">
        <f>K173</f>
        <v/>
      </c>
      <c r="F174" s="9" t="n">
        <v>1540</v>
      </c>
      <c r="G174" s="9" t="n">
        <v>4800</v>
      </c>
      <c r="H174" s="9" t="n">
        <v>0</v>
      </c>
      <c r="I174" s="9" t="n">
        <v>0</v>
      </c>
      <c r="J174" s="9" t="n">
        <v>0</v>
      </c>
      <c r="K174" s="9">
        <f>E174+F174+G174+H174+I174-J174</f>
        <v/>
      </c>
      <c r="L174" s="10">
        <f>Q173</f>
        <v/>
      </c>
      <c r="M174" s="10" t="n">
        <v>85</v>
      </c>
      <c r="N174" s="10" t="n">
        <v>11</v>
      </c>
      <c r="O174" s="10">
        <f>J174/160</f>
        <v/>
      </c>
      <c r="P174" s="10" t="n">
        <v>90</v>
      </c>
      <c r="Q174" s="10">
        <f>L174+M174+N174+O174-P174</f>
        <v/>
      </c>
      <c r="R174" s="11">
        <f>T173</f>
        <v/>
      </c>
      <c r="S174" s="11">
        <f>N(V174) + N(X174) + N(Z174)</f>
        <v/>
      </c>
      <c r="T174" s="11">
        <f>R174+P174-S174</f>
        <v/>
      </c>
      <c r="U174" s="11" t="inlineStr">
        <is>
          <t>是</t>
        </is>
      </c>
      <c r="V174" s="11" t="n">
        <v>50</v>
      </c>
      <c r="W174" s="11" t="inlineStr">
        <is>
          <t>是</t>
        </is>
      </c>
      <c r="X174" s="11" t="n">
        <v>50</v>
      </c>
      <c r="Y174" s="11" t="inlineStr">
        <is>
          <t>-</t>
        </is>
      </c>
      <c r="Z174" s="11" t="n">
        <v>0</v>
      </c>
      <c r="AA174" s="11" t="inlineStr">
        <is>
          <t>无</t>
        </is>
      </c>
      <c r="AB174" s="12">
        <f>AE173</f>
        <v/>
      </c>
      <c r="AC174" s="12" t="n">
        <v>4</v>
      </c>
      <c r="AD174" s="12" t="n">
        <v>0</v>
      </c>
      <c r="AE174" s="12">
        <f>AB174+AC174+AD174</f>
        <v/>
      </c>
      <c r="AF174" s="13">
        <f>AI173</f>
        <v/>
      </c>
      <c r="AG174" s="13" t="n">
        <v>0</v>
      </c>
      <c r="AH174" s="13" t="n">
        <v>0</v>
      </c>
      <c r="AI174" s="13">
        <f>AF174+AG174+AH174</f>
        <v/>
      </c>
      <c r="AJ174" s="14" t="n">
        <v>30</v>
      </c>
      <c r="AK174" s="14" t="n">
        <v>50</v>
      </c>
      <c r="AL174" s="14" t="n">
        <v>0</v>
      </c>
      <c r="AM174" s="14">
        <f>AJ174+AK174+AL174</f>
        <v/>
      </c>
      <c r="AN174" s="14">
        <f>AN173+AM174</f>
        <v/>
      </c>
    </row>
    <row r="175">
      <c r="A175" s="8" t="n">
        <v>7</v>
      </c>
      <c r="B175" s="8" t="n">
        <v>9</v>
      </c>
      <c r="C175" s="8" t="n">
        <v>2</v>
      </c>
      <c r="D175" s="8" t="inlineStr">
        <is>
          <t>月卡收益</t>
        </is>
      </c>
      <c r="E175" s="9">
        <f>K174</f>
        <v/>
      </c>
      <c r="F175" s="9" t="n">
        <v>1540</v>
      </c>
      <c r="G175" s="9" t="n">
        <v>0</v>
      </c>
      <c r="H175" s="9" t="n">
        <v>0</v>
      </c>
      <c r="I175" s="9" t="n">
        <v>0</v>
      </c>
      <c r="J175" s="9" t="n">
        <v>12000</v>
      </c>
      <c r="K175" s="9">
        <f>E175+F175+G175+H175+I175-J175</f>
        <v/>
      </c>
      <c r="L175" s="10">
        <f>Q174</f>
        <v/>
      </c>
      <c r="M175" s="10" t="n">
        <v>0</v>
      </c>
      <c r="N175" s="10" t="n">
        <v>11</v>
      </c>
      <c r="O175" s="10">
        <f>J175/160</f>
        <v/>
      </c>
      <c r="P175" s="10" t="n">
        <v>90</v>
      </c>
      <c r="Q175" s="10">
        <f>L175+M175+N175+O175-P175</f>
        <v/>
      </c>
      <c r="R175" s="11">
        <f>T174</f>
        <v/>
      </c>
      <c r="S175" s="11">
        <f>N(V175) + N(X175) + N(Z175)</f>
        <v/>
      </c>
      <c r="T175" s="11">
        <f>R175+P175-S175</f>
        <v/>
      </c>
      <c r="U175" s="11" t="inlineStr">
        <is>
          <t>是</t>
        </is>
      </c>
      <c r="V175" s="11" t="n">
        <v>49</v>
      </c>
      <c r="W175" s="11" t="inlineStr">
        <is>
          <t>是</t>
        </is>
      </c>
      <c r="X175" s="11" t="n">
        <v>47</v>
      </c>
      <c r="Y175" s="11" t="inlineStr">
        <is>
          <t>-</t>
        </is>
      </c>
      <c r="Z175" s="11" t="n">
        <v>0</v>
      </c>
      <c r="AA175" s="11" t="inlineStr">
        <is>
          <t>无</t>
        </is>
      </c>
      <c r="AB175" s="12">
        <f>AE174</f>
        <v/>
      </c>
      <c r="AC175" s="12" t="n">
        <v>0</v>
      </c>
      <c r="AD175" s="12" t="n">
        <v>0</v>
      </c>
      <c r="AE175" s="12">
        <f>AB175+AC175+AD175</f>
        <v/>
      </c>
      <c r="AF175" s="13">
        <f>AI174</f>
        <v/>
      </c>
      <c r="AG175" s="13" t="n">
        <v>0</v>
      </c>
      <c r="AH175" s="13" t="n">
        <v>0</v>
      </c>
      <c r="AI175" s="13">
        <f>AF175+AG175+AH175</f>
        <v/>
      </c>
      <c r="AJ175" s="14" t="n">
        <v>0</v>
      </c>
      <c r="AK175" s="14" t="n">
        <v>0</v>
      </c>
      <c r="AL175" s="14" t="n">
        <v>0</v>
      </c>
      <c r="AM175" s="14">
        <f>AJ175+AK175+AL175</f>
        <v/>
      </c>
      <c r="AN175" s="14">
        <f>AN174+AM175</f>
        <v/>
      </c>
    </row>
    <row r="176">
      <c r="A176" s="8" t="n">
        <v>7</v>
      </c>
      <c r="B176" s="8" t="n">
        <v>10</v>
      </c>
      <c r="C176" s="8" t="n">
        <v>1</v>
      </c>
      <c r="D176" s="8" t="inlineStr">
        <is>
          <t>版本免费+义相逢 + 月卡收益 [月卡续费-30元]</t>
        </is>
      </c>
      <c r="E176" s="9">
        <f>K175</f>
        <v/>
      </c>
      <c r="F176" s="9" t="n">
        <v>1540</v>
      </c>
      <c r="G176" s="9" t="n">
        <v>4800</v>
      </c>
      <c r="H176" s="9" t="n">
        <v>0</v>
      </c>
      <c r="I176" s="9" t="n">
        <v>0</v>
      </c>
      <c r="J176" s="9" t="n">
        <v>0</v>
      </c>
      <c r="K176" s="9">
        <f>E176+F176+G176+H176+I176-J176</f>
        <v/>
      </c>
      <c r="L176" s="10">
        <f>Q175</f>
        <v/>
      </c>
      <c r="M176" s="10" t="n">
        <v>85</v>
      </c>
      <c r="N176" s="10" t="n">
        <v>6</v>
      </c>
      <c r="O176" s="10">
        <f>J176/160</f>
        <v/>
      </c>
      <c r="P176" s="10" t="n">
        <v>60</v>
      </c>
      <c r="Q176" s="10">
        <f>L176+M176+N176+O176-P176</f>
        <v/>
      </c>
      <c r="R176" s="11">
        <f>T175</f>
        <v/>
      </c>
      <c r="S176" s="11">
        <f>N(V176) + N(X176) + N(Z176)</f>
        <v/>
      </c>
      <c r="T176" s="11">
        <f>R176+P176-S176</f>
        <v/>
      </c>
      <c r="U176" s="11" t="inlineStr">
        <is>
          <t>是</t>
        </is>
      </c>
      <c r="V176" s="11" t="n">
        <v>48</v>
      </c>
      <c r="W176" s="11" t="inlineStr">
        <is>
          <t>否</t>
        </is>
      </c>
      <c r="X176" s="11" t="inlineStr">
        <is>
          <t>-</t>
        </is>
      </c>
      <c r="Y176" s="11" t="inlineStr">
        <is>
          <t>-</t>
        </is>
      </c>
      <c r="Z176" s="11" t="n">
        <v>0</v>
      </c>
      <c r="AA176" s="11" t="inlineStr">
        <is>
          <t>垫到60抽</t>
        </is>
      </c>
      <c r="AB176" s="12">
        <f>AE175</f>
        <v/>
      </c>
      <c r="AC176" s="12" t="n">
        <v>4</v>
      </c>
      <c r="AD176" s="12" t="n">
        <v>0</v>
      </c>
      <c r="AE176" s="12">
        <f>AB176+AC176+AD176</f>
        <v/>
      </c>
      <c r="AF176" s="13">
        <f>AI175</f>
        <v/>
      </c>
      <c r="AG176" s="13" t="n">
        <v>0</v>
      </c>
      <c r="AH176" s="13" t="n">
        <v>0</v>
      </c>
      <c r="AI176" s="13">
        <f>AF176+AG176+AH176</f>
        <v/>
      </c>
      <c r="AJ176" s="14" t="n">
        <v>30</v>
      </c>
      <c r="AK176" s="14" t="n">
        <v>50</v>
      </c>
      <c r="AL176" s="14" t="n">
        <v>0</v>
      </c>
      <c r="AM176" s="14">
        <f>AJ176+AK176+AL176</f>
        <v/>
      </c>
      <c r="AN176" s="14">
        <f>AN175+AM176</f>
        <v/>
      </c>
    </row>
    <row r="177">
      <c r="A177" s="8" t="n">
        <v>7</v>
      </c>
      <c r="B177" s="8" t="n">
        <v>10</v>
      </c>
      <c r="C177" s="8" t="n">
        <v>2</v>
      </c>
      <c r="D177" s="8" t="inlineStr">
        <is>
          <t>月卡收益</t>
        </is>
      </c>
      <c r="E177" s="9">
        <f>K176</f>
        <v/>
      </c>
      <c r="F177" s="9" t="n">
        <v>1540</v>
      </c>
      <c r="G177" s="9" t="n">
        <v>0</v>
      </c>
      <c r="H177" s="9" t="n">
        <v>0</v>
      </c>
      <c r="I177" s="9" t="n">
        <v>0</v>
      </c>
      <c r="J177" s="9" t="n">
        <v>7680</v>
      </c>
      <c r="K177" s="9">
        <f>E177+F177+G177+H177+I177-J177</f>
        <v/>
      </c>
      <c r="L177" s="10">
        <f>Q176</f>
        <v/>
      </c>
      <c r="M177" s="10" t="n">
        <v>0</v>
      </c>
      <c r="N177" s="10" t="n">
        <v>11</v>
      </c>
      <c r="O177" s="10">
        <f>J177/160</f>
        <v/>
      </c>
      <c r="P177" s="10" t="n">
        <v>90</v>
      </c>
      <c r="Q177" s="10">
        <f>L177+M177+N177+O177-P177</f>
        <v/>
      </c>
      <c r="R177" s="11">
        <f>T176</f>
        <v/>
      </c>
      <c r="S177" s="11">
        <f>N(V177) + N(X177) + N(Z177)</f>
        <v/>
      </c>
      <c r="T177" s="11">
        <f>R177+P177-S177</f>
        <v/>
      </c>
      <c r="U177" s="11" t="inlineStr">
        <is>
          <t>是</t>
        </is>
      </c>
      <c r="V177" s="11" t="n">
        <v>54</v>
      </c>
      <c r="W177" s="11" t="inlineStr">
        <is>
          <t>是</t>
        </is>
      </c>
      <c r="X177" s="11" t="n">
        <v>47</v>
      </c>
      <c r="Y177" s="11" t="inlineStr">
        <is>
          <t>-</t>
        </is>
      </c>
      <c r="Z177" s="11" t="n">
        <v>0</v>
      </c>
      <c r="AA177" s="11" t="inlineStr">
        <is>
          <t>无</t>
        </is>
      </c>
      <c r="AB177" s="12">
        <f>AE176</f>
        <v/>
      </c>
      <c r="AC177" s="12" t="n">
        <v>0</v>
      </c>
      <c r="AD177" s="12" t="n">
        <v>0</v>
      </c>
      <c r="AE177" s="12">
        <f>AB177+AC177+AD177</f>
        <v/>
      </c>
      <c r="AF177" s="13">
        <f>AI176</f>
        <v/>
      </c>
      <c r="AG177" s="13" t="n">
        <v>0</v>
      </c>
      <c r="AH177" s="13" t="n">
        <v>0</v>
      </c>
      <c r="AI177" s="13">
        <f>AF177+AG177+AH177</f>
        <v/>
      </c>
      <c r="AJ177" s="14" t="n">
        <v>0</v>
      </c>
      <c r="AK177" s="14" t="n">
        <v>0</v>
      </c>
      <c r="AL177" s="14" t="n">
        <v>0</v>
      </c>
      <c r="AM177" s="14">
        <f>AJ177+AK177+AL177</f>
        <v/>
      </c>
      <c r="AN177" s="14">
        <f>AN176+AM177</f>
        <v/>
      </c>
    </row>
    <row r="178">
      <c r="A178" s="8" t="n">
        <v>7</v>
      </c>
      <c r="B178" s="8" t="n">
        <v>11</v>
      </c>
      <c r="C178" s="8" t="n">
        <v>1</v>
      </c>
      <c r="D178" s="8" t="inlineStr">
        <is>
          <t>版本免费+义相逢 + 月卡收益 [月卡续费-30元]</t>
        </is>
      </c>
      <c r="E178" s="9">
        <f>K177</f>
        <v/>
      </c>
      <c r="F178" s="9" t="n">
        <v>1540</v>
      </c>
      <c r="G178" s="9" t="n">
        <v>4800</v>
      </c>
      <c r="H178" s="9" t="n">
        <v>0</v>
      </c>
      <c r="I178" s="9" t="n">
        <v>0</v>
      </c>
      <c r="J178" s="9" t="n">
        <v>0</v>
      </c>
      <c r="K178" s="9">
        <f>E178+F178+G178+H178+I178-J178</f>
        <v/>
      </c>
      <c r="L178" s="10">
        <f>Q177</f>
        <v/>
      </c>
      <c r="M178" s="10" t="n">
        <v>85</v>
      </c>
      <c r="N178" s="10" t="n">
        <v>6</v>
      </c>
      <c r="O178" s="10">
        <f>J178/160</f>
        <v/>
      </c>
      <c r="P178" s="10" t="n">
        <v>60</v>
      </c>
      <c r="Q178" s="10">
        <f>L178+M178+N178+O178-P178</f>
        <v/>
      </c>
      <c r="R178" s="11">
        <f>T177</f>
        <v/>
      </c>
      <c r="S178" s="11">
        <f>N(V178) + N(X178) + N(Z178)</f>
        <v/>
      </c>
      <c r="T178" s="11">
        <f>R178+P178-S178</f>
        <v/>
      </c>
      <c r="U178" s="11" t="inlineStr">
        <is>
          <t>是</t>
        </is>
      </c>
      <c r="V178" s="11" t="n">
        <v>50</v>
      </c>
      <c r="W178" s="11" t="inlineStr">
        <is>
          <t>否</t>
        </is>
      </c>
      <c r="X178" s="11" t="inlineStr">
        <is>
          <t>-</t>
        </is>
      </c>
      <c r="Y178" s="11" t="inlineStr">
        <is>
          <t>-</t>
        </is>
      </c>
      <c r="Z178" s="11" t="n">
        <v>0</v>
      </c>
      <c r="AA178" s="11" t="inlineStr">
        <is>
          <t>垫到60抽</t>
        </is>
      </c>
      <c r="AB178" s="12">
        <f>AE177</f>
        <v/>
      </c>
      <c r="AC178" s="12" t="n">
        <v>4</v>
      </c>
      <c r="AD178" s="12" t="n">
        <v>0</v>
      </c>
      <c r="AE178" s="12">
        <f>AB178+AC178+AD178</f>
        <v/>
      </c>
      <c r="AF178" s="13">
        <f>AI177</f>
        <v/>
      </c>
      <c r="AG178" s="13" t="n">
        <v>0</v>
      </c>
      <c r="AH178" s="13" t="n">
        <v>0</v>
      </c>
      <c r="AI178" s="13">
        <f>AF178+AG178+AH178</f>
        <v/>
      </c>
      <c r="AJ178" s="14" t="n">
        <v>30</v>
      </c>
      <c r="AK178" s="14" t="n">
        <v>50</v>
      </c>
      <c r="AL178" s="14" t="n">
        <v>0</v>
      </c>
      <c r="AM178" s="14">
        <f>AJ178+AK178+AL178</f>
        <v/>
      </c>
      <c r="AN178" s="14">
        <f>AN177+AM178</f>
        <v/>
      </c>
    </row>
    <row r="179">
      <c r="A179" s="8" t="n">
        <v>7</v>
      </c>
      <c r="B179" s="8" t="n">
        <v>11</v>
      </c>
      <c r="C179" s="8" t="n">
        <v>2</v>
      </c>
      <c r="D179" s="8" t="inlineStr">
        <is>
          <t>月卡收益</t>
        </is>
      </c>
      <c r="E179" s="9">
        <f>K178</f>
        <v/>
      </c>
      <c r="F179" s="9" t="n">
        <v>1540</v>
      </c>
      <c r="G179" s="9" t="n">
        <v>0</v>
      </c>
      <c r="H179" s="9" t="n">
        <v>0</v>
      </c>
      <c r="I179" s="9" t="n">
        <v>0</v>
      </c>
      <c r="J179" s="9" t="n">
        <v>160</v>
      </c>
      <c r="K179" s="9">
        <f>E179+F179+G179+H179+I179-J179</f>
        <v/>
      </c>
      <c r="L179" s="10">
        <f>Q178</f>
        <v/>
      </c>
      <c r="M179" s="10" t="n">
        <v>0</v>
      </c>
      <c r="N179" s="10" t="n">
        <v>3</v>
      </c>
      <c r="O179" s="10">
        <f>J179/160</f>
        <v/>
      </c>
      <c r="P179" s="10" t="n">
        <v>40</v>
      </c>
      <c r="Q179" s="10">
        <f>L179+M179+N179+O179-P179</f>
        <v/>
      </c>
      <c r="R179" s="11">
        <f>T178</f>
        <v/>
      </c>
      <c r="S179" s="11">
        <f>N(V179) + N(X179) + N(Z179)</f>
        <v/>
      </c>
      <c r="T179" s="11">
        <f>R179+P179-S179</f>
        <v/>
      </c>
      <c r="U179" s="11" t="inlineStr">
        <is>
          <t>是</t>
        </is>
      </c>
      <c r="V179" s="11" t="n">
        <v>52</v>
      </c>
      <c r="W179" s="11" t="inlineStr">
        <is>
          <t>否</t>
        </is>
      </c>
      <c r="X179" s="11" t="inlineStr">
        <is>
          <t>-</t>
        </is>
      </c>
      <c r="Y179" s="11" t="inlineStr">
        <is>
          <t>-</t>
        </is>
      </c>
      <c r="Z179" s="11" t="n">
        <v>0</v>
      </c>
      <c r="AA179" s="11" t="inlineStr">
        <is>
          <t>无</t>
        </is>
      </c>
      <c r="AB179" s="12">
        <f>AE178</f>
        <v/>
      </c>
      <c r="AC179" s="12" t="n">
        <v>0</v>
      </c>
      <c r="AD179" s="12" t="n">
        <v>0</v>
      </c>
      <c r="AE179" s="12">
        <f>AB179+AC179+AD179</f>
        <v/>
      </c>
      <c r="AF179" s="13">
        <f>AI178</f>
        <v/>
      </c>
      <c r="AG179" s="13" t="n">
        <v>0</v>
      </c>
      <c r="AH179" s="13" t="n">
        <v>0</v>
      </c>
      <c r="AI179" s="13">
        <f>AF179+AG179+AH179</f>
        <v/>
      </c>
      <c r="AJ179" s="14" t="n">
        <v>0</v>
      </c>
      <c r="AK179" s="14" t="n">
        <v>0</v>
      </c>
      <c r="AL179" s="14" t="n">
        <v>0</v>
      </c>
      <c r="AM179" s="14">
        <f>AJ179+AK179+AL179</f>
        <v/>
      </c>
      <c r="AN179" s="14">
        <f>AN178+AM179</f>
        <v/>
      </c>
    </row>
    <row r="180">
      <c r="A180" s="8" t="n">
        <v>7</v>
      </c>
      <c r="B180" s="8" t="n">
        <v>12</v>
      </c>
      <c r="C180" s="8" t="n">
        <v>1</v>
      </c>
      <c r="D180" s="8" t="inlineStr">
        <is>
          <t>版本免费+义相逢 + 月卡收益 [月卡续费-30元]</t>
        </is>
      </c>
      <c r="E180" s="9">
        <f>K179</f>
        <v/>
      </c>
      <c r="F180" s="9" t="n">
        <v>1540</v>
      </c>
      <c r="G180" s="9" t="n">
        <v>4800</v>
      </c>
      <c r="H180" s="9" t="n">
        <v>0</v>
      </c>
      <c r="I180" s="9" t="n">
        <v>0</v>
      </c>
      <c r="J180" s="9" t="n">
        <v>640</v>
      </c>
      <c r="K180" s="9">
        <f>E180+F180+G180+H180+I180-J180</f>
        <v/>
      </c>
      <c r="L180" s="10">
        <f>Q179</f>
        <v/>
      </c>
      <c r="M180" s="10" t="n">
        <v>85</v>
      </c>
      <c r="N180" s="10" t="n">
        <v>11</v>
      </c>
      <c r="O180" s="10">
        <f>J180/160</f>
        <v/>
      </c>
      <c r="P180" s="10" t="n">
        <v>100</v>
      </c>
      <c r="Q180" s="10">
        <f>L180+M180+N180+O180-P180</f>
        <v/>
      </c>
      <c r="R180" s="11">
        <f>T179</f>
        <v/>
      </c>
      <c r="S180" s="11">
        <f>N(V180) + N(X180) + N(Z180)</f>
        <v/>
      </c>
      <c r="T180" s="11">
        <f>R180+P180-S180</f>
        <v/>
      </c>
      <c r="U180" s="11" t="inlineStr">
        <is>
          <t>是</t>
        </is>
      </c>
      <c r="V180" s="11" t="n">
        <v>48</v>
      </c>
      <c r="W180" s="11" t="inlineStr">
        <is>
          <t>是</t>
        </is>
      </c>
      <c r="X180" s="11" t="n">
        <v>49</v>
      </c>
      <c r="Y180" s="11" t="inlineStr">
        <is>
          <t>-</t>
        </is>
      </c>
      <c r="Z180" s="11" t="n">
        <v>0</v>
      </c>
      <c r="AA180" s="11" t="inlineStr">
        <is>
          <t>无</t>
        </is>
      </c>
      <c r="AB180" s="12">
        <f>AE179</f>
        <v/>
      </c>
      <c r="AC180" s="12" t="n">
        <v>4</v>
      </c>
      <c r="AD180" s="12" t="n">
        <v>0</v>
      </c>
      <c r="AE180" s="12">
        <f>AB180+AC180+AD180</f>
        <v/>
      </c>
      <c r="AF180" s="13">
        <f>AI179</f>
        <v/>
      </c>
      <c r="AG180" s="13" t="n">
        <v>0</v>
      </c>
      <c r="AH180" s="13" t="n">
        <v>0</v>
      </c>
      <c r="AI180" s="13">
        <f>AF180+AG180+AH180</f>
        <v/>
      </c>
      <c r="AJ180" s="14" t="n">
        <v>30</v>
      </c>
      <c r="AK180" s="14" t="n">
        <v>50</v>
      </c>
      <c r="AL180" s="14" t="n">
        <v>0</v>
      </c>
      <c r="AM180" s="14">
        <f>AJ180+AK180+AL180</f>
        <v/>
      </c>
      <c r="AN180" s="14">
        <f>AN179+AM180</f>
        <v/>
      </c>
    </row>
    <row r="181">
      <c r="A181" s="8" t="n">
        <v>7</v>
      </c>
      <c r="B181" s="8" t="n">
        <v>12</v>
      </c>
      <c r="C181" s="8" t="n">
        <v>2</v>
      </c>
      <c r="D181" s="8" t="inlineStr">
        <is>
          <t>月卡收益</t>
        </is>
      </c>
      <c r="E181" s="9">
        <f>K180</f>
        <v/>
      </c>
      <c r="F181" s="9" t="n">
        <v>1540</v>
      </c>
      <c r="G181" s="9" t="n">
        <v>0</v>
      </c>
      <c r="H181" s="9" t="n">
        <v>0</v>
      </c>
      <c r="I181" s="9" t="n">
        <v>0</v>
      </c>
      <c r="J181" s="9" t="n">
        <v>14240</v>
      </c>
      <c r="K181" s="9">
        <f>E181+F181+G181+H181+I181-J181</f>
        <v/>
      </c>
      <c r="L181" s="10">
        <f>Q180</f>
        <v/>
      </c>
      <c r="M181" s="10" t="n">
        <v>0</v>
      </c>
      <c r="N181" s="10" t="n">
        <v>11</v>
      </c>
      <c r="O181" s="10">
        <f>J181/160</f>
        <v/>
      </c>
      <c r="P181" s="10" t="n">
        <v>100</v>
      </c>
      <c r="Q181" s="10">
        <f>L181+M181+N181+O181-P181</f>
        <v/>
      </c>
      <c r="R181" s="11">
        <f>T180</f>
        <v/>
      </c>
      <c r="S181" s="11">
        <f>N(V181) + N(X181) + N(Z181)</f>
        <v/>
      </c>
      <c r="T181" s="11">
        <f>R181+P181-S181</f>
        <v/>
      </c>
      <c r="U181" s="11" t="inlineStr">
        <is>
          <t>是</t>
        </is>
      </c>
      <c r="V181" s="11" t="n">
        <v>51</v>
      </c>
      <c r="W181" s="11" t="inlineStr">
        <is>
          <t>是</t>
        </is>
      </c>
      <c r="X181" s="11" t="n">
        <v>52</v>
      </c>
      <c r="Y181" s="11" t="inlineStr">
        <is>
          <t>-</t>
        </is>
      </c>
      <c r="Z181" s="11" t="n">
        <v>0</v>
      </c>
      <c r="AA181" s="11" t="inlineStr">
        <is>
          <t>无</t>
        </is>
      </c>
      <c r="AB181" s="12">
        <f>AE180</f>
        <v/>
      </c>
      <c r="AC181" s="12" t="n">
        <v>0</v>
      </c>
      <c r="AD181" s="12" t="n">
        <v>0</v>
      </c>
      <c r="AE181" s="12">
        <f>AB181+AC181+AD181</f>
        <v/>
      </c>
      <c r="AF181" s="13">
        <f>AI180</f>
        <v/>
      </c>
      <c r="AG181" s="13" t="n">
        <v>0</v>
      </c>
      <c r="AH181" s="13" t="n">
        <v>0</v>
      </c>
      <c r="AI181" s="13">
        <f>AF181+AG181+AH181</f>
        <v/>
      </c>
      <c r="AJ181" s="14" t="n">
        <v>0</v>
      </c>
      <c r="AK181" s="14" t="n">
        <v>0</v>
      </c>
      <c r="AL181" s="14" t="n">
        <v>0</v>
      </c>
      <c r="AM181" s="14">
        <f>AJ181+AK181+AL181</f>
        <v/>
      </c>
      <c r="AN181" s="14">
        <f>AN180+AM181</f>
        <v/>
      </c>
    </row>
    <row r="182">
      <c r="A182" s="8" t="n">
        <v>7</v>
      </c>
      <c r="B182" s="8" t="n">
        <v>13</v>
      </c>
      <c r="C182" s="8" t="n">
        <v>1</v>
      </c>
      <c r="D182" s="8" t="inlineStr">
        <is>
          <t>版本免费+义相逢 + 月卡收益</t>
        </is>
      </c>
      <c r="E182" s="9">
        <f>K181</f>
        <v/>
      </c>
      <c r="F182" s="9" t="n">
        <v>1540</v>
      </c>
      <c r="G182" s="9" t="n">
        <v>4800</v>
      </c>
      <c r="H182" s="9" t="n">
        <v>0</v>
      </c>
      <c r="I182" s="9" t="n">
        <v>0</v>
      </c>
      <c r="J182" s="9" t="n">
        <v>0</v>
      </c>
      <c r="K182" s="9">
        <f>E182+F182+G182+H182+I182-J182</f>
        <v/>
      </c>
      <c r="L182" s="10">
        <f>Q181</f>
        <v/>
      </c>
      <c r="M182" s="10" t="n">
        <v>85</v>
      </c>
      <c r="N182" s="10" t="n">
        <v>6</v>
      </c>
      <c r="O182" s="10">
        <f>J182/160</f>
        <v/>
      </c>
      <c r="P182" s="10" t="n">
        <v>60</v>
      </c>
      <c r="Q182" s="10">
        <f>L182+M182+N182+O182-P182</f>
        <v/>
      </c>
      <c r="R182" s="11">
        <f>T181</f>
        <v/>
      </c>
      <c r="S182" s="11">
        <f>N(V182) + N(X182) + N(Z182)</f>
        <v/>
      </c>
      <c r="T182" s="11">
        <f>R182+P182-S182</f>
        <v/>
      </c>
      <c r="U182" s="11" t="inlineStr">
        <is>
          <t>是</t>
        </is>
      </c>
      <c r="V182" s="11" t="n">
        <v>49</v>
      </c>
      <c r="W182" s="11" t="inlineStr">
        <is>
          <t>否</t>
        </is>
      </c>
      <c r="X182" s="11" t="inlineStr">
        <is>
          <t>-</t>
        </is>
      </c>
      <c r="Y182" s="11" t="inlineStr">
        <is>
          <t>-</t>
        </is>
      </c>
      <c r="Z182" s="11" t="n">
        <v>0</v>
      </c>
      <c r="AA182" s="11" t="inlineStr">
        <is>
          <t>垫到60抽</t>
        </is>
      </c>
      <c r="AB182" s="12">
        <f>AE181</f>
        <v/>
      </c>
      <c r="AC182" s="12" t="n">
        <v>4</v>
      </c>
      <c r="AD182" s="12" t="n">
        <v>0</v>
      </c>
      <c r="AE182" s="12">
        <f>AB182+AC182+AD182</f>
        <v/>
      </c>
      <c r="AF182" s="13">
        <f>AI181</f>
        <v/>
      </c>
      <c r="AG182" s="13" t="n">
        <v>0</v>
      </c>
      <c r="AH182" s="13" t="n">
        <v>0</v>
      </c>
      <c r="AI182" s="13">
        <f>AF182+AG182+AH182</f>
        <v/>
      </c>
      <c r="AJ182" s="14" t="n">
        <v>0</v>
      </c>
      <c r="AK182" s="14" t="n">
        <v>50</v>
      </c>
      <c r="AL182" s="14" t="n">
        <v>0</v>
      </c>
      <c r="AM182" s="14">
        <f>AJ182+AK182+AL182</f>
        <v/>
      </c>
      <c r="AN182" s="14">
        <f>AN181+AM182</f>
        <v/>
      </c>
    </row>
    <row r="183">
      <c r="A183" s="8" t="n">
        <v>7</v>
      </c>
      <c r="B183" s="8" t="n">
        <v>13</v>
      </c>
      <c r="C183" s="8" t="n">
        <v>2</v>
      </c>
      <c r="D183" s="8" t="inlineStr">
        <is>
          <t>月卡收益 [月卡续费-30元]</t>
        </is>
      </c>
      <c r="E183" s="9">
        <f>K182</f>
        <v/>
      </c>
      <c r="F183" s="9" t="n">
        <v>1540</v>
      </c>
      <c r="G183" s="9" t="n">
        <v>0</v>
      </c>
      <c r="H183" s="9" t="n">
        <v>0</v>
      </c>
      <c r="I183" s="9" t="n">
        <v>0</v>
      </c>
      <c r="J183" s="9" t="n">
        <v>960</v>
      </c>
      <c r="K183" s="9">
        <f>E183+F183+G183+H183+I183-J183</f>
        <v/>
      </c>
      <c r="L183" s="10">
        <f>Q182</f>
        <v/>
      </c>
      <c r="M183" s="10" t="n">
        <v>0</v>
      </c>
      <c r="N183" s="10" t="n">
        <v>3</v>
      </c>
      <c r="O183" s="10">
        <f>J183/160</f>
        <v/>
      </c>
      <c r="P183" s="10" t="n">
        <v>40</v>
      </c>
      <c r="Q183" s="10">
        <f>L183+M183+N183+O183-P183</f>
        <v/>
      </c>
      <c r="R183" s="11">
        <f>T182</f>
        <v/>
      </c>
      <c r="S183" s="11">
        <f>N(V183) + N(X183) + N(Z183)</f>
        <v/>
      </c>
      <c r="T183" s="11">
        <f>R183+P183-S183</f>
        <v/>
      </c>
      <c r="U183" s="11" t="inlineStr">
        <is>
          <t>是</t>
        </is>
      </c>
      <c r="V183" s="11" t="n">
        <v>48</v>
      </c>
      <c r="W183" s="11" t="inlineStr">
        <is>
          <t>否</t>
        </is>
      </c>
      <c r="X183" s="11" t="inlineStr">
        <is>
          <t>-</t>
        </is>
      </c>
      <c r="Y183" s="11" t="inlineStr">
        <is>
          <t>-</t>
        </is>
      </c>
      <c r="Z183" s="11" t="n">
        <v>0</v>
      </c>
      <c r="AA183" s="11" t="inlineStr">
        <is>
          <t>无</t>
        </is>
      </c>
      <c r="AB183" s="12">
        <f>AE182</f>
        <v/>
      </c>
      <c r="AC183" s="12" t="n">
        <v>0</v>
      </c>
      <c r="AD183" s="12" t="n">
        <v>0</v>
      </c>
      <c r="AE183" s="12">
        <f>AB183+AC183+AD183</f>
        <v/>
      </c>
      <c r="AF183" s="13">
        <f>AI182</f>
        <v/>
      </c>
      <c r="AG183" s="13" t="n">
        <v>0</v>
      </c>
      <c r="AH183" s="13" t="n">
        <v>0</v>
      </c>
      <c r="AI183" s="13">
        <f>AF183+AG183+AH183</f>
        <v/>
      </c>
      <c r="AJ183" s="14" t="n">
        <v>30</v>
      </c>
      <c r="AK183" s="14" t="n">
        <v>0</v>
      </c>
      <c r="AL183" s="14" t="n">
        <v>0</v>
      </c>
      <c r="AM183" s="14">
        <f>AJ183+AK183+AL183</f>
        <v/>
      </c>
      <c r="AN183" s="14">
        <f>AN182+AM183</f>
        <v/>
      </c>
    </row>
    <row r="184">
      <c r="A184" s="8" t="n">
        <v>8</v>
      </c>
      <c r="B184" s="8" t="n">
        <v>1</v>
      </c>
      <c r="C184" s="8" t="n">
        <v>1</v>
      </c>
      <c r="D184" s="8" t="inlineStr">
        <is>
          <t>版本免费+义相逢 + 月卡收益</t>
        </is>
      </c>
      <c r="E184" s="9" t="n">
        <v>20440</v>
      </c>
      <c r="F184" s="9" t="n">
        <v>1540</v>
      </c>
      <c r="G184" s="9" t="n">
        <v>4800</v>
      </c>
      <c r="H184" s="9" t="n">
        <v>0</v>
      </c>
      <c r="I184" s="9" t="n">
        <v>0</v>
      </c>
      <c r="J184" s="9" t="n">
        <v>640</v>
      </c>
      <c r="K184" s="9">
        <f>E184+F184+G184+H184+I184-J184</f>
        <v/>
      </c>
      <c r="L184" s="10" t="n">
        <v>0</v>
      </c>
      <c r="M184" s="10" t="n">
        <v>85</v>
      </c>
      <c r="N184" s="10" t="n">
        <v>11</v>
      </c>
      <c r="O184" s="10">
        <f>J184/160</f>
        <v/>
      </c>
      <c r="P184" s="10" t="n">
        <v>100</v>
      </c>
      <c r="Q184" s="10">
        <f>L184+M184+N184+O184-P184</f>
        <v/>
      </c>
      <c r="R184" s="11" t="n">
        <v>5</v>
      </c>
      <c r="S184" s="11">
        <f>N(V184) + N(X184) + N(Z184)</f>
        <v/>
      </c>
      <c r="T184" s="11">
        <f>R184+P184-S184</f>
        <v/>
      </c>
      <c r="U184" s="11" t="inlineStr">
        <is>
          <t>是</t>
        </is>
      </c>
      <c r="V184" s="11" t="n">
        <v>49</v>
      </c>
      <c r="W184" s="11" t="inlineStr">
        <is>
          <t>是</t>
        </is>
      </c>
      <c r="X184" s="11" t="n">
        <v>52</v>
      </c>
      <c r="Y184" s="11" t="inlineStr">
        <is>
          <t>-</t>
        </is>
      </c>
      <c r="Z184" s="11" t="n">
        <v>0</v>
      </c>
      <c r="AA184" s="11" t="inlineStr">
        <is>
          <t>无</t>
        </is>
      </c>
      <c r="AB184" s="12" t="n">
        <v>374</v>
      </c>
      <c r="AC184" s="12" t="n">
        <v>4</v>
      </c>
      <c r="AD184" s="12" t="n">
        <v>0</v>
      </c>
      <c r="AE184" s="12">
        <f>AB184+AC184+AD184</f>
        <v/>
      </c>
      <c r="AF184" s="13" t="n">
        <v>50000</v>
      </c>
      <c r="AG184" s="13" t="n">
        <v>0</v>
      </c>
      <c r="AH184" s="13" t="n">
        <v>0</v>
      </c>
      <c r="AI184" s="13">
        <f>AF184+AG184+AH184</f>
        <v/>
      </c>
      <c r="AJ184" s="14" t="n">
        <v>0</v>
      </c>
      <c r="AK184" s="14" t="n">
        <v>50</v>
      </c>
      <c r="AL184" s="14" t="n">
        <v>0</v>
      </c>
      <c r="AM184" s="14">
        <f>AJ184+AK184+AL184</f>
        <v/>
      </c>
      <c r="AN184" s="14">
        <f>AM184</f>
        <v/>
      </c>
    </row>
    <row r="185">
      <c r="A185" s="8" t="n">
        <v>8</v>
      </c>
      <c r="B185" s="8" t="n">
        <v>1</v>
      </c>
      <c r="C185" s="8" t="n">
        <v>2</v>
      </c>
      <c r="D185" s="8" t="inlineStr">
        <is>
          <t>月卡收益 [月卡续费-30元]</t>
        </is>
      </c>
      <c r="E185" s="9">
        <f>K184</f>
        <v/>
      </c>
      <c r="F185" s="9" t="n">
        <v>1540</v>
      </c>
      <c r="G185" s="9" t="n">
        <v>0</v>
      </c>
      <c r="H185" s="9" t="n">
        <v>0</v>
      </c>
      <c r="I185" s="9" t="n">
        <v>0</v>
      </c>
      <c r="J185" s="9" t="n">
        <v>14240</v>
      </c>
      <c r="K185" s="9">
        <f>E185+F185+G185+H185+I185-J185</f>
        <v/>
      </c>
      <c r="L185" s="10">
        <f>Q184</f>
        <v/>
      </c>
      <c r="M185" s="10" t="n">
        <v>0</v>
      </c>
      <c r="N185" s="10" t="n">
        <v>11</v>
      </c>
      <c r="O185" s="10">
        <f>J185/160</f>
        <v/>
      </c>
      <c r="P185" s="10" t="n">
        <v>100</v>
      </c>
      <c r="Q185" s="10">
        <f>L185+M185+N185+O185-P185</f>
        <v/>
      </c>
      <c r="R185" s="11">
        <f>T184</f>
        <v/>
      </c>
      <c r="S185" s="11">
        <f>N(V185) + N(X185) + N(Z185)</f>
        <v/>
      </c>
      <c r="T185" s="11">
        <f>R185+P185-S185</f>
        <v/>
      </c>
      <c r="U185" s="11" t="inlineStr">
        <is>
          <t>是</t>
        </is>
      </c>
      <c r="V185" s="11" t="n">
        <v>48</v>
      </c>
      <c r="W185" s="11" t="inlineStr">
        <is>
          <t>是</t>
        </is>
      </c>
      <c r="X185" s="11" t="n">
        <v>47</v>
      </c>
      <c r="Y185" s="11" t="inlineStr">
        <is>
          <t>-</t>
        </is>
      </c>
      <c r="Z185" s="11" t="n">
        <v>0</v>
      </c>
      <c r="AA185" s="11" t="inlineStr">
        <is>
          <t>无</t>
        </is>
      </c>
      <c r="AB185" s="12">
        <f>AE184</f>
        <v/>
      </c>
      <c r="AC185" s="12" t="n">
        <v>0</v>
      </c>
      <c r="AD185" s="12" t="n">
        <v>0</v>
      </c>
      <c r="AE185" s="12">
        <f>AB185+AC185+AD185</f>
        <v/>
      </c>
      <c r="AF185" s="13">
        <f>AI184</f>
        <v/>
      </c>
      <c r="AG185" s="13" t="n">
        <v>0</v>
      </c>
      <c r="AH185" s="13" t="n">
        <v>0</v>
      </c>
      <c r="AI185" s="13">
        <f>AF185+AG185+AH185</f>
        <v/>
      </c>
      <c r="AJ185" s="14" t="n">
        <v>30</v>
      </c>
      <c r="AK185" s="14" t="n">
        <v>0</v>
      </c>
      <c r="AL185" s="14" t="n">
        <v>0</v>
      </c>
      <c r="AM185" s="14">
        <f>AJ185+AK185+AL185</f>
        <v/>
      </c>
      <c r="AN185" s="14">
        <f>AN184+AM185</f>
        <v/>
      </c>
    </row>
    <row r="186">
      <c r="A186" s="8" t="n">
        <v>8</v>
      </c>
      <c r="B186" s="8" t="n">
        <v>2</v>
      </c>
      <c r="C186" s="8" t="n">
        <v>1</v>
      </c>
      <c r="D186" s="8" t="inlineStr">
        <is>
          <t>版本免费+义相逢 + 月卡收益</t>
        </is>
      </c>
      <c r="E186" s="9">
        <f>K185</f>
        <v/>
      </c>
      <c r="F186" s="9" t="n">
        <v>1540</v>
      </c>
      <c r="G186" s="9" t="n">
        <v>4800</v>
      </c>
      <c r="H186" s="9" t="n">
        <v>0</v>
      </c>
      <c r="I186" s="9" t="n">
        <v>0</v>
      </c>
      <c r="J186" s="9" t="n">
        <v>640</v>
      </c>
      <c r="K186" s="9">
        <f>E186+F186+G186+H186+I186-J186</f>
        <v/>
      </c>
      <c r="L186" s="10">
        <f>Q185</f>
        <v/>
      </c>
      <c r="M186" s="10" t="n">
        <v>85</v>
      </c>
      <c r="N186" s="10" t="n">
        <v>11</v>
      </c>
      <c r="O186" s="10">
        <f>J186/160</f>
        <v/>
      </c>
      <c r="P186" s="10" t="n">
        <v>100</v>
      </c>
      <c r="Q186" s="10">
        <f>L186+M186+N186+O186-P186</f>
        <v/>
      </c>
      <c r="R186" s="11">
        <f>T185</f>
        <v/>
      </c>
      <c r="S186" s="11">
        <f>N(V186) + N(X186) + N(Z186)</f>
        <v/>
      </c>
      <c r="T186" s="11">
        <f>R186+P186-S186</f>
        <v/>
      </c>
      <c r="U186" s="11" t="inlineStr">
        <is>
          <t>是</t>
        </is>
      </c>
      <c r="V186" s="11" t="n">
        <v>49</v>
      </c>
      <c r="W186" s="11" t="inlineStr">
        <is>
          <t>是</t>
        </is>
      </c>
      <c r="X186" s="11" t="n">
        <v>52</v>
      </c>
      <c r="Y186" s="11" t="inlineStr">
        <is>
          <t>-</t>
        </is>
      </c>
      <c r="Z186" s="11" t="n">
        <v>0</v>
      </c>
      <c r="AA186" s="11" t="inlineStr">
        <is>
          <t>无</t>
        </is>
      </c>
      <c r="AB186" s="12">
        <f>AE185</f>
        <v/>
      </c>
      <c r="AC186" s="12" t="n">
        <v>4</v>
      </c>
      <c r="AD186" s="12" t="n">
        <v>0</v>
      </c>
      <c r="AE186" s="12">
        <f>AB186+AC186+AD186</f>
        <v/>
      </c>
      <c r="AF186" s="13">
        <f>AI185</f>
        <v/>
      </c>
      <c r="AG186" s="13" t="n">
        <v>0</v>
      </c>
      <c r="AH186" s="13" t="n">
        <v>0</v>
      </c>
      <c r="AI186" s="13">
        <f>AF186+AG186+AH186</f>
        <v/>
      </c>
      <c r="AJ186" s="14" t="n">
        <v>0</v>
      </c>
      <c r="AK186" s="14" t="n">
        <v>50</v>
      </c>
      <c r="AL186" s="14" t="n">
        <v>0</v>
      </c>
      <c r="AM186" s="14">
        <f>AJ186+AK186+AL186</f>
        <v/>
      </c>
      <c r="AN186" s="14">
        <f>AN185+AM186</f>
        <v/>
      </c>
    </row>
    <row r="187">
      <c r="A187" s="8" t="n">
        <v>8</v>
      </c>
      <c r="B187" s="8" t="n">
        <v>2</v>
      </c>
      <c r="C187" s="8" t="n">
        <v>2</v>
      </c>
      <c r="D187" s="8" t="inlineStr">
        <is>
          <t>月卡收益 [月卡续费-30元]</t>
        </is>
      </c>
      <c r="E187" s="9">
        <f>K186</f>
        <v/>
      </c>
      <c r="F187" s="9" t="n">
        <v>1540</v>
      </c>
      <c r="G187" s="9" t="n">
        <v>0</v>
      </c>
      <c r="H187" s="9" t="n">
        <v>0</v>
      </c>
      <c r="I187" s="9" t="n">
        <v>0</v>
      </c>
      <c r="J187" s="9" t="n">
        <v>9120</v>
      </c>
      <c r="K187" s="9">
        <f>E187+F187+G187+H187+I187-J187</f>
        <v/>
      </c>
      <c r="L187" s="10">
        <f>Q186</f>
        <v/>
      </c>
      <c r="M187" s="10" t="n">
        <v>0</v>
      </c>
      <c r="N187" s="10" t="n">
        <v>6</v>
      </c>
      <c r="O187" s="10">
        <f>J187/160</f>
        <v/>
      </c>
      <c r="P187" s="10" t="n">
        <v>60</v>
      </c>
      <c r="Q187" s="10">
        <f>L187+M187+N187+O187-P187</f>
        <v/>
      </c>
      <c r="R187" s="11">
        <f>T186</f>
        <v/>
      </c>
      <c r="S187" s="11">
        <f>N(V187) + N(X187) + N(Z187)</f>
        <v/>
      </c>
      <c r="T187" s="11">
        <f>R187+P187-S187</f>
        <v/>
      </c>
      <c r="U187" s="11" t="inlineStr">
        <is>
          <t>是</t>
        </is>
      </c>
      <c r="V187" s="11" t="n">
        <v>51</v>
      </c>
      <c r="W187" s="11" t="inlineStr">
        <is>
          <t>否</t>
        </is>
      </c>
      <c r="X187" s="11" t="inlineStr">
        <is>
          <t>-</t>
        </is>
      </c>
      <c r="Y187" s="11" t="inlineStr">
        <is>
          <t>-</t>
        </is>
      </c>
      <c r="Z187" s="11" t="n">
        <v>0</v>
      </c>
      <c r="AA187" s="11" t="inlineStr">
        <is>
          <t>垫到60抽</t>
        </is>
      </c>
      <c r="AB187" s="12">
        <f>AE186</f>
        <v/>
      </c>
      <c r="AC187" s="12" t="n">
        <v>0</v>
      </c>
      <c r="AD187" s="12" t="n">
        <v>0</v>
      </c>
      <c r="AE187" s="12">
        <f>AB187+AC187+AD187</f>
        <v/>
      </c>
      <c r="AF187" s="13">
        <f>AI186</f>
        <v/>
      </c>
      <c r="AG187" s="13" t="n">
        <v>0</v>
      </c>
      <c r="AH187" s="13" t="n">
        <v>0</v>
      </c>
      <c r="AI187" s="13">
        <f>AF187+AG187+AH187</f>
        <v/>
      </c>
      <c r="AJ187" s="14" t="n">
        <v>30</v>
      </c>
      <c r="AK187" s="14" t="n">
        <v>0</v>
      </c>
      <c r="AL187" s="14" t="n">
        <v>0</v>
      </c>
      <c r="AM187" s="14">
        <f>AJ187+AK187+AL187</f>
        <v/>
      </c>
      <c r="AN187" s="14">
        <f>AN186+AM187</f>
        <v/>
      </c>
    </row>
    <row r="188">
      <c r="A188" s="8" t="n">
        <v>8</v>
      </c>
      <c r="B188" s="8" t="n">
        <v>3</v>
      </c>
      <c r="C188" s="8" t="n">
        <v>1</v>
      </c>
      <c r="D188" s="8" t="inlineStr">
        <is>
          <t>版本免费+义相逢 + 月卡收益</t>
        </is>
      </c>
      <c r="E188" s="9">
        <f>K187</f>
        <v/>
      </c>
      <c r="F188" s="9" t="n">
        <v>1540</v>
      </c>
      <c r="G188" s="9" t="n">
        <v>4800</v>
      </c>
      <c r="H188" s="9" t="n">
        <v>0</v>
      </c>
      <c r="I188" s="9" t="n">
        <v>0</v>
      </c>
      <c r="J188" s="9" t="n">
        <v>0</v>
      </c>
      <c r="K188" s="9">
        <f>E188+F188+G188+H188+I188-J188</f>
        <v/>
      </c>
      <c r="L188" s="10">
        <f>Q187</f>
        <v/>
      </c>
      <c r="M188" s="10" t="n">
        <v>85</v>
      </c>
      <c r="N188" s="10" t="n">
        <v>3</v>
      </c>
      <c r="O188" s="10">
        <f>J188/160</f>
        <v/>
      </c>
      <c r="P188" s="10" t="n">
        <v>40</v>
      </c>
      <c r="Q188" s="10">
        <f>L188+M188+N188+O188-P188</f>
        <v/>
      </c>
      <c r="R188" s="11">
        <f>T187</f>
        <v/>
      </c>
      <c r="S188" s="11">
        <f>N(V188) + N(X188) + N(Z188)</f>
        <v/>
      </c>
      <c r="T188" s="11">
        <f>R188+P188-S188</f>
        <v/>
      </c>
      <c r="U188" s="11" t="inlineStr">
        <is>
          <t>是</t>
        </is>
      </c>
      <c r="V188" s="11" t="n">
        <v>48</v>
      </c>
      <c r="W188" s="11" t="inlineStr">
        <is>
          <t>否</t>
        </is>
      </c>
      <c r="X188" s="11" t="inlineStr">
        <is>
          <t>-</t>
        </is>
      </c>
      <c r="Y188" s="11" t="inlineStr">
        <is>
          <t>-</t>
        </is>
      </c>
      <c r="Z188" s="11" t="n">
        <v>0</v>
      </c>
      <c r="AA188" s="11" t="inlineStr">
        <is>
          <t>无</t>
        </is>
      </c>
      <c r="AB188" s="12">
        <f>AE187</f>
        <v/>
      </c>
      <c r="AC188" s="12" t="n">
        <v>4</v>
      </c>
      <c r="AD188" s="12" t="n">
        <v>0</v>
      </c>
      <c r="AE188" s="12">
        <f>AB188+AC188+AD188</f>
        <v/>
      </c>
      <c r="AF188" s="13">
        <f>AI187</f>
        <v/>
      </c>
      <c r="AG188" s="13" t="n">
        <v>0</v>
      </c>
      <c r="AH188" s="13" t="n">
        <v>0</v>
      </c>
      <c r="AI188" s="13">
        <f>AF188+AG188+AH188</f>
        <v/>
      </c>
      <c r="AJ188" s="14" t="n">
        <v>0</v>
      </c>
      <c r="AK188" s="14" t="n">
        <v>50</v>
      </c>
      <c r="AL188" s="14" t="n">
        <v>0</v>
      </c>
      <c r="AM188" s="14">
        <f>AJ188+AK188+AL188</f>
        <v/>
      </c>
      <c r="AN188" s="14">
        <f>AN187+AM188</f>
        <v/>
      </c>
    </row>
    <row r="189">
      <c r="A189" s="8" t="n">
        <v>8</v>
      </c>
      <c r="B189" s="8" t="n">
        <v>3</v>
      </c>
      <c r="C189" s="8" t="n">
        <v>2</v>
      </c>
      <c r="D189" s="8" t="inlineStr">
        <is>
          <t>月卡收益 [月卡续费-30元]</t>
        </is>
      </c>
      <c r="E189" s="9">
        <f>K188</f>
        <v/>
      </c>
      <c r="F189" s="9" t="n">
        <v>1540</v>
      </c>
      <c r="G189" s="9" t="n">
        <v>0</v>
      </c>
      <c r="H189" s="9" t="n">
        <v>0</v>
      </c>
      <c r="I189" s="9" t="n">
        <v>0</v>
      </c>
      <c r="J189" s="9" t="n">
        <v>0</v>
      </c>
      <c r="K189" s="9">
        <f>E189+F189+G189+H189+I189-J189</f>
        <v/>
      </c>
      <c r="L189" s="10">
        <f>Q188</f>
        <v/>
      </c>
      <c r="M189" s="10" t="n">
        <v>0</v>
      </c>
      <c r="N189" s="10" t="n">
        <v>3</v>
      </c>
      <c r="O189" s="10">
        <f>J189/160</f>
        <v/>
      </c>
      <c r="P189" s="10" t="n">
        <v>40</v>
      </c>
      <c r="Q189" s="10">
        <f>L189+M189+N189+O189-P189</f>
        <v/>
      </c>
      <c r="R189" s="11">
        <f>T188</f>
        <v/>
      </c>
      <c r="S189" s="11">
        <f>N(V189) + N(X189) + N(Z189)</f>
        <v/>
      </c>
      <c r="T189" s="11">
        <f>R189+P189-S189</f>
        <v/>
      </c>
      <c r="U189" s="11" t="inlineStr">
        <is>
          <t>是</t>
        </is>
      </c>
      <c r="V189" s="11" t="n">
        <v>49</v>
      </c>
      <c r="W189" s="11" t="inlineStr">
        <is>
          <t>否</t>
        </is>
      </c>
      <c r="X189" s="11" t="inlineStr">
        <is>
          <t>-</t>
        </is>
      </c>
      <c r="Y189" s="11" t="inlineStr">
        <is>
          <t>-</t>
        </is>
      </c>
      <c r="Z189" s="11" t="n">
        <v>0</v>
      </c>
      <c r="AA189" s="11" t="inlineStr">
        <is>
          <t>无</t>
        </is>
      </c>
      <c r="AB189" s="12">
        <f>AE188</f>
        <v/>
      </c>
      <c r="AC189" s="12" t="n">
        <v>0</v>
      </c>
      <c r="AD189" s="12" t="n">
        <v>0</v>
      </c>
      <c r="AE189" s="12">
        <f>AB189+AC189+AD189</f>
        <v/>
      </c>
      <c r="AF189" s="13">
        <f>AI188</f>
        <v/>
      </c>
      <c r="AG189" s="13" t="n">
        <v>0</v>
      </c>
      <c r="AH189" s="13" t="n">
        <v>0</v>
      </c>
      <c r="AI189" s="13">
        <f>AF189+AG189+AH189</f>
        <v/>
      </c>
      <c r="AJ189" s="14" t="n">
        <v>30</v>
      </c>
      <c r="AK189" s="14" t="n">
        <v>0</v>
      </c>
      <c r="AL189" s="14" t="n">
        <v>0</v>
      </c>
      <c r="AM189" s="14">
        <f>AJ189+AK189+AL189</f>
        <v/>
      </c>
      <c r="AN189" s="14">
        <f>AN188+AM189</f>
        <v/>
      </c>
    </row>
    <row r="190">
      <c r="A190" s="8" t="n">
        <v>8</v>
      </c>
      <c r="B190" s="8" t="n">
        <v>4</v>
      </c>
      <c r="C190" s="8" t="n">
        <v>1</v>
      </c>
      <c r="D190" s="8" t="inlineStr">
        <is>
          <t>版本免费+义相逢 + 月卡收益</t>
        </is>
      </c>
      <c r="E190" s="9">
        <f>K189</f>
        <v/>
      </c>
      <c r="F190" s="9" t="n">
        <v>1540</v>
      </c>
      <c r="G190" s="9" t="n">
        <v>4800</v>
      </c>
      <c r="H190" s="9" t="n">
        <v>0</v>
      </c>
      <c r="I190" s="9" t="n">
        <v>0</v>
      </c>
      <c r="J190" s="9" t="n">
        <v>0</v>
      </c>
      <c r="K190" s="9">
        <f>E190+F190+G190+H190+I190-J190</f>
        <v/>
      </c>
      <c r="L190" s="10">
        <f>Q189</f>
        <v/>
      </c>
      <c r="M190" s="10" t="n">
        <v>85</v>
      </c>
      <c r="N190" s="10" t="n">
        <v>6</v>
      </c>
      <c r="O190" s="10">
        <f>J190/160</f>
        <v/>
      </c>
      <c r="P190" s="10" t="n">
        <v>60</v>
      </c>
      <c r="Q190" s="10">
        <f>L190+M190+N190+O190-P190</f>
        <v/>
      </c>
      <c r="R190" s="11">
        <f>T189</f>
        <v/>
      </c>
      <c r="S190" s="11">
        <f>N(V190) + N(X190) + N(Z190)</f>
        <v/>
      </c>
      <c r="T190" s="11">
        <f>R190+P190-S190</f>
        <v/>
      </c>
      <c r="U190" s="11" t="inlineStr">
        <is>
          <t>是</t>
        </is>
      </c>
      <c r="V190" s="11" t="n">
        <v>51</v>
      </c>
      <c r="W190" s="11" t="inlineStr">
        <is>
          <t>否</t>
        </is>
      </c>
      <c r="X190" s="11" t="inlineStr">
        <is>
          <t>-</t>
        </is>
      </c>
      <c r="Y190" s="11" t="inlineStr">
        <is>
          <t>-</t>
        </is>
      </c>
      <c r="Z190" s="11" t="n">
        <v>0</v>
      </c>
      <c r="AA190" s="11" t="inlineStr">
        <is>
          <t>无</t>
        </is>
      </c>
      <c r="AB190" s="12">
        <f>AE189</f>
        <v/>
      </c>
      <c r="AC190" s="12" t="n">
        <v>4</v>
      </c>
      <c r="AD190" s="12" t="n">
        <v>0</v>
      </c>
      <c r="AE190" s="12">
        <f>AB190+AC190+AD190</f>
        <v/>
      </c>
      <c r="AF190" s="13">
        <f>AI189</f>
        <v/>
      </c>
      <c r="AG190" s="13" t="n">
        <v>0</v>
      </c>
      <c r="AH190" s="13" t="n">
        <v>0</v>
      </c>
      <c r="AI190" s="13">
        <f>AF190+AG190+AH190</f>
        <v/>
      </c>
      <c r="AJ190" s="14" t="n">
        <v>0</v>
      </c>
      <c r="AK190" s="14" t="n">
        <v>50</v>
      </c>
      <c r="AL190" s="14" t="n">
        <v>0</v>
      </c>
      <c r="AM190" s="14">
        <f>AJ190+AK190+AL190</f>
        <v/>
      </c>
      <c r="AN190" s="14">
        <f>AN189+AM190</f>
        <v/>
      </c>
    </row>
    <row r="191">
      <c r="A191" s="8" t="n">
        <v>8</v>
      </c>
      <c r="B191" s="8" t="n">
        <v>4</v>
      </c>
      <c r="C191" s="8" t="n">
        <v>2</v>
      </c>
      <c r="D191" s="8" t="inlineStr">
        <is>
          <t>月卡收益 [月卡续费-30元]</t>
        </is>
      </c>
      <c r="E191" s="9">
        <f>K190</f>
        <v/>
      </c>
      <c r="F191" s="9" t="n">
        <v>1540</v>
      </c>
      <c r="G191" s="9" t="n">
        <v>0</v>
      </c>
      <c r="H191" s="9" t="n">
        <v>0</v>
      </c>
      <c r="I191" s="9" t="n">
        <v>0</v>
      </c>
      <c r="J191" s="9" t="n">
        <v>6240</v>
      </c>
      <c r="K191" s="9">
        <f>E191+F191+G191+H191+I191-J191</f>
        <v/>
      </c>
      <c r="L191" s="10">
        <f>Q190</f>
        <v/>
      </c>
      <c r="M191" s="10" t="n">
        <v>0</v>
      </c>
      <c r="N191" s="10" t="n">
        <v>11</v>
      </c>
      <c r="O191" s="10">
        <f>J191/160</f>
        <v/>
      </c>
      <c r="P191" s="10" t="n">
        <v>90</v>
      </c>
      <c r="Q191" s="10">
        <f>L191+M191+N191+O191-P191</f>
        <v/>
      </c>
      <c r="R191" s="11">
        <f>T190</f>
        <v/>
      </c>
      <c r="S191" s="11">
        <f>N(V191) + N(X191) + N(Z191)</f>
        <v/>
      </c>
      <c r="T191" s="11">
        <f>R191+P191-S191</f>
        <v/>
      </c>
      <c r="U191" s="11" t="inlineStr">
        <is>
          <t>是</t>
        </is>
      </c>
      <c r="V191" s="11" t="n">
        <v>48</v>
      </c>
      <c r="W191" s="11" t="inlineStr">
        <is>
          <t>是</t>
        </is>
      </c>
      <c r="X191" s="11" t="n">
        <v>49</v>
      </c>
      <c r="Y191" s="11" t="inlineStr">
        <is>
          <t>-</t>
        </is>
      </c>
      <c r="Z191" s="11" t="n">
        <v>0</v>
      </c>
      <c r="AA191" s="11" t="inlineStr">
        <is>
          <t>无</t>
        </is>
      </c>
      <c r="AB191" s="12">
        <f>AE190</f>
        <v/>
      </c>
      <c r="AC191" s="12" t="n">
        <v>0</v>
      </c>
      <c r="AD191" s="12" t="n">
        <v>0</v>
      </c>
      <c r="AE191" s="12">
        <f>AB191+AC191+AD191</f>
        <v/>
      </c>
      <c r="AF191" s="13">
        <f>AI190</f>
        <v/>
      </c>
      <c r="AG191" s="13" t="n">
        <v>0</v>
      </c>
      <c r="AH191" s="13" t="n">
        <v>0</v>
      </c>
      <c r="AI191" s="13">
        <f>AF191+AG191+AH191</f>
        <v/>
      </c>
      <c r="AJ191" s="14" t="n">
        <v>30</v>
      </c>
      <c r="AK191" s="14" t="n">
        <v>0</v>
      </c>
      <c r="AL191" s="14" t="n">
        <v>0</v>
      </c>
      <c r="AM191" s="14">
        <f>AJ191+AK191+AL191</f>
        <v/>
      </c>
      <c r="AN191" s="14">
        <f>AN190+AM191</f>
        <v/>
      </c>
    </row>
    <row r="192">
      <c r="A192" s="8" t="n">
        <v>8</v>
      </c>
      <c r="B192" s="8" t="n">
        <v>5</v>
      </c>
      <c r="C192" s="8" t="n">
        <v>1</v>
      </c>
      <c r="D192" s="8" t="inlineStr">
        <is>
          <t>版本免费+义相逢 + 月卡收益</t>
        </is>
      </c>
      <c r="E192" s="9">
        <f>K191</f>
        <v/>
      </c>
      <c r="F192" s="9" t="n">
        <v>1540</v>
      </c>
      <c r="G192" s="9" t="n">
        <v>4800</v>
      </c>
      <c r="H192" s="9" t="n">
        <v>0</v>
      </c>
      <c r="I192" s="9" t="n">
        <v>0</v>
      </c>
      <c r="J192" s="9" t="n">
        <v>1440</v>
      </c>
      <c r="K192" s="9">
        <f>E192+F192+G192+H192+I192-J192</f>
        <v/>
      </c>
      <c r="L192" s="10">
        <f>Q191</f>
        <v/>
      </c>
      <c r="M192" s="10" t="n">
        <v>85</v>
      </c>
      <c r="N192" s="10" t="n">
        <v>11</v>
      </c>
      <c r="O192" s="10">
        <f>J192/160</f>
        <v/>
      </c>
      <c r="P192" s="10" t="n">
        <v>110</v>
      </c>
      <c r="Q192" s="10">
        <f>L192+M192+N192+O192-P192</f>
        <v/>
      </c>
      <c r="R192" s="11">
        <f>T191</f>
        <v/>
      </c>
      <c r="S192" s="11">
        <f>N(V192) + N(X192) + N(Z192)</f>
        <v/>
      </c>
      <c r="T192" s="11">
        <f>R192+P192-S192</f>
        <v/>
      </c>
      <c r="U192" s="11" t="inlineStr">
        <is>
          <t>是</t>
        </is>
      </c>
      <c r="V192" s="11" t="n">
        <v>52</v>
      </c>
      <c r="W192" s="11" t="inlineStr">
        <is>
          <t>是</t>
        </is>
      </c>
      <c r="X192" s="11" t="n">
        <v>51</v>
      </c>
      <c r="Y192" s="11" t="inlineStr">
        <is>
          <t>-</t>
        </is>
      </c>
      <c r="Z192" s="11" t="n">
        <v>0</v>
      </c>
      <c r="AA192" s="11" t="inlineStr">
        <is>
          <t>无</t>
        </is>
      </c>
      <c r="AB192" s="12">
        <f>AE191</f>
        <v/>
      </c>
      <c r="AC192" s="12" t="n">
        <v>4</v>
      </c>
      <c r="AD192" s="12" t="n">
        <v>0</v>
      </c>
      <c r="AE192" s="12">
        <f>AB192+AC192+AD192</f>
        <v/>
      </c>
      <c r="AF192" s="13">
        <f>AI191</f>
        <v/>
      </c>
      <c r="AG192" s="13" t="n">
        <v>0</v>
      </c>
      <c r="AH192" s="13" t="n">
        <v>0</v>
      </c>
      <c r="AI192" s="13">
        <f>AF192+AG192+AH192</f>
        <v/>
      </c>
      <c r="AJ192" s="14" t="n">
        <v>0</v>
      </c>
      <c r="AK192" s="14" t="n">
        <v>50</v>
      </c>
      <c r="AL192" s="14" t="n">
        <v>0</v>
      </c>
      <c r="AM192" s="14">
        <f>AJ192+AK192+AL192</f>
        <v/>
      </c>
      <c r="AN192" s="14">
        <f>AN191+AM192</f>
        <v/>
      </c>
    </row>
    <row r="193">
      <c r="A193" s="8" t="n">
        <v>8</v>
      </c>
      <c r="B193" s="8" t="n">
        <v>5</v>
      </c>
      <c r="C193" s="8" t="n">
        <v>2</v>
      </c>
      <c r="D193" s="8" t="inlineStr">
        <is>
          <t>月卡收益 [月卡续费-30元]</t>
        </is>
      </c>
      <c r="E193" s="9">
        <f>K192</f>
        <v/>
      </c>
      <c r="F193" s="9" t="n">
        <v>1540</v>
      </c>
      <c r="G193" s="9" t="n">
        <v>0</v>
      </c>
      <c r="H193" s="9" t="n">
        <v>0</v>
      </c>
      <c r="I193" s="9" t="n">
        <v>0</v>
      </c>
      <c r="J193" s="9" t="n">
        <v>9120</v>
      </c>
      <c r="K193" s="9">
        <f>E193+F193+G193+H193+I193-J193</f>
        <v/>
      </c>
      <c r="L193" s="10">
        <f>Q192</f>
        <v/>
      </c>
      <c r="M193" s="10" t="n">
        <v>0</v>
      </c>
      <c r="N193" s="10" t="n">
        <v>6</v>
      </c>
      <c r="O193" s="10">
        <f>J193/160</f>
        <v/>
      </c>
      <c r="P193" s="10" t="n">
        <v>60</v>
      </c>
      <c r="Q193" s="10">
        <f>L193+M193+N193+O193-P193</f>
        <v/>
      </c>
      <c r="R193" s="11">
        <f>T192</f>
        <v/>
      </c>
      <c r="S193" s="11">
        <f>N(V193) + N(X193) + N(Z193)</f>
        <v/>
      </c>
      <c r="T193" s="11">
        <f>R193+P193-S193</f>
        <v/>
      </c>
      <c r="U193" s="11" t="inlineStr">
        <is>
          <t>是</t>
        </is>
      </c>
      <c r="V193" s="11" t="n">
        <v>50</v>
      </c>
      <c r="W193" s="11" t="inlineStr">
        <is>
          <t>否</t>
        </is>
      </c>
      <c r="X193" s="11" t="inlineStr">
        <is>
          <t>-</t>
        </is>
      </c>
      <c r="Y193" s="11" t="inlineStr">
        <is>
          <t>-</t>
        </is>
      </c>
      <c r="Z193" s="11" t="n">
        <v>0</v>
      </c>
      <c r="AA193" s="11" t="inlineStr">
        <is>
          <t>垫到60抽</t>
        </is>
      </c>
      <c r="AB193" s="12">
        <f>AE192</f>
        <v/>
      </c>
      <c r="AC193" s="12" t="n">
        <v>0</v>
      </c>
      <c r="AD193" s="12" t="n">
        <v>0</v>
      </c>
      <c r="AE193" s="12">
        <f>AB193+AC193+AD193</f>
        <v/>
      </c>
      <c r="AF193" s="13">
        <f>AI192</f>
        <v/>
      </c>
      <c r="AG193" s="13" t="n">
        <v>0</v>
      </c>
      <c r="AH193" s="13" t="n">
        <v>0</v>
      </c>
      <c r="AI193" s="13">
        <f>AF193+AG193+AH193</f>
        <v/>
      </c>
      <c r="AJ193" s="14" t="n">
        <v>30</v>
      </c>
      <c r="AK193" s="14" t="n">
        <v>0</v>
      </c>
      <c r="AL193" s="14" t="n">
        <v>0</v>
      </c>
      <c r="AM193" s="14">
        <f>AJ193+AK193+AL193</f>
        <v/>
      </c>
      <c r="AN193" s="14">
        <f>AN192+AM193</f>
        <v/>
      </c>
    </row>
    <row r="194">
      <c r="A194" s="8" t="n">
        <v>8</v>
      </c>
      <c r="B194" s="8" t="n">
        <v>6</v>
      </c>
      <c r="C194" s="8" t="n">
        <v>1</v>
      </c>
      <c r="D194" s="8" t="inlineStr">
        <is>
          <t>版本免费+义相逢 + 月卡收益</t>
        </is>
      </c>
      <c r="E194" s="9">
        <f>K193</f>
        <v/>
      </c>
      <c r="F194" s="9" t="n">
        <v>1540</v>
      </c>
      <c r="G194" s="9" t="n">
        <v>4800</v>
      </c>
      <c r="H194" s="9" t="n">
        <v>0</v>
      </c>
      <c r="I194" s="9" t="n">
        <v>0</v>
      </c>
      <c r="J194" s="9" t="n">
        <v>0</v>
      </c>
      <c r="K194" s="9">
        <f>E194+F194+G194+H194+I194-J194</f>
        <v/>
      </c>
      <c r="L194" s="10">
        <f>Q193</f>
        <v/>
      </c>
      <c r="M194" s="10" t="n">
        <v>85</v>
      </c>
      <c r="N194" s="10" t="n">
        <v>11</v>
      </c>
      <c r="O194" s="10">
        <f>J194/160</f>
        <v/>
      </c>
      <c r="P194" s="10" t="n">
        <v>90</v>
      </c>
      <c r="Q194" s="10">
        <f>L194+M194+N194+O194-P194</f>
        <v/>
      </c>
      <c r="R194" s="11">
        <f>T193</f>
        <v/>
      </c>
      <c r="S194" s="11">
        <f>N(V194) + N(X194) + N(Z194)</f>
        <v/>
      </c>
      <c r="T194" s="11">
        <f>R194+P194-S194</f>
        <v/>
      </c>
      <c r="U194" s="11" t="inlineStr">
        <is>
          <t>是</t>
        </is>
      </c>
      <c r="V194" s="11" t="n">
        <v>51</v>
      </c>
      <c r="W194" s="11" t="inlineStr">
        <is>
          <t>是</t>
        </is>
      </c>
      <c r="X194" s="11" t="n">
        <v>49</v>
      </c>
      <c r="Y194" s="11" t="inlineStr">
        <is>
          <t>-</t>
        </is>
      </c>
      <c r="Z194" s="11" t="n">
        <v>0</v>
      </c>
      <c r="AA194" s="11" t="inlineStr">
        <is>
          <t>无</t>
        </is>
      </c>
      <c r="AB194" s="12">
        <f>AE193</f>
        <v/>
      </c>
      <c r="AC194" s="12" t="n">
        <v>4</v>
      </c>
      <c r="AD194" s="12" t="n">
        <v>0</v>
      </c>
      <c r="AE194" s="12">
        <f>AB194+AC194+AD194</f>
        <v/>
      </c>
      <c r="AF194" s="13">
        <f>AI193</f>
        <v/>
      </c>
      <c r="AG194" s="13" t="n">
        <v>0</v>
      </c>
      <c r="AH194" s="13" t="n">
        <v>0</v>
      </c>
      <c r="AI194" s="13">
        <f>AF194+AG194+AH194</f>
        <v/>
      </c>
      <c r="AJ194" s="14" t="n">
        <v>0</v>
      </c>
      <c r="AK194" s="14" t="n">
        <v>50</v>
      </c>
      <c r="AL194" s="14" t="n">
        <v>0</v>
      </c>
      <c r="AM194" s="14">
        <f>AJ194+AK194+AL194</f>
        <v/>
      </c>
      <c r="AN194" s="14">
        <f>AN193+AM194</f>
        <v/>
      </c>
    </row>
    <row r="195">
      <c r="A195" s="8" t="n">
        <v>8</v>
      </c>
      <c r="B195" s="8" t="n">
        <v>6</v>
      </c>
      <c r="C195" s="8" t="n">
        <v>2</v>
      </c>
      <c r="D195" s="8" t="inlineStr">
        <is>
          <t>月卡收益 [月卡续费-30元]</t>
        </is>
      </c>
      <c r="E195" s="9">
        <f>K194</f>
        <v/>
      </c>
      <c r="F195" s="9" t="n">
        <v>1540</v>
      </c>
      <c r="G195" s="9" t="n">
        <v>0</v>
      </c>
      <c r="H195" s="9" t="n">
        <v>0</v>
      </c>
      <c r="I195" s="9" t="n">
        <v>0</v>
      </c>
      <c r="J195" s="9" t="n">
        <v>12800</v>
      </c>
      <c r="K195" s="9">
        <f>E195+F195+G195+H195+I195-J195</f>
        <v/>
      </c>
      <c r="L195" s="10">
        <f>Q194</f>
        <v/>
      </c>
      <c r="M195" s="10" t="n">
        <v>0</v>
      </c>
      <c r="N195" s="10" t="n">
        <v>11</v>
      </c>
      <c r="O195" s="10">
        <f>J195/160</f>
        <v/>
      </c>
      <c r="P195" s="10" t="n">
        <v>100</v>
      </c>
      <c r="Q195" s="10">
        <f>L195+M195+N195+O195-P195</f>
        <v/>
      </c>
      <c r="R195" s="11">
        <f>T194</f>
        <v/>
      </c>
      <c r="S195" s="11">
        <f>N(V195) + N(X195) + N(Z195)</f>
        <v/>
      </c>
      <c r="T195" s="11">
        <f>R195+P195-S195</f>
        <v/>
      </c>
      <c r="U195" s="11" t="inlineStr">
        <is>
          <t>是</t>
        </is>
      </c>
      <c r="V195" s="11" t="n">
        <v>50</v>
      </c>
      <c r="W195" s="11" t="inlineStr">
        <is>
          <t>是</t>
        </is>
      </c>
      <c r="X195" s="11" t="n">
        <v>54</v>
      </c>
      <c r="Y195" s="11" t="inlineStr">
        <is>
          <t>-</t>
        </is>
      </c>
      <c r="Z195" s="11" t="n">
        <v>0</v>
      </c>
      <c r="AA195" s="11" t="inlineStr">
        <is>
          <t>无</t>
        </is>
      </c>
      <c r="AB195" s="12">
        <f>AE194</f>
        <v/>
      </c>
      <c r="AC195" s="12" t="n">
        <v>0</v>
      </c>
      <c r="AD195" s="12" t="n">
        <v>0</v>
      </c>
      <c r="AE195" s="12">
        <f>AB195+AC195+AD195</f>
        <v/>
      </c>
      <c r="AF195" s="13">
        <f>AI194</f>
        <v/>
      </c>
      <c r="AG195" s="13" t="n">
        <v>0</v>
      </c>
      <c r="AH195" s="13" t="n">
        <v>0</v>
      </c>
      <c r="AI195" s="13">
        <f>AF195+AG195+AH195</f>
        <v/>
      </c>
      <c r="AJ195" s="14" t="n">
        <v>30</v>
      </c>
      <c r="AK195" s="14" t="n">
        <v>0</v>
      </c>
      <c r="AL195" s="14" t="n">
        <v>0</v>
      </c>
      <c r="AM195" s="14">
        <f>AJ195+AK195+AL195</f>
        <v/>
      </c>
      <c r="AN195" s="14">
        <f>AN194+AM195</f>
        <v/>
      </c>
    </row>
    <row r="196">
      <c r="A196" s="8" t="n">
        <v>8</v>
      </c>
      <c r="B196" s="8" t="n">
        <v>7</v>
      </c>
      <c r="C196" s="8" t="n">
        <v>1</v>
      </c>
      <c r="D196" s="8" t="inlineStr">
        <is>
          <t>版本免费+义相逢 + 月卡收益</t>
        </is>
      </c>
      <c r="E196" s="9">
        <f>K195</f>
        <v/>
      </c>
      <c r="F196" s="9" t="n">
        <v>1540</v>
      </c>
      <c r="G196" s="9" t="n">
        <v>4800</v>
      </c>
      <c r="H196" s="9" t="n">
        <v>0</v>
      </c>
      <c r="I196" s="9" t="n">
        <v>0</v>
      </c>
      <c r="J196" s="9" t="n">
        <v>640</v>
      </c>
      <c r="K196" s="9">
        <f>E196+F196+G196+H196+I196-J196</f>
        <v/>
      </c>
      <c r="L196" s="10">
        <f>Q195</f>
        <v/>
      </c>
      <c r="M196" s="10" t="n">
        <v>85</v>
      </c>
      <c r="N196" s="10" t="n">
        <v>11</v>
      </c>
      <c r="O196" s="10">
        <f>J196/160</f>
        <v/>
      </c>
      <c r="P196" s="10" t="n">
        <v>100</v>
      </c>
      <c r="Q196" s="10">
        <f>L196+M196+N196+O196-P196</f>
        <v/>
      </c>
      <c r="R196" s="11">
        <f>T195</f>
        <v/>
      </c>
      <c r="S196" s="11">
        <f>N(V196) + N(X196) + N(Z196)</f>
        <v/>
      </c>
      <c r="T196" s="11">
        <f>R196+P196-S196</f>
        <v/>
      </c>
      <c r="U196" s="11" t="inlineStr">
        <is>
          <t>是</t>
        </is>
      </c>
      <c r="V196" s="11" t="n">
        <v>47</v>
      </c>
      <c r="W196" s="11" t="inlineStr">
        <is>
          <t>是</t>
        </is>
      </c>
      <c r="X196" s="11" t="n">
        <v>52</v>
      </c>
      <c r="Y196" s="11" t="inlineStr">
        <is>
          <t>-</t>
        </is>
      </c>
      <c r="Z196" s="11" t="n">
        <v>0</v>
      </c>
      <c r="AA196" s="11" t="inlineStr">
        <is>
          <t>无</t>
        </is>
      </c>
      <c r="AB196" s="12">
        <f>AE195</f>
        <v/>
      </c>
      <c r="AC196" s="12" t="n">
        <v>4</v>
      </c>
      <c r="AD196" s="12" t="n">
        <v>0</v>
      </c>
      <c r="AE196" s="12">
        <f>AB196+AC196+AD196</f>
        <v/>
      </c>
      <c r="AF196" s="13">
        <f>AI195</f>
        <v/>
      </c>
      <c r="AG196" s="13" t="n">
        <v>0</v>
      </c>
      <c r="AH196" s="13" t="n">
        <v>0</v>
      </c>
      <c r="AI196" s="13">
        <f>AF196+AG196+AH196</f>
        <v/>
      </c>
      <c r="AJ196" s="14" t="n">
        <v>0</v>
      </c>
      <c r="AK196" s="14" t="n">
        <v>50</v>
      </c>
      <c r="AL196" s="14" t="n">
        <v>0</v>
      </c>
      <c r="AM196" s="14">
        <f>AJ196+AK196+AL196</f>
        <v/>
      </c>
      <c r="AN196" s="14">
        <f>AN195+AM196</f>
        <v/>
      </c>
    </row>
    <row r="197">
      <c r="A197" s="8" t="n">
        <v>8</v>
      </c>
      <c r="B197" s="8" t="n">
        <v>7</v>
      </c>
      <c r="C197" s="8" t="n">
        <v>2</v>
      </c>
      <c r="D197" s="8" t="inlineStr">
        <is>
          <t>月卡收益</t>
        </is>
      </c>
      <c r="E197" s="9">
        <f>K196</f>
        <v/>
      </c>
      <c r="F197" s="9" t="n">
        <v>1540</v>
      </c>
      <c r="G197" s="9" t="n">
        <v>0</v>
      </c>
      <c r="H197" s="9" t="n">
        <v>0</v>
      </c>
      <c r="I197" s="9" t="n">
        <v>0</v>
      </c>
      <c r="J197" s="9" t="n">
        <v>9120</v>
      </c>
      <c r="K197" s="9">
        <f>E197+F197+G197+H197+I197-J197</f>
        <v/>
      </c>
      <c r="L197" s="10">
        <f>Q196</f>
        <v/>
      </c>
      <c r="M197" s="10" t="n">
        <v>0</v>
      </c>
      <c r="N197" s="10" t="n">
        <v>6</v>
      </c>
      <c r="O197" s="10">
        <f>J197/160</f>
        <v/>
      </c>
      <c r="P197" s="10" t="n">
        <v>60</v>
      </c>
      <c r="Q197" s="10">
        <f>L197+M197+N197+O197-P197</f>
        <v/>
      </c>
      <c r="R197" s="11">
        <f>T196</f>
        <v/>
      </c>
      <c r="S197" s="11">
        <f>N(V197) + N(X197) + N(Z197)</f>
        <v/>
      </c>
      <c r="T197" s="11">
        <f>R197+P197-S197</f>
        <v/>
      </c>
      <c r="U197" s="11" t="inlineStr">
        <is>
          <t>是</t>
        </is>
      </c>
      <c r="V197" s="11" t="n">
        <v>49</v>
      </c>
      <c r="W197" s="11" t="inlineStr">
        <is>
          <t>否</t>
        </is>
      </c>
      <c r="X197" s="11" t="inlineStr">
        <is>
          <t>-</t>
        </is>
      </c>
      <c r="Y197" s="11" t="inlineStr">
        <is>
          <t>-</t>
        </is>
      </c>
      <c r="Z197" s="11" t="n">
        <v>0</v>
      </c>
      <c r="AA197" s="11" t="inlineStr">
        <is>
          <t>垫到60抽</t>
        </is>
      </c>
      <c r="AB197" s="12">
        <f>AE196</f>
        <v/>
      </c>
      <c r="AC197" s="12" t="n">
        <v>0</v>
      </c>
      <c r="AD197" s="12" t="n">
        <v>0</v>
      </c>
      <c r="AE197" s="12">
        <f>AB197+AC197+AD197</f>
        <v/>
      </c>
      <c r="AF197" s="13">
        <f>AI196</f>
        <v/>
      </c>
      <c r="AG197" s="13" t="n">
        <v>0</v>
      </c>
      <c r="AH197" s="13" t="n">
        <v>0</v>
      </c>
      <c r="AI197" s="13">
        <f>AF197+AG197+AH197</f>
        <v/>
      </c>
      <c r="AJ197" s="14" t="n">
        <v>0</v>
      </c>
      <c r="AK197" s="14" t="n">
        <v>0</v>
      </c>
      <c r="AL197" s="14" t="n">
        <v>0</v>
      </c>
      <c r="AM197" s="14">
        <f>AJ197+AK197+AL197</f>
        <v/>
      </c>
      <c r="AN197" s="14">
        <f>AN196+AM197</f>
        <v/>
      </c>
    </row>
    <row r="198">
      <c r="A198" s="8" t="n">
        <v>8</v>
      </c>
      <c r="B198" s="8" t="n">
        <v>8</v>
      </c>
      <c r="C198" s="8" t="n">
        <v>1</v>
      </c>
      <c r="D198" s="8" t="inlineStr">
        <is>
          <t>版本免费+义相逢 + 月卡收益 [月卡续费-30元]</t>
        </is>
      </c>
      <c r="E198" s="9">
        <f>K197</f>
        <v/>
      </c>
      <c r="F198" s="9" t="n">
        <v>1540</v>
      </c>
      <c r="G198" s="9" t="n">
        <v>4800</v>
      </c>
      <c r="H198" s="9" t="n">
        <v>0</v>
      </c>
      <c r="I198" s="9" t="n">
        <v>0</v>
      </c>
      <c r="J198" s="9" t="n">
        <v>0</v>
      </c>
      <c r="K198" s="9">
        <f>E198+F198+G198+H198+I198-J198</f>
        <v/>
      </c>
      <c r="L198" s="10">
        <f>Q197</f>
        <v/>
      </c>
      <c r="M198" s="10" t="n">
        <v>85</v>
      </c>
      <c r="N198" s="10" t="n">
        <v>11</v>
      </c>
      <c r="O198" s="10">
        <f>J198/160</f>
        <v/>
      </c>
      <c r="P198" s="10" t="n">
        <v>90</v>
      </c>
      <c r="Q198" s="10">
        <f>L198+M198+N198+O198-P198</f>
        <v/>
      </c>
      <c r="R198" s="11">
        <f>T197</f>
        <v/>
      </c>
      <c r="S198" s="11">
        <f>N(V198) + N(X198) + N(Z198)</f>
        <v/>
      </c>
      <c r="T198" s="11">
        <f>R198+P198-S198</f>
        <v/>
      </c>
      <c r="U198" s="11" t="inlineStr">
        <is>
          <t>是</t>
        </is>
      </c>
      <c r="V198" s="11" t="n">
        <v>49</v>
      </c>
      <c r="W198" s="11" t="inlineStr">
        <is>
          <t>是</t>
        </is>
      </c>
      <c r="X198" s="11" t="n">
        <v>49</v>
      </c>
      <c r="Y198" s="11" t="inlineStr">
        <is>
          <t>-</t>
        </is>
      </c>
      <c r="Z198" s="11" t="n">
        <v>0</v>
      </c>
      <c r="AA198" s="11" t="inlineStr">
        <is>
          <t>无</t>
        </is>
      </c>
      <c r="AB198" s="12">
        <f>AE197</f>
        <v/>
      </c>
      <c r="AC198" s="12" t="n">
        <v>4</v>
      </c>
      <c r="AD198" s="12" t="n">
        <v>0</v>
      </c>
      <c r="AE198" s="12">
        <f>AB198+AC198+AD198</f>
        <v/>
      </c>
      <c r="AF198" s="13">
        <f>AI197</f>
        <v/>
      </c>
      <c r="AG198" s="13" t="n">
        <v>0</v>
      </c>
      <c r="AH198" s="13" t="n">
        <v>0</v>
      </c>
      <c r="AI198" s="13">
        <f>AF198+AG198+AH198</f>
        <v/>
      </c>
      <c r="AJ198" s="14" t="n">
        <v>30</v>
      </c>
      <c r="AK198" s="14" t="n">
        <v>50</v>
      </c>
      <c r="AL198" s="14" t="n">
        <v>0</v>
      </c>
      <c r="AM198" s="14">
        <f>AJ198+AK198+AL198</f>
        <v/>
      </c>
      <c r="AN198" s="14">
        <f>AN197+AM198</f>
        <v/>
      </c>
    </row>
    <row r="199">
      <c r="A199" s="8" t="n">
        <v>8</v>
      </c>
      <c r="B199" s="8" t="n">
        <v>8</v>
      </c>
      <c r="C199" s="8" t="n">
        <v>2</v>
      </c>
      <c r="D199" s="8" t="inlineStr">
        <is>
          <t>月卡收益</t>
        </is>
      </c>
      <c r="E199" s="9">
        <f>K198</f>
        <v/>
      </c>
      <c r="F199" s="9" t="n">
        <v>1540</v>
      </c>
      <c r="G199" s="9" t="n">
        <v>0</v>
      </c>
      <c r="H199" s="9" t="n">
        <v>0</v>
      </c>
      <c r="I199" s="9" t="n">
        <v>0</v>
      </c>
      <c r="J199" s="9" t="n">
        <v>12800</v>
      </c>
      <c r="K199" s="9">
        <f>E199+F199+G199+H199+I199-J199</f>
        <v/>
      </c>
      <c r="L199" s="10">
        <f>Q198</f>
        <v/>
      </c>
      <c r="M199" s="10" t="n">
        <v>0</v>
      </c>
      <c r="N199" s="10" t="n">
        <v>11</v>
      </c>
      <c r="O199" s="10">
        <f>J199/160</f>
        <v/>
      </c>
      <c r="P199" s="10" t="n">
        <v>100</v>
      </c>
      <c r="Q199" s="10">
        <f>L199+M199+N199+O199-P199</f>
        <v/>
      </c>
      <c r="R199" s="11">
        <f>T198</f>
        <v/>
      </c>
      <c r="S199" s="11">
        <f>N(V199) + N(X199) + N(Z199)</f>
        <v/>
      </c>
      <c r="T199" s="11">
        <f>R199+P199-S199</f>
        <v/>
      </c>
      <c r="U199" s="11" t="inlineStr">
        <is>
          <t>是</t>
        </is>
      </c>
      <c r="V199" s="11" t="n">
        <v>50</v>
      </c>
      <c r="W199" s="11" t="inlineStr">
        <is>
          <t>是</t>
        </is>
      </c>
      <c r="X199" s="11" t="n">
        <v>50</v>
      </c>
      <c r="Y199" s="11" t="inlineStr">
        <is>
          <t>-</t>
        </is>
      </c>
      <c r="Z199" s="11" t="n">
        <v>0</v>
      </c>
      <c r="AA199" s="11" t="inlineStr">
        <is>
          <t>无</t>
        </is>
      </c>
      <c r="AB199" s="12">
        <f>AE198</f>
        <v/>
      </c>
      <c r="AC199" s="12" t="n">
        <v>0</v>
      </c>
      <c r="AD199" s="12" t="n">
        <v>0</v>
      </c>
      <c r="AE199" s="12">
        <f>AB199+AC199+AD199</f>
        <v/>
      </c>
      <c r="AF199" s="13">
        <f>AI198</f>
        <v/>
      </c>
      <c r="AG199" s="13" t="n">
        <v>0</v>
      </c>
      <c r="AH199" s="13" t="n">
        <v>0</v>
      </c>
      <c r="AI199" s="13">
        <f>AF199+AG199+AH199</f>
        <v/>
      </c>
      <c r="AJ199" s="14" t="n">
        <v>0</v>
      </c>
      <c r="AK199" s="14" t="n">
        <v>0</v>
      </c>
      <c r="AL199" s="14" t="n">
        <v>0</v>
      </c>
      <c r="AM199" s="14">
        <f>AJ199+AK199+AL199</f>
        <v/>
      </c>
      <c r="AN199" s="14">
        <f>AN198+AM199</f>
        <v/>
      </c>
    </row>
    <row r="200">
      <c r="A200" s="8" t="n">
        <v>8</v>
      </c>
      <c r="B200" s="8" t="n">
        <v>9</v>
      </c>
      <c r="C200" s="8" t="n">
        <v>1</v>
      </c>
      <c r="D200" s="8" t="inlineStr">
        <is>
          <t>版本免费+义相逢 + 月卡收益 [月卡续费-30元]</t>
        </is>
      </c>
      <c r="E200" s="9">
        <f>K199</f>
        <v/>
      </c>
      <c r="F200" s="9" t="n">
        <v>1540</v>
      </c>
      <c r="G200" s="9" t="n">
        <v>4800</v>
      </c>
      <c r="H200" s="9" t="n">
        <v>0</v>
      </c>
      <c r="I200" s="9" t="n">
        <v>0</v>
      </c>
      <c r="J200" s="9" t="n">
        <v>0</v>
      </c>
      <c r="K200" s="9">
        <f>E200+F200+G200+H200+I200-J200</f>
        <v/>
      </c>
      <c r="L200" s="10">
        <f>Q199</f>
        <v/>
      </c>
      <c r="M200" s="10" t="n">
        <v>85</v>
      </c>
      <c r="N200" s="10" t="n">
        <v>11</v>
      </c>
      <c r="O200" s="10">
        <f>J200/160</f>
        <v/>
      </c>
      <c r="P200" s="10" t="n">
        <v>90</v>
      </c>
      <c r="Q200" s="10">
        <f>L200+M200+N200+O200-P200</f>
        <v/>
      </c>
      <c r="R200" s="11">
        <f>T199</f>
        <v/>
      </c>
      <c r="S200" s="11">
        <f>N(V200) + N(X200) + N(Z200)</f>
        <v/>
      </c>
      <c r="T200" s="11">
        <f>R200+P200-S200</f>
        <v/>
      </c>
      <c r="U200" s="11" t="inlineStr">
        <is>
          <t>是</t>
        </is>
      </c>
      <c r="V200" s="11" t="n">
        <v>51</v>
      </c>
      <c r="W200" s="11" t="inlineStr">
        <is>
          <t>是</t>
        </is>
      </c>
      <c r="X200" s="11" t="n">
        <v>48</v>
      </c>
      <c r="Y200" s="11" t="inlineStr">
        <is>
          <t>-</t>
        </is>
      </c>
      <c r="Z200" s="11" t="n">
        <v>0</v>
      </c>
      <c r="AA200" s="11" t="inlineStr">
        <is>
          <t>无</t>
        </is>
      </c>
      <c r="AB200" s="12">
        <f>AE199</f>
        <v/>
      </c>
      <c r="AC200" s="12" t="n">
        <v>4</v>
      </c>
      <c r="AD200" s="12" t="n">
        <v>0</v>
      </c>
      <c r="AE200" s="12">
        <f>AB200+AC200+AD200</f>
        <v/>
      </c>
      <c r="AF200" s="13">
        <f>AI199</f>
        <v/>
      </c>
      <c r="AG200" s="13" t="n">
        <v>0</v>
      </c>
      <c r="AH200" s="13" t="n">
        <v>0</v>
      </c>
      <c r="AI200" s="13">
        <f>AF200+AG200+AH200</f>
        <v/>
      </c>
      <c r="AJ200" s="14" t="n">
        <v>30</v>
      </c>
      <c r="AK200" s="14" t="n">
        <v>50</v>
      </c>
      <c r="AL200" s="14" t="n">
        <v>0</v>
      </c>
      <c r="AM200" s="14">
        <f>AJ200+AK200+AL200</f>
        <v/>
      </c>
      <c r="AN200" s="14">
        <f>AN199+AM200</f>
        <v/>
      </c>
    </row>
    <row r="201">
      <c r="A201" s="8" t="n">
        <v>8</v>
      </c>
      <c r="B201" s="8" t="n">
        <v>9</v>
      </c>
      <c r="C201" s="8" t="n">
        <v>2</v>
      </c>
      <c r="D201" s="8" t="inlineStr">
        <is>
          <t>月卡收益</t>
        </is>
      </c>
      <c r="E201" s="9">
        <f>K200</f>
        <v/>
      </c>
      <c r="F201" s="9" t="n">
        <v>1540</v>
      </c>
      <c r="G201" s="9" t="n">
        <v>0</v>
      </c>
      <c r="H201" s="9" t="n">
        <v>0</v>
      </c>
      <c r="I201" s="9" t="n">
        <v>0</v>
      </c>
      <c r="J201" s="9" t="n">
        <v>8160</v>
      </c>
      <c r="K201" s="9">
        <f>E201+F201+G201+H201+I201-J201</f>
        <v/>
      </c>
      <c r="L201" s="10">
        <f>Q200</f>
        <v/>
      </c>
      <c r="M201" s="10" t="n">
        <v>0</v>
      </c>
      <c r="N201" s="10" t="n">
        <v>6</v>
      </c>
      <c r="O201" s="10">
        <f>J201/160</f>
        <v/>
      </c>
      <c r="P201" s="10" t="n">
        <v>60</v>
      </c>
      <c r="Q201" s="10">
        <f>L201+M201+N201+O201-P201</f>
        <v/>
      </c>
      <c r="R201" s="11">
        <f>T200</f>
        <v/>
      </c>
      <c r="S201" s="11">
        <f>N(V201) + N(X201) + N(Z201)</f>
        <v/>
      </c>
      <c r="T201" s="11">
        <f>R201+P201-S201</f>
        <v/>
      </c>
      <c r="U201" s="11" t="inlineStr">
        <is>
          <t>是</t>
        </is>
      </c>
      <c r="V201" s="11" t="n">
        <v>1</v>
      </c>
      <c r="W201" s="11" t="inlineStr">
        <is>
          <t>是</t>
        </is>
      </c>
      <c r="X201" s="11" t="n">
        <v>51</v>
      </c>
      <c r="Y201" s="11" t="inlineStr">
        <is>
          <t>歪(7)</t>
        </is>
      </c>
      <c r="Z201" s="11" t="n">
        <v>7</v>
      </c>
      <c r="AA201" s="11" t="inlineStr">
        <is>
          <t>无</t>
        </is>
      </c>
      <c r="AB201" s="12">
        <f>AE200</f>
        <v/>
      </c>
      <c r="AC201" s="12" t="n">
        <v>0</v>
      </c>
      <c r="AD201" s="12" t="n">
        <v>0</v>
      </c>
      <c r="AE201" s="12">
        <f>AB201+AC201+AD201</f>
        <v/>
      </c>
      <c r="AF201" s="13">
        <f>AI200</f>
        <v/>
      </c>
      <c r="AG201" s="13" t="n">
        <v>0</v>
      </c>
      <c r="AH201" s="13" t="n">
        <v>0</v>
      </c>
      <c r="AI201" s="13">
        <f>AF201+AG201+AH201</f>
        <v/>
      </c>
      <c r="AJ201" s="14" t="n">
        <v>0</v>
      </c>
      <c r="AK201" s="14" t="n">
        <v>0</v>
      </c>
      <c r="AL201" s="14" t="n">
        <v>0</v>
      </c>
      <c r="AM201" s="14">
        <f>AJ201+AK201+AL201</f>
        <v/>
      </c>
      <c r="AN201" s="14">
        <f>AN200+AM201</f>
        <v/>
      </c>
    </row>
    <row r="202">
      <c r="A202" s="8" t="n">
        <v>8</v>
      </c>
      <c r="B202" s="8" t="n">
        <v>10</v>
      </c>
      <c r="C202" s="8" t="n">
        <v>1</v>
      </c>
      <c r="D202" s="8" t="inlineStr">
        <is>
          <t>版本免费+义相逢 + 月卡收益 [月卡续费-30元]</t>
        </is>
      </c>
      <c r="E202" s="9">
        <f>K201</f>
        <v/>
      </c>
      <c r="F202" s="9" t="n">
        <v>1540</v>
      </c>
      <c r="G202" s="9" t="n">
        <v>4800</v>
      </c>
      <c r="H202" s="9" t="n">
        <v>0</v>
      </c>
      <c r="I202" s="9" t="n">
        <v>0</v>
      </c>
      <c r="J202" s="9" t="n">
        <v>0</v>
      </c>
      <c r="K202" s="9">
        <f>E202+F202+G202+H202+I202-J202</f>
        <v/>
      </c>
      <c r="L202" s="10">
        <f>Q201</f>
        <v/>
      </c>
      <c r="M202" s="10" t="n">
        <v>85</v>
      </c>
      <c r="N202" s="10" t="n">
        <v>6</v>
      </c>
      <c r="O202" s="10">
        <f>J202/160</f>
        <v/>
      </c>
      <c r="P202" s="10" t="n">
        <v>60</v>
      </c>
      <c r="Q202" s="10">
        <f>L202+M202+N202+O202-P202</f>
        <v/>
      </c>
      <c r="R202" s="11">
        <f>T201</f>
        <v/>
      </c>
      <c r="S202" s="11">
        <f>N(V202) + N(X202) + N(Z202)</f>
        <v/>
      </c>
      <c r="T202" s="11">
        <f>R202+P202-S202</f>
        <v/>
      </c>
      <c r="U202" s="11" t="inlineStr">
        <is>
          <t>是</t>
        </is>
      </c>
      <c r="V202" s="11" t="n">
        <v>51</v>
      </c>
      <c r="W202" s="11" t="inlineStr">
        <is>
          <t>否</t>
        </is>
      </c>
      <c r="X202" s="11" t="inlineStr">
        <is>
          <t>-</t>
        </is>
      </c>
      <c r="Y202" s="11" t="inlineStr">
        <is>
          <t>-</t>
        </is>
      </c>
      <c r="Z202" s="11" t="n">
        <v>0</v>
      </c>
      <c r="AA202" s="11" t="inlineStr">
        <is>
          <t>垫到60抽</t>
        </is>
      </c>
      <c r="AB202" s="12">
        <f>AE201</f>
        <v/>
      </c>
      <c r="AC202" s="12" t="n">
        <v>4</v>
      </c>
      <c r="AD202" s="12" t="n">
        <v>0</v>
      </c>
      <c r="AE202" s="12">
        <f>AB202+AC202+AD202</f>
        <v/>
      </c>
      <c r="AF202" s="13">
        <f>AI201</f>
        <v/>
      </c>
      <c r="AG202" s="13" t="n">
        <v>0</v>
      </c>
      <c r="AH202" s="13" t="n">
        <v>0</v>
      </c>
      <c r="AI202" s="13">
        <f>AF202+AG202+AH202</f>
        <v/>
      </c>
      <c r="AJ202" s="14" t="n">
        <v>30</v>
      </c>
      <c r="AK202" s="14" t="n">
        <v>50</v>
      </c>
      <c r="AL202" s="14" t="n">
        <v>0</v>
      </c>
      <c r="AM202" s="14">
        <f>AJ202+AK202+AL202</f>
        <v/>
      </c>
      <c r="AN202" s="14">
        <f>AN201+AM202</f>
        <v/>
      </c>
    </row>
    <row r="203">
      <c r="A203" s="8" t="n">
        <v>8</v>
      </c>
      <c r="B203" s="8" t="n">
        <v>10</v>
      </c>
      <c r="C203" s="8" t="n">
        <v>2</v>
      </c>
      <c r="D203" s="8" t="inlineStr">
        <is>
          <t>月卡收益</t>
        </is>
      </c>
      <c r="E203" s="9">
        <f>K202</f>
        <v/>
      </c>
      <c r="F203" s="9" t="n">
        <v>1540</v>
      </c>
      <c r="G203" s="9" t="n">
        <v>0</v>
      </c>
      <c r="H203" s="9" t="n">
        <v>0</v>
      </c>
      <c r="I203" s="9" t="n">
        <v>0</v>
      </c>
      <c r="J203" s="9" t="n">
        <v>3680</v>
      </c>
      <c r="K203" s="9">
        <f>E203+F203+G203+H203+I203-J203</f>
        <v/>
      </c>
      <c r="L203" s="10">
        <f>Q202</f>
        <v/>
      </c>
      <c r="M203" s="10" t="n">
        <v>0</v>
      </c>
      <c r="N203" s="10" t="n">
        <v>6</v>
      </c>
      <c r="O203" s="10">
        <f>J203/160</f>
        <v/>
      </c>
      <c r="P203" s="10" t="n">
        <v>60</v>
      </c>
      <c r="Q203" s="10">
        <f>L203+M203+N203+O203-P203</f>
        <v/>
      </c>
      <c r="R203" s="11">
        <f>T202</f>
        <v/>
      </c>
      <c r="S203" s="11">
        <f>N(V203) + N(X203) + N(Z203)</f>
        <v/>
      </c>
      <c r="T203" s="11">
        <f>R203+P203-S203</f>
        <v/>
      </c>
      <c r="U203" s="11" t="inlineStr">
        <is>
          <t>是</t>
        </is>
      </c>
      <c r="V203" s="11" t="n">
        <v>52</v>
      </c>
      <c r="W203" s="11" t="inlineStr">
        <is>
          <t>否</t>
        </is>
      </c>
      <c r="X203" s="11" t="inlineStr">
        <is>
          <t>-</t>
        </is>
      </c>
      <c r="Y203" s="11" t="inlineStr">
        <is>
          <t>-</t>
        </is>
      </c>
      <c r="Z203" s="11" t="n">
        <v>0</v>
      </c>
      <c r="AA203" s="11" t="inlineStr">
        <is>
          <t>垫到60抽</t>
        </is>
      </c>
      <c r="AB203" s="12">
        <f>AE202</f>
        <v/>
      </c>
      <c r="AC203" s="12" t="n">
        <v>0</v>
      </c>
      <c r="AD203" s="12" t="n">
        <v>0</v>
      </c>
      <c r="AE203" s="12">
        <f>AB203+AC203+AD203</f>
        <v/>
      </c>
      <c r="AF203" s="13">
        <f>AI202</f>
        <v/>
      </c>
      <c r="AG203" s="13" t="n">
        <v>0</v>
      </c>
      <c r="AH203" s="13" t="n">
        <v>0</v>
      </c>
      <c r="AI203" s="13">
        <f>AF203+AG203+AH203</f>
        <v/>
      </c>
      <c r="AJ203" s="14" t="n">
        <v>0</v>
      </c>
      <c r="AK203" s="14" t="n">
        <v>0</v>
      </c>
      <c r="AL203" s="14" t="n">
        <v>0</v>
      </c>
      <c r="AM203" s="14">
        <f>AJ203+AK203+AL203</f>
        <v/>
      </c>
      <c r="AN203" s="14">
        <f>AN202+AM203</f>
        <v/>
      </c>
    </row>
    <row r="204">
      <c r="A204" s="8" t="n">
        <v>8</v>
      </c>
      <c r="B204" s="8" t="n">
        <v>11</v>
      </c>
      <c r="C204" s="8" t="n">
        <v>1</v>
      </c>
      <c r="D204" s="8" t="inlineStr">
        <is>
          <t>版本免费+义相逢 + 月卡收益 [月卡续费-30元]</t>
        </is>
      </c>
      <c r="E204" s="9">
        <f>K203</f>
        <v/>
      </c>
      <c r="F204" s="9" t="n">
        <v>1540</v>
      </c>
      <c r="G204" s="9" t="n">
        <v>4800</v>
      </c>
      <c r="H204" s="9" t="n">
        <v>0</v>
      </c>
      <c r="I204" s="9" t="n">
        <v>0</v>
      </c>
      <c r="J204" s="9" t="n">
        <v>0</v>
      </c>
      <c r="K204" s="9">
        <f>E204+F204+G204+H204+I204-J204</f>
        <v/>
      </c>
      <c r="L204" s="10">
        <f>Q203</f>
        <v/>
      </c>
      <c r="M204" s="10" t="n">
        <v>85</v>
      </c>
      <c r="N204" s="10" t="n">
        <v>3</v>
      </c>
      <c r="O204" s="10">
        <f>J204/160</f>
        <v/>
      </c>
      <c r="P204" s="10" t="n">
        <v>40</v>
      </c>
      <c r="Q204" s="10">
        <f>L204+M204+N204+O204-P204</f>
        <v/>
      </c>
      <c r="R204" s="11">
        <f>T203</f>
        <v/>
      </c>
      <c r="S204" s="11">
        <f>N(V204) + N(X204) + N(Z204)</f>
        <v/>
      </c>
      <c r="T204" s="11">
        <f>R204+P204-S204</f>
        <v/>
      </c>
      <c r="U204" s="11" t="inlineStr">
        <is>
          <t>是</t>
        </is>
      </c>
      <c r="V204" s="11" t="n">
        <v>52</v>
      </c>
      <c r="W204" s="11" t="inlineStr">
        <is>
          <t>否</t>
        </is>
      </c>
      <c r="X204" s="11" t="inlineStr">
        <is>
          <t>-</t>
        </is>
      </c>
      <c r="Y204" s="11" t="inlineStr">
        <is>
          <t>-</t>
        </is>
      </c>
      <c r="Z204" s="11" t="n">
        <v>0</v>
      </c>
      <c r="AA204" s="11" t="inlineStr">
        <is>
          <t>无</t>
        </is>
      </c>
      <c r="AB204" s="12">
        <f>AE203</f>
        <v/>
      </c>
      <c r="AC204" s="12" t="n">
        <v>4</v>
      </c>
      <c r="AD204" s="12" t="n">
        <v>0</v>
      </c>
      <c r="AE204" s="12">
        <f>AB204+AC204+AD204</f>
        <v/>
      </c>
      <c r="AF204" s="13">
        <f>AI203</f>
        <v/>
      </c>
      <c r="AG204" s="13" t="n">
        <v>0</v>
      </c>
      <c r="AH204" s="13" t="n">
        <v>0</v>
      </c>
      <c r="AI204" s="13">
        <f>AF204+AG204+AH204</f>
        <v/>
      </c>
      <c r="AJ204" s="14" t="n">
        <v>30</v>
      </c>
      <c r="AK204" s="14" t="n">
        <v>50</v>
      </c>
      <c r="AL204" s="14" t="n">
        <v>0</v>
      </c>
      <c r="AM204" s="14">
        <f>AJ204+AK204+AL204</f>
        <v/>
      </c>
      <c r="AN204" s="14">
        <f>AN203+AM204</f>
        <v/>
      </c>
    </row>
    <row r="205">
      <c r="A205" s="8" t="n">
        <v>8</v>
      </c>
      <c r="B205" s="8" t="n">
        <v>11</v>
      </c>
      <c r="C205" s="8" t="n">
        <v>2</v>
      </c>
      <c r="D205" s="8" t="inlineStr">
        <is>
          <t>月卡收益</t>
        </is>
      </c>
      <c r="E205" s="9">
        <f>K204</f>
        <v/>
      </c>
      <c r="F205" s="9" t="n">
        <v>1540</v>
      </c>
      <c r="G205" s="9" t="n">
        <v>0</v>
      </c>
      <c r="H205" s="9" t="n">
        <v>0</v>
      </c>
      <c r="I205" s="9" t="n">
        <v>0</v>
      </c>
      <c r="J205" s="9" t="n">
        <v>2080</v>
      </c>
      <c r="K205" s="9">
        <f>E205+F205+G205+H205+I205-J205</f>
        <v/>
      </c>
      <c r="L205" s="10">
        <f>Q204</f>
        <v/>
      </c>
      <c r="M205" s="10" t="n">
        <v>0</v>
      </c>
      <c r="N205" s="10" t="n">
        <v>6</v>
      </c>
      <c r="O205" s="10">
        <f>J205/160</f>
        <v/>
      </c>
      <c r="P205" s="10" t="n">
        <v>70</v>
      </c>
      <c r="Q205" s="10">
        <f>L205+M205+N205+O205-P205</f>
        <v/>
      </c>
      <c r="R205" s="11">
        <f>T204</f>
        <v/>
      </c>
      <c r="S205" s="11">
        <f>N(V205) + N(X205) + N(Z205)</f>
        <v/>
      </c>
      <c r="T205" s="11">
        <f>R205+P205-S205</f>
        <v/>
      </c>
      <c r="U205" s="11" t="inlineStr">
        <is>
          <t>是</t>
        </is>
      </c>
      <c r="V205" s="11" t="n">
        <v>51</v>
      </c>
      <c r="W205" s="11" t="inlineStr">
        <is>
          <t>是</t>
        </is>
      </c>
      <c r="X205" s="11" t="n">
        <v>18</v>
      </c>
      <c r="Y205" s="11" t="inlineStr">
        <is>
          <t>-</t>
        </is>
      </c>
      <c r="Z205" s="11" t="n">
        <v>0</v>
      </c>
      <c r="AA205" s="11" t="inlineStr">
        <is>
          <t>无</t>
        </is>
      </c>
      <c r="AB205" s="12">
        <f>AE204</f>
        <v/>
      </c>
      <c r="AC205" s="12" t="n">
        <v>0</v>
      </c>
      <c r="AD205" s="12" t="n">
        <v>0</v>
      </c>
      <c r="AE205" s="12">
        <f>AB205+AC205+AD205</f>
        <v/>
      </c>
      <c r="AF205" s="13">
        <f>AI204</f>
        <v/>
      </c>
      <c r="AG205" s="13" t="n">
        <v>0</v>
      </c>
      <c r="AH205" s="13" t="n">
        <v>0</v>
      </c>
      <c r="AI205" s="13">
        <f>AF205+AG205+AH205</f>
        <v/>
      </c>
      <c r="AJ205" s="14" t="n">
        <v>0</v>
      </c>
      <c r="AK205" s="14" t="n">
        <v>0</v>
      </c>
      <c r="AL205" s="14" t="n">
        <v>0</v>
      </c>
      <c r="AM205" s="14">
        <f>AJ205+AK205+AL205</f>
        <v/>
      </c>
      <c r="AN205" s="14">
        <f>AN204+AM205</f>
        <v/>
      </c>
    </row>
    <row r="206">
      <c r="A206" s="8" t="n">
        <v>8</v>
      </c>
      <c r="B206" s="8" t="n">
        <v>12</v>
      </c>
      <c r="C206" s="8" t="n">
        <v>1</v>
      </c>
      <c r="D206" s="8" t="inlineStr">
        <is>
          <t>版本免费+义相逢 + 月卡收益 [月卡续费-30元]</t>
        </is>
      </c>
      <c r="E206" s="9">
        <f>K205</f>
        <v/>
      </c>
      <c r="F206" s="9" t="n">
        <v>1540</v>
      </c>
      <c r="G206" s="9" t="n">
        <v>4800</v>
      </c>
      <c r="H206" s="9" t="n">
        <v>0</v>
      </c>
      <c r="I206" s="9" t="n">
        <v>0</v>
      </c>
      <c r="J206" s="9" t="n">
        <v>0</v>
      </c>
      <c r="K206" s="9">
        <f>E206+F206+G206+H206+I206-J206</f>
        <v/>
      </c>
      <c r="L206" s="10">
        <f>Q205</f>
        <v/>
      </c>
      <c r="M206" s="10" t="n">
        <v>85</v>
      </c>
      <c r="N206" s="10" t="n">
        <v>6</v>
      </c>
      <c r="O206" s="10">
        <f>J206/160</f>
        <v/>
      </c>
      <c r="P206" s="10" t="n">
        <v>60</v>
      </c>
      <c r="Q206" s="10">
        <f>L206+M206+N206+O206-P206</f>
        <v/>
      </c>
      <c r="R206" s="11">
        <f>T205</f>
        <v/>
      </c>
      <c r="S206" s="11">
        <f>N(V206) + N(X206) + N(Z206)</f>
        <v/>
      </c>
      <c r="T206" s="11">
        <f>R206+P206-S206</f>
        <v/>
      </c>
      <c r="U206" s="11" t="inlineStr">
        <is>
          <t>是</t>
        </is>
      </c>
      <c r="V206" s="11" t="n">
        <v>48</v>
      </c>
      <c r="W206" s="11" t="inlineStr">
        <is>
          <t>否</t>
        </is>
      </c>
      <c r="X206" s="11" t="inlineStr">
        <is>
          <t>-</t>
        </is>
      </c>
      <c r="Y206" s="11" t="inlineStr">
        <is>
          <t>-</t>
        </is>
      </c>
      <c r="Z206" s="11" t="n">
        <v>0</v>
      </c>
      <c r="AA206" s="11" t="inlineStr">
        <is>
          <t>垫到60抽</t>
        </is>
      </c>
      <c r="AB206" s="12">
        <f>AE205</f>
        <v/>
      </c>
      <c r="AC206" s="12" t="n">
        <v>4</v>
      </c>
      <c r="AD206" s="12" t="n">
        <v>0</v>
      </c>
      <c r="AE206" s="12">
        <f>AB206+AC206+AD206</f>
        <v/>
      </c>
      <c r="AF206" s="13">
        <f>AI205</f>
        <v/>
      </c>
      <c r="AG206" s="13" t="n">
        <v>0</v>
      </c>
      <c r="AH206" s="13" t="n">
        <v>0</v>
      </c>
      <c r="AI206" s="13">
        <f>AF206+AG206+AH206</f>
        <v/>
      </c>
      <c r="AJ206" s="14" t="n">
        <v>30</v>
      </c>
      <c r="AK206" s="14" t="n">
        <v>50</v>
      </c>
      <c r="AL206" s="14" t="n">
        <v>0</v>
      </c>
      <c r="AM206" s="14">
        <f>AJ206+AK206+AL206</f>
        <v/>
      </c>
      <c r="AN206" s="14">
        <f>AN205+AM206</f>
        <v/>
      </c>
    </row>
    <row r="207">
      <c r="A207" s="8" t="n">
        <v>8</v>
      </c>
      <c r="B207" s="8" t="n">
        <v>12</v>
      </c>
      <c r="C207" s="8" t="n">
        <v>2</v>
      </c>
      <c r="D207" s="8" t="inlineStr">
        <is>
          <t>月卡收益</t>
        </is>
      </c>
      <c r="E207" s="9">
        <f>K206</f>
        <v/>
      </c>
      <c r="F207" s="9" t="n">
        <v>1540</v>
      </c>
      <c r="G207" s="9" t="n">
        <v>0</v>
      </c>
      <c r="H207" s="9" t="n">
        <v>0</v>
      </c>
      <c r="I207" s="9" t="n">
        <v>0</v>
      </c>
      <c r="J207" s="9" t="n">
        <v>0</v>
      </c>
      <c r="K207" s="9">
        <f>E207+F207+G207+H207+I207-J207</f>
        <v/>
      </c>
      <c r="L207" s="10">
        <f>Q206</f>
        <v/>
      </c>
      <c r="M207" s="10" t="n">
        <v>0</v>
      </c>
      <c r="N207" s="10" t="n">
        <v>3</v>
      </c>
      <c r="O207" s="10">
        <f>J207/160</f>
        <v/>
      </c>
      <c r="P207" s="10" t="n">
        <v>30</v>
      </c>
      <c r="Q207" s="10">
        <f>L207+M207+N207+O207-P207</f>
        <v/>
      </c>
      <c r="R207" s="11">
        <f>T206</f>
        <v/>
      </c>
      <c r="S207" s="11">
        <f>N(V207) + N(X207) + N(Z207)</f>
        <v/>
      </c>
      <c r="T207" s="11">
        <f>R207+P207-S207</f>
        <v/>
      </c>
      <c r="U207" s="11" t="inlineStr">
        <is>
          <t>是</t>
        </is>
      </c>
      <c r="V207" s="11" t="n">
        <v>49</v>
      </c>
      <c r="W207" s="11" t="inlineStr">
        <is>
          <t>否</t>
        </is>
      </c>
      <c r="X207" s="11" t="inlineStr">
        <is>
          <t>-</t>
        </is>
      </c>
      <c r="Y207" s="11" t="inlineStr">
        <is>
          <t>-</t>
        </is>
      </c>
      <c r="Z207" s="11" t="n">
        <v>0</v>
      </c>
      <c r="AA207" s="11" t="inlineStr">
        <is>
          <t>无</t>
        </is>
      </c>
      <c r="AB207" s="12">
        <f>AE206</f>
        <v/>
      </c>
      <c r="AC207" s="12" t="n">
        <v>0</v>
      </c>
      <c r="AD207" s="12" t="n">
        <v>0</v>
      </c>
      <c r="AE207" s="12">
        <f>AB207+AC207+AD207</f>
        <v/>
      </c>
      <c r="AF207" s="13">
        <f>AI206</f>
        <v/>
      </c>
      <c r="AG207" s="13" t="n">
        <v>0</v>
      </c>
      <c r="AH207" s="13" t="n">
        <v>0</v>
      </c>
      <c r="AI207" s="13">
        <f>AF207+AG207+AH207</f>
        <v/>
      </c>
      <c r="AJ207" s="14" t="n">
        <v>0</v>
      </c>
      <c r="AK207" s="14" t="n">
        <v>0</v>
      </c>
      <c r="AL207" s="14" t="n">
        <v>0</v>
      </c>
      <c r="AM207" s="14">
        <f>AJ207+AK207+AL207</f>
        <v/>
      </c>
      <c r="AN207" s="14">
        <f>AN206+AM207</f>
        <v/>
      </c>
    </row>
    <row r="208">
      <c r="A208" s="8" t="n">
        <v>8</v>
      </c>
      <c r="B208" s="8" t="n">
        <v>13</v>
      </c>
      <c r="C208" s="8" t="n">
        <v>1</v>
      </c>
      <c r="D208" s="8" t="inlineStr">
        <is>
          <t>版本免费+义相逢 + 月卡收益 [月卡续费-30元]</t>
        </is>
      </c>
      <c r="E208" s="9">
        <f>K207</f>
        <v/>
      </c>
      <c r="F208" s="9" t="n">
        <v>1540</v>
      </c>
      <c r="G208" s="9" t="n">
        <v>4800</v>
      </c>
      <c r="H208" s="9" t="n">
        <v>0</v>
      </c>
      <c r="I208" s="9" t="n">
        <v>0</v>
      </c>
      <c r="J208" s="9" t="n">
        <v>0</v>
      </c>
      <c r="K208" s="9">
        <f>E208+F208+G208+H208+I208-J208</f>
        <v/>
      </c>
      <c r="L208" s="10">
        <f>Q207</f>
        <v/>
      </c>
      <c r="M208" s="10" t="n">
        <v>85</v>
      </c>
      <c r="N208" s="10" t="n">
        <v>6</v>
      </c>
      <c r="O208" s="10">
        <f>J208/160</f>
        <v/>
      </c>
      <c r="P208" s="10" t="n">
        <v>60</v>
      </c>
      <c r="Q208" s="10">
        <f>L208+M208+N208+O208-P208</f>
        <v/>
      </c>
      <c r="R208" s="11">
        <f>T207</f>
        <v/>
      </c>
      <c r="S208" s="11">
        <f>N(V208) + N(X208) + N(Z208)</f>
        <v/>
      </c>
      <c r="T208" s="11">
        <f>R208+P208-S208</f>
        <v/>
      </c>
      <c r="U208" s="11" t="inlineStr">
        <is>
          <t>是</t>
        </is>
      </c>
      <c r="V208" s="11" t="n">
        <v>46</v>
      </c>
      <c r="W208" s="11" t="inlineStr">
        <is>
          <t>否</t>
        </is>
      </c>
      <c r="X208" s="11" t="inlineStr">
        <is>
          <t>-</t>
        </is>
      </c>
      <c r="Y208" s="11" t="inlineStr">
        <is>
          <t>-</t>
        </is>
      </c>
      <c r="Z208" s="11" t="n">
        <v>0</v>
      </c>
      <c r="AA208" s="11" t="inlineStr">
        <is>
          <t>垫到60抽</t>
        </is>
      </c>
      <c r="AB208" s="12">
        <f>AE207</f>
        <v/>
      </c>
      <c r="AC208" s="12" t="n">
        <v>4</v>
      </c>
      <c r="AD208" s="12" t="n">
        <v>0</v>
      </c>
      <c r="AE208" s="12">
        <f>AB208+AC208+AD208</f>
        <v/>
      </c>
      <c r="AF208" s="13">
        <f>AI207</f>
        <v/>
      </c>
      <c r="AG208" s="13" t="n">
        <v>0</v>
      </c>
      <c r="AH208" s="13" t="n">
        <v>0</v>
      </c>
      <c r="AI208" s="13">
        <f>AF208+AG208+AH208</f>
        <v/>
      </c>
      <c r="AJ208" s="14" t="n">
        <v>30</v>
      </c>
      <c r="AK208" s="14" t="n">
        <v>50</v>
      </c>
      <c r="AL208" s="14" t="n">
        <v>0</v>
      </c>
      <c r="AM208" s="14">
        <f>AJ208+AK208+AL208</f>
        <v/>
      </c>
      <c r="AN208" s="14">
        <f>AN207+AM208</f>
        <v/>
      </c>
    </row>
    <row r="209">
      <c r="A209" s="8" t="n">
        <v>8</v>
      </c>
      <c r="B209" s="8" t="n">
        <v>13</v>
      </c>
      <c r="C209" s="8" t="n">
        <v>2</v>
      </c>
      <c r="D209" s="8" t="inlineStr">
        <is>
          <t>月卡收益</t>
        </is>
      </c>
      <c r="E209" s="9">
        <f>K208</f>
        <v/>
      </c>
      <c r="F209" s="9" t="n">
        <v>1540</v>
      </c>
      <c r="G209" s="9" t="n">
        <v>0</v>
      </c>
      <c r="H209" s="9" t="n">
        <v>0</v>
      </c>
      <c r="I209" s="9" t="n">
        <v>0</v>
      </c>
      <c r="J209" s="9" t="n">
        <v>7840</v>
      </c>
      <c r="K209" s="9">
        <f>E209+F209+G209+H209+I209-J209</f>
        <v/>
      </c>
      <c r="L209" s="10">
        <f>Q208</f>
        <v/>
      </c>
      <c r="M209" s="10" t="n">
        <v>0</v>
      </c>
      <c r="N209" s="10" t="n">
        <v>11</v>
      </c>
      <c r="O209" s="10">
        <f>J209/160</f>
        <v/>
      </c>
      <c r="P209" s="10" t="n">
        <v>90</v>
      </c>
      <c r="Q209" s="10">
        <f>L209+M209+N209+O209-P209</f>
        <v/>
      </c>
      <c r="R209" s="11">
        <f>T208</f>
        <v/>
      </c>
      <c r="S209" s="11">
        <f>N(V209) + N(X209) + N(Z209)</f>
        <v/>
      </c>
      <c r="T209" s="11">
        <f>R209+P209-S209</f>
        <v/>
      </c>
      <c r="U209" s="11" t="inlineStr">
        <is>
          <t>是</t>
        </is>
      </c>
      <c r="V209" s="11" t="n">
        <v>49</v>
      </c>
      <c r="W209" s="11" t="inlineStr">
        <is>
          <t>是</t>
        </is>
      </c>
      <c r="X209" s="11" t="n">
        <v>48</v>
      </c>
      <c r="Y209" s="11" t="inlineStr">
        <is>
          <t>-</t>
        </is>
      </c>
      <c r="Z209" s="11" t="n">
        <v>0</v>
      </c>
      <c r="AA209" s="11" t="inlineStr">
        <is>
          <t>无</t>
        </is>
      </c>
      <c r="AB209" s="12">
        <f>AE208</f>
        <v/>
      </c>
      <c r="AC209" s="12" t="n">
        <v>0</v>
      </c>
      <c r="AD209" s="12" t="n">
        <v>0</v>
      </c>
      <c r="AE209" s="12">
        <f>AB209+AC209+AD209</f>
        <v/>
      </c>
      <c r="AF209" s="13">
        <f>AI208</f>
        <v/>
      </c>
      <c r="AG209" s="13" t="n">
        <v>0</v>
      </c>
      <c r="AH209" s="13" t="n">
        <v>0</v>
      </c>
      <c r="AI209" s="13">
        <f>AF209+AG209+AH209</f>
        <v/>
      </c>
      <c r="AJ209" s="14" t="n">
        <v>0</v>
      </c>
      <c r="AK209" s="14" t="n">
        <v>0</v>
      </c>
      <c r="AL209" s="14" t="n">
        <v>0</v>
      </c>
      <c r="AM209" s="14">
        <f>AJ209+AK209+AL209</f>
        <v/>
      </c>
      <c r="AN209" s="14">
        <f>AN208+AM209</f>
        <v/>
      </c>
    </row>
    <row r="210">
      <c r="A210" s="8" t="n">
        <v>9</v>
      </c>
      <c r="B210" s="8" t="n">
        <v>1</v>
      </c>
      <c r="C210" s="8" t="n">
        <v>1</v>
      </c>
      <c r="D210" s="8" t="inlineStr">
        <is>
          <t>版本免费+义相逢 + 月卡收益 [月卡续费-30元]</t>
        </is>
      </c>
      <c r="E210" s="9" t="n">
        <v>24320</v>
      </c>
      <c r="F210" s="9" t="n">
        <v>1540</v>
      </c>
      <c r="G210" s="9" t="n">
        <v>4800</v>
      </c>
      <c r="H210" s="9" t="n">
        <v>0</v>
      </c>
      <c r="I210" s="9" t="n">
        <v>0</v>
      </c>
      <c r="J210" s="9" t="n">
        <v>0</v>
      </c>
      <c r="K210" s="9">
        <f>E210+F210+G210+H210+I210-J210</f>
        <v/>
      </c>
      <c r="L210" s="10" t="n">
        <v>5</v>
      </c>
      <c r="M210" s="10" t="n">
        <v>85</v>
      </c>
      <c r="N210" s="10" t="n">
        <v>11</v>
      </c>
      <c r="O210" s="10">
        <f>J210/160</f>
        <v/>
      </c>
      <c r="P210" s="10" t="n">
        <v>90</v>
      </c>
      <c r="Q210" s="10">
        <f>L210+M210+N210+O210-P210</f>
        <v/>
      </c>
      <c r="R210" s="11" t="n">
        <v>7</v>
      </c>
      <c r="S210" s="11">
        <f>N(V210) + N(X210) + N(Z210)</f>
        <v/>
      </c>
      <c r="T210" s="11">
        <f>R210+P210-S210</f>
        <v/>
      </c>
      <c r="U210" s="11" t="inlineStr">
        <is>
          <t>是</t>
        </is>
      </c>
      <c r="V210" s="11" t="n">
        <v>46</v>
      </c>
      <c r="W210" s="11" t="inlineStr">
        <is>
          <t>是</t>
        </is>
      </c>
      <c r="X210" s="11" t="n">
        <v>49</v>
      </c>
      <c r="Y210" s="11" t="inlineStr">
        <is>
          <t>-</t>
        </is>
      </c>
      <c r="Z210" s="11" t="n">
        <v>0</v>
      </c>
      <c r="AA210" s="11" t="inlineStr">
        <is>
          <t>无</t>
        </is>
      </c>
      <c r="AB210" s="12" t="n">
        <v>426</v>
      </c>
      <c r="AC210" s="12" t="n">
        <v>4</v>
      </c>
      <c r="AD210" s="12" t="n">
        <v>0</v>
      </c>
      <c r="AE210" s="12">
        <f>AB210+AC210+AD210</f>
        <v/>
      </c>
      <c r="AF210" s="13" t="n">
        <v>50000</v>
      </c>
      <c r="AG210" s="13" t="n">
        <v>0</v>
      </c>
      <c r="AH210" s="13" t="n">
        <v>0</v>
      </c>
      <c r="AI210" s="13">
        <f>AF210+AG210+AH210</f>
        <v/>
      </c>
      <c r="AJ210" s="14" t="n">
        <v>30</v>
      </c>
      <c r="AK210" s="14" t="n">
        <v>50</v>
      </c>
      <c r="AL210" s="14" t="n">
        <v>0</v>
      </c>
      <c r="AM210" s="14">
        <f>AJ210+AK210+AL210</f>
        <v/>
      </c>
      <c r="AN210" s="14">
        <f>AM210</f>
        <v/>
      </c>
    </row>
    <row r="211">
      <c r="A211" s="8" t="n">
        <v>9</v>
      </c>
      <c r="B211" s="8" t="n">
        <v>1</v>
      </c>
      <c r="C211" s="8" t="n">
        <v>2</v>
      </c>
      <c r="D211" s="8" t="inlineStr">
        <is>
          <t>月卡收益</t>
        </is>
      </c>
      <c r="E211" s="9">
        <f>K210</f>
        <v/>
      </c>
      <c r="F211" s="9" t="n">
        <v>1540</v>
      </c>
      <c r="G211" s="9" t="n">
        <v>0</v>
      </c>
      <c r="H211" s="9" t="n">
        <v>0</v>
      </c>
      <c r="I211" s="9" t="n">
        <v>0</v>
      </c>
      <c r="J211" s="9" t="n">
        <v>12480</v>
      </c>
      <c r="K211" s="9">
        <f>E211+F211+G211+H211+I211-J211</f>
        <v/>
      </c>
      <c r="L211" s="10">
        <f>Q210</f>
        <v/>
      </c>
      <c r="M211" s="10" t="n">
        <v>0</v>
      </c>
      <c r="N211" s="10" t="n">
        <v>11</v>
      </c>
      <c r="O211" s="10">
        <f>J211/160</f>
        <v/>
      </c>
      <c r="P211" s="10" t="n">
        <v>100</v>
      </c>
      <c r="Q211" s="10">
        <f>L211+M211+N211+O211-P211</f>
        <v/>
      </c>
      <c r="R211" s="11">
        <f>T210</f>
        <v/>
      </c>
      <c r="S211" s="11">
        <f>N(V211) + N(X211) + N(Z211)</f>
        <v/>
      </c>
      <c r="T211" s="11">
        <f>R211+P211-S211</f>
        <v/>
      </c>
      <c r="U211" s="11" t="inlineStr">
        <is>
          <t>是</t>
        </is>
      </c>
      <c r="V211" s="11" t="n">
        <v>49</v>
      </c>
      <c r="W211" s="11" t="inlineStr">
        <is>
          <t>是</t>
        </is>
      </c>
      <c r="X211" s="11" t="n">
        <v>50</v>
      </c>
      <c r="Y211" s="11" t="inlineStr">
        <is>
          <t>-</t>
        </is>
      </c>
      <c r="Z211" s="11" t="n">
        <v>0</v>
      </c>
      <c r="AA211" s="11" t="inlineStr">
        <is>
          <t>无</t>
        </is>
      </c>
      <c r="AB211" s="12">
        <f>AE210</f>
        <v/>
      </c>
      <c r="AC211" s="12" t="n">
        <v>0</v>
      </c>
      <c r="AD211" s="12" t="n">
        <v>0</v>
      </c>
      <c r="AE211" s="12">
        <f>AB211+AC211+AD211</f>
        <v/>
      </c>
      <c r="AF211" s="13">
        <f>AI210</f>
        <v/>
      </c>
      <c r="AG211" s="13" t="n">
        <v>0</v>
      </c>
      <c r="AH211" s="13" t="n">
        <v>0</v>
      </c>
      <c r="AI211" s="13">
        <f>AF211+AG211+AH211</f>
        <v/>
      </c>
      <c r="AJ211" s="14" t="n">
        <v>0</v>
      </c>
      <c r="AK211" s="14" t="n">
        <v>0</v>
      </c>
      <c r="AL211" s="14" t="n">
        <v>0</v>
      </c>
      <c r="AM211" s="14">
        <f>AJ211+AK211+AL211</f>
        <v/>
      </c>
      <c r="AN211" s="14">
        <f>AN210+AM211</f>
        <v/>
      </c>
    </row>
    <row r="212">
      <c r="A212" s="8" t="n">
        <v>9</v>
      </c>
      <c r="B212" s="8" t="n">
        <v>2</v>
      </c>
      <c r="C212" s="8" t="n">
        <v>1</v>
      </c>
      <c r="D212" s="8" t="inlineStr">
        <is>
          <t>版本免费+义相逢 + 月卡收益</t>
        </is>
      </c>
      <c r="E212" s="9">
        <f>K211</f>
        <v/>
      </c>
      <c r="F212" s="9" t="n">
        <v>1540</v>
      </c>
      <c r="G212" s="9" t="n">
        <v>4800</v>
      </c>
      <c r="H212" s="9" t="n">
        <v>0</v>
      </c>
      <c r="I212" s="9" t="n">
        <v>0</v>
      </c>
      <c r="J212" s="9" t="n">
        <v>0</v>
      </c>
      <c r="K212" s="9">
        <f>E212+F212+G212+H212+I212-J212</f>
        <v/>
      </c>
      <c r="L212" s="10">
        <f>Q211</f>
        <v/>
      </c>
      <c r="M212" s="10" t="n">
        <v>85</v>
      </c>
      <c r="N212" s="10" t="n">
        <v>6</v>
      </c>
      <c r="O212" s="10">
        <f>J212/160</f>
        <v/>
      </c>
      <c r="P212" s="10" t="n">
        <v>60</v>
      </c>
      <c r="Q212" s="10">
        <f>L212+M212+N212+O212-P212</f>
        <v/>
      </c>
      <c r="R212" s="11">
        <f>T211</f>
        <v/>
      </c>
      <c r="S212" s="11">
        <f>N(V212) + N(X212) + N(Z212)</f>
        <v/>
      </c>
      <c r="T212" s="11">
        <f>R212+P212-S212</f>
        <v/>
      </c>
      <c r="U212" s="11" t="inlineStr">
        <is>
          <t>是</t>
        </is>
      </c>
      <c r="V212" s="11" t="n">
        <v>49</v>
      </c>
      <c r="W212" s="11" t="inlineStr">
        <is>
          <t>否</t>
        </is>
      </c>
      <c r="X212" s="11" t="inlineStr">
        <is>
          <t>-</t>
        </is>
      </c>
      <c r="Y212" s="11" t="inlineStr">
        <is>
          <t>-</t>
        </is>
      </c>
      <c r="Z212" s="11" t="n">
        <v>0</v>
      </c>
      <c r="AA212" s="11" t="inlineStr">
        <is>
          <t>垫到60抽</t>
        </is>
      </c>
      <c r="AB212" s="12">
        <f>AE211</f>
        <v/>
      </c>
      <c r="AC212" s="12" t="n">
        <v>4</v>
      </c>
      <c r="AD212" s="12" t="n">
        <v>0</v>
      </c>
      <c r="AE212" s="12">
        <f>AB212+AC212+AD212</f>
        <v/>
      </c>
      <c r="AF212" s="13">
        <f>AI211</f>
        <v/>
      </c>
      <c r="AG212" s="13" t="n">
        <v>0</v>
      </c>
      <c r="AH212" s="13" t="n">
        <v>0</v>
      </c>
      <c r="AI212" s="13">
        <f>AF212+AG212+AH212</f>
        <v/>
      </c>
      <c r="AJ212" s="14" t="n">
        <v>0</v>
      </c>
      <c r="AK212" s="14" t="n">
        <v>50</v>
      </c>
      <c r="AL212" s="14" t="n">
        <v>0</v>
      </c>
      <c r="AM212" s="14">
        <f>AJ212+AK212+AL212</f>
        <v/>
      </c>
      <c r="AN212" s="14">
        <f>AN211+AM212</f>
        <v/>
      </c>
    </row>
    <row r="213">
      <c r="A213" s="8" t="n">
        <v>9</v>
      </c>
      <c r="B213" s="8" t="n">
        <v>2</v>
      </c>
      <c r="C213" s="8" t="n">
        <v>2</v>
      </c>
      <c r="D213" s="8" t="inlineStr">
        <is>
          <t>月卡收益 [月卡续费-30元]</t>
        </is>
      </c>
      <c r="E213" s="9">
        <f>K212</f>
        <v/>
      </c>
      <c r="F213" s="9" t="n">
        <v>1540</v>
      </c>
      <c r="G213" s="9" t="n">
        <v>0</v>
      </c>
      <c r="H213" s="9" t="n">
        <v>0</v>
      </c>
      <c r="I213" s="9" t="n">
        <v>0</v>
      </c>
      <c r="J213" s="9" t="n">
        <v>8480</v>
      </c>
      <c r="K213" s="9">
        <f>E213+F213+G213+H213+I213-J213</f>
        <v/>
      </c>
      <c r="L213" s="10">
        <f>Q212</f>
        <v/>
      </c>
      <c r="M213" s="10" t="n">
        <v>0</v>
      </c>
      <c r="N213" s="10" t="n">
        <v>11</v>
      </c>
      <c r="O213" s="10">
        <f>J213/160</f>
        <v/>
      </c>
      <c r="P213" s="10" t="n">
        <v>90</v>
      </c>
      <c r="Q213" s="10">
        <f>L213+M213+N213+O213-P213</f>
        <v/>
      </c>
      <c r="R213" s="11">
        <f>T212</f>
        <v/>
      </c>
      <c r="S213" s="11">
        <f>N(V213) + N(X213) + N(Z213)</f>
        <v/>
      </c>
      <c r="T213" s="11">
        <f>R213+P213-S213</f>
        <v/>
      </c>
      <c r="U213" s="11" t="inlineStr">
        <is>
          <t>是</t>
        </is>
      </c>
      <c r="V213" s="11" t="n">
        <v>49</v>
      </c>
      <c r="W213" s="11" t="inlineStr">
        <is>
          <t>是</t>
        </is>
      </c>
      <c r="X213" s="11" t="n">
        <v>50</v>
      </c>
      <c r="Y213" s="11" t="inlineStr">
        <is>
          <t>-</t>
        </is>
      </c>
      <c r="Z213" s="11" t="n">
        <v>0</v>
      </c>
      <c r="AA213" s="11" t="inlineStr">
        <is>
          <t>无</t>
        </is>
      </c>
      <c r="AB213" s="12">
        <f>AE212</f>
        <v/>
      </c>
      <c r="AC213" s="12" t="n">
        <v>0</v>
      </c>
      <c r="AD213" s="12" t="n">
        <v>0</v>
      </c>
      <c r="AE213" s="12">
        <f>AB213+AC213+AD213</f>
        <v/>
      </c>
      <c r="AF213" s="13">
        <f>AI212</f>
        <v/>
      </c>
      <c r="AG213" s="13" t="n">
        <v>0</v>
      </c>
      <c r="AH213" s="13" t="n">
        <v>0</v>
      </c>
      <c r="AI213" s="13">
        <f>AF213+AG213+AH213</f>
        <v/>
      </c>
      <c r="AJ213" s="14" t="n">
        <v>30</v>
      </c>
      <c r="AK213" s="14" t="n">
        <v>0</v>
      </c>
      <c r="AL213" s="14" t="n">
        <v>0</v>
      </c>
      <c r="AM213" s="14">
        <f>AJ213+AK213+AL213</f>
        <v/>
      </c>
      <c r="AN213" s="14">
        <f>AN212+AM213</f>
        <v/>
      </c>
    </row>
    <row r="214">
      <c r="A214" s="8" t="n">
        <v>9</v>
      </c>
      <c r="B214" s="8" t="n">
        <v>3</v>
      </c>
      <c r="C214" s="8" t="n">
        <v>1</v>
      </c>
      <c r="D214" s="8" t="inlineStr">
        <is>
          <t>版本免费+义相逢 + 月卡收益</t>
        </is>
      </c>
      <c r="E214" s="9">
        <f>K213</f>
        <v/>
      </c>
      <c r="F214" s="9" t="n">
        <v>1540</v>
      </c>
      <c r="G214" s="9" t="n">
        <v>4800</v>
      </c>
      <c r="H214" s="9" t="n">
        <v>0</v>
      </c>
      <c r="I214" s="9" t="n">
        <v>0</v>
      </c>
      <c r="J214" s="9" t="n">
        <v>0</v>
      </c>
      <c r="K214" s="9">
        <f>E214+F214+G214+H214+I214-J214</f>
        <v/>
      </c>
      <c r="L214" s="10">
        <f>Q213</f>
        <v/>
      </c>
      <c r="M214" s="10" t="n">
        <v>85</v>
      </c>
      <c r="N214" s="10" t="n">
        <v>6</v>
      </c>
      <c r="O214" s="10">
        <f>J214/160</f>
        <v/>
      </c>
      <c r="P214" s="10" t="n">
        <v>60</v>
      </c>
      <c r="Q214" s="10">
        <f>L214+M214+N214+O214-P214</f>
        <v/>
      </c>
      <c r="R214" s="11">
        <f>T213</f>
        <v/>
      </c>
      <c r="S214" s="11">
        <f>N(V214) + N(X214) + N(Z214)</f>
        <v/>
      </c>
      <c r="T214" s="11">
        <f>R214+P214-S214</f>
        <v/>
      </c>
      <c r="U214" s="11" t="inlineStr">
        <is>
          <t>是</t>
        </is>
      </c>
      <c r="V214" s="11" t="n">
        <v>49</v>
      </c>
      <c r="W214" s="11" t="inlineStr">
        <is>
          <t>否</t>
        </is>
      </c>
      <c r="X214" s="11" t="inlineStr">
        <is>
          <t>-</t>
        </is>
      </c>
      <c r="Y214" s="11" t="inlineStr">
        <is>
          <t>-</t>
        </is>
      </c>
      <c r="Z214" s="11" t="n">
        <v>0</v>
      </c>
      <c r="AA214" s="11" t="inlineStr">
        <is>
          <t>垫到60抽</t>
        </is>
      </c>
      <c r="AB214" s="12">
        <f>AE213</f>
        <v/>
      </c>
      <c r="AC214" s="12" t="n">
        <v>4</v>
      </c>
      <c r="AD214" s="12" t="n">
        <v>0</v>
      </c>
      <c r="AE214" s="12">
        <f>AB214+AC214+AD214</f>
        <v/>
      </c>
      <c r="AF214" s="13">
        <f>AI213</f>
        <v/>
      </c>
      <c r="AG214" s="13" t="n">
        <v>0</v>
      </c>
      <c r="AH214" s="13" t="n">
        <v>0</v>
      </c>
      <c r="AI214" s="13">
        <f>AF214+AG214+AH214</f>
        <v/>
      </c>
      <c r="AJ214" s="14" t="n">
        <v>0</v>
      </c>
      <c r="AK214" s="14" t="n">
        <v>50</v>
      </c>
      <c r="AL214" s="14" t="n">
        <v>0</v>
      </c>
      <c r="AM214" s="14">
        <f>AJ214+AK214+AL214</f>
        <v/>
      </c>
      <c r="AN214" s="14">
        <f>AN213+AM214</f>
        <v/>
      </c>
    </row>
    <row r="215">
      <c r="A215" s="8" t="n">
        <v>9</v>
      </c>
      <c r="B215" s="8" t="n">
        <v>3</v>
      </c>
      <c r="C215" s="8" t="n">
        <v>2</v>
      </c>
      <c r="D215" s="8" t="inlineStr">
        <is>
          <t>月卡收益 [月卡续费-30元]</t>
        </is>
      </c>
      <c r="E215" s="9">
        <f>K214</f>
        <v/>
      </c>
      <c r="F215" s="9" t="n">
        <v>1540</v>
      </c>
      <c r="G215" s="9" t="n">
        <v>0</v>
      </c>
      <c r="H215" s="9" t="n">
        <v>0</v>
      </c>
      <c r="I215" s="9" t="n">
        <v>0</v>
      </c>
      <c r="J215" s="9" t="n">
        <v>7680</v>
      </c>
      <c r="K215" s="9">
        <f>E215+F215+G215+H215+I215-J215</f>
        <v/>
      </c>
      <c r="L215" s="10">
        <f>Q214</f>
        <v/>
      </c>
      <c r="M215" s="10" t="n">
        <v>0</v>
      </c>
      <c r="N215" s="10" t="n">
        <v>11</v>
      </c>
      <c r="O215" s="10">
        <f>J215/160</f>
        <v/>
      </c>
      <c r="P215" s="10" t="n">
        <v>90</v>
      </c>
      <c r="Q215" s="10">
        <f>L215+M215+N215+O215-P215</f>
        <v/>
      </c>
      <c r="R215" s="11">
        <f>T214</f>
        <v/>
      </c>
      <c r="S215" s="11">
        <f>N(V215) + N(X215) + N(Z215)</f>
        <v/>
      </c>
      <c r="T215" s="11">
        <f>R215+P215-S215</f>
        <v/>
      </c>
      <c r="U215" s="11" t="inlineStr">
        <is>
          <t>是</t>
        </is>
      </c>
      <c r="V215" s="11" t="n">
        <v>46</v>
      </c>
      <c r="W215" s="11" t="inlineStr">
        <is>
          <t>是</t>
        </is>
      </c>
      <c r="X215" s="11" t="n">
        <v>47</v>
      </c>
      <c r="Y215" s="11" t="inlineStr">
        <is>
          <t>-</t>
        </is>
      </c>
      <c r="Z215" s="11" t="n">
        <v>0</v>
      </c>
      <c r="AA215" s="11" t="inlineStr">
        <is>
          <t>垫到90抽</t>
        </is>
      </c>
      <c r="AB215" s="12">
        <f>AE214</f>
        <v/>
      </c>
      <c r="AC215" s="12" t="n">
        <v>0</v>
      </c>
      <c r="AD215" s="12" t="n">
        <v>0</v>
      </c>
      <c r="AE215" s="12">
        <f>AB215+AC215+AD215</f>
        <v/>
      </c>
      <c r="AF215" s="13">
        <f>AI214</f>
        <v/>
      </c>
      <c r="AG215" s="13" t="n">
        <v>0</v>
      </c>
      <c r="AH215" s="13" t="n">
        <v>0</v>
      </c>
      <c r="AI215" s="13">
        <f>AF215+AG215+AH215</f>
        <v/>
      </c>
      <c r="AJ215" s="14" t="n">
        <v>30</v>
      </c>
      <c r="AK215" s="14" t="n">
        <v>0</v>
      </c>
      <c r="AL215" s="14" t="n">
        <v>0</v>
      </c>
      <c r="AM215" s="14">
        <f>AJ215+AK215+AL215</f>
        <v/>
      </c>
      <c r="AN215" s="14">
        <f>AN214+AM215</f>
        <v/>
      </c>
    </row>
    <row r="216">
      <c r="A216" s="8" t="n">
        <v>9</v>
      </c>
      <c r="B216" s="8" t="n">
        <v>4</v>
      </c>
      <c r="C216" s="8" t="n">
        <v>1</v>
      </c>
      <c r="D216" s="8" t="inlineStr">
        <is>
          <t>版本免费+义相逢 + 月卡收益</t>
        </is>
      </c>
      <c r="E216" s="9">
        <f>K215</f>
        <v/>
      </c>
      <c r="F216" s="9" t="n">
        <v>1540</v>
      </c>
      <c r="G216" s="9" t="n">
        <v>4800</v>
      </c>
      <c r="H216" s="9" t="n">
        <v>0</v>
      </c>
      <c r="I216" s="9" t="n">
        <v>0</v>
      </c>
      <c r="J216" s="9" t="n">
        <v>0</v>
      </c>
      <c r="K216" s="9">
        <f>E216+F216+G216+H216+I216-J216</f>
        <v/>
      </c>
      <c r="L216" s="10">
        <f>Q215</f>
        <v/>
      </c>
      <c r="M216" s="10" t="n">
        <v>85</v>
      </c>
      <c r="N216" s="10" t="n">
        <v>1</v>
      </c>
      <c r="O216" s="10">
        <f>J216/160</f>
        <v/>
      </c>
      <c r="P216" s="10" t="n">
        <v>20</v>
      </c>
      <c r="Q216" s="10">
        <f>L216+M216+N216+O216-P216</f>
        <v/>
      </c>
      <c r="R216" s="11">
        <f>T215</f>
        <v/>
      </c>
      <c r="S216" s="11">
        <f>N(V216) + N(X216) + N(Z216)</f>
        <v/>
      </c>
      <c r="T216" s="11">
        <f>R216+P216-S216</f>
        <v/>
      </c>
      <c r="U216" s="11" t="inlineStr">
        <is>
          <t>是</t>
        </is>
      </c>
      <c r="V216" s="11" t="n">
        <v>32</v>
      </c>
      <c r="W216" s="11" t="inlineStr">
        <is>
          <t>否</t>
        </is>
      </c>
      <c r="X216" s="11" t="inlineStr">
        <is>
          <t>-</t>
        </is>
      </c>
      <c r="Y216" s="11" t="inlineStr">
        <is>
          <t>-</t>
        </is>
      </c>
      <c r="Z216" s="11" t="n">
        <v>0</v>
      </c>
      <c r="AA216" s="11" t="inlineStr">
        <is>
          <t>无</t>
        </is>
      </c>
      <c r="AB216" s="12">
        <f>AE215</f>
        <v/>
      </c>
      <c r="AC216" s="12" t="n">
        <v>4</v>
      </c>
      <c r="AD216" s="12" t="n">
        <v>0</v>
      </c>
      <c r="AE216" s="12">
        <f>AB216+AC216+AD216</f>
        <v/>
      </c>
      <c r="AF216" s="13">
        <f>AI215</f>
        <v/>
      </c>
      <c r="AG216" s="13" t="n">
        <v>0</v>
      </c>
      <c r="AH216" s="13" t="n">
        <v>0</v>
      </c>
      <c r="AI216" s="13">
        <f>AF216+AG216+AH216</f>
        <v/>
      </c>
      <c r="AJ216" s="14" t="n">
        <v>0</v>
      </c>
      <c r="AK216" s="14" t="n">
        <v>50</v>
      </c>
      <c r="AL216" s="14" t="n">
        <v>0</v>
      </c>
      <c r="AM216" s="14">
        <f>AJ216+AK216+AL216</f>
        <v/>
      </c>
      <c r="AN216" s="14">
        <f>AN215+AM216</f>
        <v/>
      </c>
    </row>
    <row r="217">
      <c r="A217" s="8" t="n">
        <v>9</v>
      </c>
      <c r="B217" s="8" t="n">
        <v>4</v>
      </c>
      <c r="C217" s="8" t="n">
        <v>2</v>
      </c>
      <c r="D217" s="8" t="inlineStr">
        <is>
          <t>月卡收益 [月卡续费-30元]</t>
        </is>
      </c>
      <c r="E217" s="9">
        <f>K216</f>
        <v/>
      </c>
      <c r="F217" s="9" t="n">
        <v>1540</v>
      </c>
      <c r="G217" s="9" t="n">
        <v>0</v>
      </c>
      <c r="H217" s="9" t="n">
        <v>0</v>
      </c>
      <c r="I217" s="9" t="n">
        <v>0</v>
      </c>
      <c r="J217" s="9" t="n">
        <v>2880</v>
      </c>
      <c r="K217" s="9">
        <f>E217+F217+G217+H217+I217-J217</f>
        <v/>
      </c>
      <c r="L217" s="10">
        <f>Q216</f>
        <v/>
      </c>
      <c r="M217" s="10" t="n">
        <v>0</v>
      </c>
      <c r="N217" s="10" t="n">
        <v>11</v>
      </c>
      <c r="O217" s="10">
        <f>J217/160</f>
        <v/>
      </c>
      <c r="P217" s="10" t="n">
        <v>100</v>
      </c>
      <c r="Q217" s="10">
        <f>L217+M217+N217+O217-P217</f>
        <v/>
      </c>
      <c r="R217" s="11">
        <f>T216</f>
        <v/>
      </c>
      <c r="S217" s="11">
        <f>N(V217) + N(X217) + N(Z217)</f>
        <v/>
      </c>
      <c r="T217" s="11">
        <f>R217+P217-S217</f>
        <v/>
      </c>
      <c r="U217" s="11" t="inlineStr">
        <is>
          <t>是</t>
        </is>
      </c>
      <c r="V217" s="11" t="n">
        <v>48</v>
      </c>
      <c r="W217" s="11" t="inlineStr">
        <is>
          <t>是</t>
        </is>
      </c>
      <c r="X217" s="11" t="n">
        <v>52</v>
      </c>
      <c r="Y217" s="11" t="inlineStr">
        <is>
          <t>-</t>
        </is>
      </c>
      <c r="Z217" s="11" t="n">
        <v>0</v>
      </c>
      <c r="AA217" s="11" t="inlineStr">
        <is>
          <t>无</t>
        </is>
      </c>
      <c r="AB217" s="12">
        <f>AE216</f>
        <v/>
      </c>
      <c r="AC217" s="12" t="n">
        <v>0</v>
      </c>
      <c r="AD217" s="12" t="n">
        <v>0</v>
      </c>
      <c r="AE217" s="12">
        <f>AB217+AC217+AD217</f>
        <v/>
      </c>
      <c r="AF217" s="13">
        <f>AI216</f>
        <v/>
      </c>
      <c r="AG217" s="13" t="n">
        <v>0</v>
      </c>
      <c r="AH217" s="13" t="n">
        <v>0</v>
      </c>
      <c r="AI217" s="13">
        <f>AF217+AG217+AH217</f>
        <v/>
      </c>
      <c r="AJ217" s="14" t="n">
        <v>30</v>
      </c>
      <c r="AK217" s="14" t="n">
        <v>0</v>
      </c>
      <c r="AL217" s="14" t="n">
        <v>0</v>
      </c>
      <c r="AM217" s="14">
        <f>AJ217+AK217+AL217</f>
        <v/>
      </c>
      <c r="AN217" s="14">
        <f>AN216+AM217</f>
        <v/>
      </c>
    </row>
    <row r="218">
      <c r="A218" s="8" t="n">
        <v>9</v>
      </c>
      <c r="B218" s="8" t="n">
        <v>5</v>
      </c>
      <c r="C218" s="8" t="n">
        <v>1</v>
      </c>
      <c r="D218" s="8" t="inlineStr">
        <is>
          <t>版本免费+义相逢 + 月卡收益</t>
        </is>
      </c>
      <c r="E218" s="9">
        <f>K217</f>
        <v/>
      </c>
      <c r="F218" s="9" t="n">
        <v>1540</v>
      </c>
      <c r="G218" s="9" t="n">
        <v>4800</v>
      </c>
      <c r="H218" s="9" t="n">
        <v>0</v>
      </c>
      <c r="I218" s="9" t="n">
        <v>0</v>
      </c>
      <c r="J218" s="9" t="n">
        <v>15040</v>
      </c>
      <c r="K218" s="9">
        <f>E218+F218+G218+H218+I218-J218</f>
        <v/>
      </c>
      <c r="L218" s="10">
        <f>Q217</f>
        <v/>
      </c>
      <c r="M218" s="10" t="n">
        <v>85</v>
      </c>
      <c r="N218" s="10" t="n">
        <v>21</v>
      </c>
      <c r="O218" s="10">
        <f>J218/160</f>
        <v/>
      </c>
      <c r="P218" s="10" t="n">
        <v>200</v>
      </c>
      <c r="Q218" s="10">
        <f>L218+M218+N218+O218-P218</f>
        <v/>
      </c>
      <c r="R218" s="11">
        <f>T217</f>
        <v/>
      </c>
      <c r="S218" s="11">
        <f>N(V218) + N(X218) + N(Z218)</f>
        <v/>
      </c>
      <c r="T218" s="11">
        <f>R218+P218-S218</f>
        <v/>
      </c>
      <c r="U218" s="11" t="inlineStr">
        <is>
          <t>是</t>
        </is>
      </c>
      <c r="V218" s="11" t="n">
        <v>47</v>
      </c>
      <c r="W218" s="11" t="inlineStr">
        <is>
          <t>是</t>
        </is>
      </c>
      <c r="X218" s="11" t="n">
        <v>48</v>
      </c>
      <c r="Y218" s="11" t="inlineStr">
        <is>
          <t>UP(48), UP(48)</t>
        </is>
      </c>
      <c r="Z218" s="11" t="n">
        <v>96</v>
      </c>
      <c r="AA218" s="11" t="inlineStr">
        <is>
          <t>冲刺200(动态100)</t>
        </is>
      </c>
      <c r="AB218" s="12">
        <f>AE217</f>
        <v/>
      </c>
      <c r="AC218" s="12" t="n">
        <v>4</v>
      </c>
      <c r="AD218" s="12" t="n">
        <v>1</v>
      </c>
      <c r="AE218" s="12">
        <f>AB218+AC218+AD218</f>
        <v/>
      </c>
      <c r="AF218" s="13">
        <f>AI217</f>
        <v/>
      </c>
      <c r="AG218" s="13" t="n">
        <v>0</v>
      </c>
      <c r="AH218" s="13" t="n">
        <v>5000</v>
      </c>
      <c r="AI218" s="13">
        <f>AF218+AG218+AH218</f>
        <v/>
      </c>
      <c r="AJ218" s="14" t="n">
        <v>0</v>
      </c>
      <c r="AK218" s="14" t="n">
        <v>50</v>
      </c>
      <c r="AL218" s="14" t="n">
        <v>0</v>
      </c>
      <c r="AM218" s="14">
        <f>AJ218+AK218+AL218</f>
        <v/>
      </c>
      <c r="AN218" s="14">
        <f>AN217+AM218</f>
        <v/>
      </c>
    </row>
    <row r="219">
      <c r="A219" s="8" t="n">
        <v>9</v>
      </c>
      <c r="B219" s="8" t="n">
        <v>5</v>
      </c>
      <c r="C219" s="8" t="n">
        <v>2</v>
      </c>
      <c r="D219" s="8" t="inlineStr">
        <is>
          <t>月卡收益 [月卡续费-30元]</t>
        </is>
      </c>
      <c r="E219" s="9">
        <f>K218</f>
        <v/>
      </c>
      <c r="F219" s="9" t="n">
        <v>1540</v>
      </c>
      <c r="G219" s="9" t="n">
        <v>0</v>
      </c>
      <c r="H219" s="9" t="n">
        <v>0</v>
      </c>
      <c r="I219" s="9" t="n">
        <v>0</v>
      </c>
      <c r="J219" s="9" t="n">
        <v>5920</v>
      </c>
      <c r="K219" s="9">
        <f>E219+F219+G219+H219+I219-J219</f>
        <v/>
      </c>
      <c r="L219" s="10">
        <f>Q218</f>
        <v/>
      </c>
      <c r="M219" s="10" t="n">
        <v>0</v>
      </c>
      <c r="N219" s="10" t="n">
        <v>3</v>
      </c>
      <c r="O219" s="10">
        <f>J219/160</f>
        <v/>
      </c>
      <c r="P219" s="10" t="n">
        <v>40</v>
      </c>
      <c r="Q219" s="10">
        <f>L219+M219+N219+O219-P219</f>
        <v/>
      </c>
      <c r="R219" s="11">
        <f>T218</f>
        <v/>
      </c>
      <c r="S219" s="11">
        <f>N(V219) + N(X219) + N(Z219)</f>
        <v/>
      </c>
      <c r="T219" s="11">
        <f>R219+P219-S219</f>
        <v/>
      </c>
      <c r="U219" s="11" t="inlineStr">
        <is>
          <t>是</t>
        </is>
      </c>
      <c r="V219" s="11" t="n">
        <v>46</v>
      </c>
      <c r="W219" s="11" t="inlineStr">
        <is>
          <t>否</t>
        </is>
      </c>
      <c r="X219" s="11" t="inlineStr">
        <is>
          <t>-</t>
        </is>
      </c>
      <c r="Y219" s="11" t="inlineStr">
        <is>
          <t>-</t>
        </is>
      </c>
      <c r="Z219" s="11" t="n">
        <v>0</v>
      </c>
      <c r="AA219" s="11" t="inlineStr">
        <is>
          <t>无</t>
        </is>
      </c>
      <c r="AB219" s="12">
        <f>AE218</f>
        <v/>
      </c>
      <c r="AC219" s="12" t="n">
        <v>0</v>
      </c>
      <c r="AD219" s="12" t="n">
        <v>0</v>
      </c>
      <c r="AE219" s="12">
        <f>AB219+AC219+AD219</f>
        <v/>
      </c>
      <c r="AF219" s="13">
        <f>AI218</f>
        <v/>
      </c>
      <c r="AG219" s="13" t="n">
        <v>0</v>
      </c>
      <c r="AH219" s="13" t="n">
        <v>0</v>
      </c>
      <c r="AI219" s="13">
        <f>AF219+AG219+AH219</f>
        <v/>
      </c>
      <c r="AJ219" s="14" t="n">
        <v>30</v>
      </c>
      <c r="AK219" s="14" t="n">
        <v>0</v>
      </c>
      <c r="AL219" s="14" t="n">
        <v>0</v>
      </c>
      <c r="AM219" s="14">
        <f>AJ219+AK219+AL219</f>
        <v/>
      </c>
      <c r="AN219" s="14">
        <f>AN218+AM219</f>
        <v/>
      </c>
    </row>
    <row r="220">
      <c r="A220" s="8" t="n">
        <v>9</v>
      </c>
      <c r="B220" s="8" t="n">
        <v>6</v>
      </c>
      <c r="C220" s="8" t="n">
        <v>1</v>
      </c>
      <c r="D220" s="8" t="inlineStr">
        <is>
          <t>版本免费+义相逢 + 月卡收益</t>
        </is>
      </c>
      <c r="E220" s="9">
        <f>K219</f>
        <v/>
      </c>
      <c r="F220" s="9" t="n">
        <v>1540</v>
      </c>
      <c r="G220" s="9" t="n">
        <v>4800</v>
      </c>
      <c r="H220" s="9" t="n">
        <v>0</v>
      </c>
      <c r="I220" s="9" t="n">
        <v>0</v>
      </c>
      <c r="J220" s="9" t="n">
        <v>0</v>
      </c>
      <c r="K220" s="9">
        <f>E220+F220+G220+H220+I220-J220</f>
        <v/>
      </c>
      <c r="L220" s="10">
        <f>Q219</f>
        <v/>
      </c>
      <c r="M220" s="10" t="n">
        <v>85</v>
      </c>
      <c r="N220" s="10" t="n">
        <v>6</v>
      </c>
      <c r="O220" s="10">
        <f>J220/160</f>
        <v/>
      </c>
      <c r="P220" s="10" t="n">
        <v>60</v>
      </c>
      <c r="Q220" s="10">
        <f>L220+M220+N220+O220-P220</f>
        <v/>
      </c>
      <c r="R220" s="11">
        <f>T219</f>
        <v/>
      </c>
      <c r="S220" s="11">
        <f>N(V220) + N(X220) + N(Z220)</f>
        <v/>
      </c>
      <c r="T220" s="11">
        <f>R220+P220-S220</f>
        <v/>
      </c>
      <c r="U220" s="11" t="inlineStr">
        <is>
          <t>是</t>
        </is>
      </c>
      <c r="V220" s="11" t="n">
        <v>47</v>
      </c>
      <c r="W220" s="11" t="inlineStr">
        <is>
          <t>否</t>
        </is>
      </c>
      <c r="X220" s="11" t="inlineStr">
        <is>
          <t>-</t>
        </is>
      </c>
      <c r="Y220" s="11" t="inlineStr">
        <is>
          <t>-</t>
        </is>
      </c>
      <c r="Z220" s="11" t="n">
        <v>0</v>
      </c>
      <c r="AA220" s="11" t="inlineStr">
        <is>
          <t>垫到60抽</t>
        </is>
      </c>
      <c r="AB220" s="12">
        <f>AE219</f>
        <v/>
      </c>
      <c r="AC220" s="12" t="n">
        <v>4</v>
      </c>
      <c r="AD220" s="12" t="n">
        <v>0</v>
      </c>
      <c r="AE220" s="12">
        <f>AB220+AC220+AD220</f>
        <v/>
      </c>
      <c r="AF220" s="13">
        <f>AI219</f>
        <v/>
      </c>
      <c r="AG220" s="13" t="n">
        <v>0</v>
      </c>
      <c r="AH220" s="13" t="n">
        <v>0</v>
      </c>
      <c r="AI220" s="13">
        <f>AF220+AG220+AH220</f>
        <v/>
      </c>
      <c r="AJ220" s="14" t="n">
        <v>0</v>
      </c>
      <c r="AK220" s="14" t="n">
        <v>50</v>
      </c>
      <c r="AL220" s="14" t="n">
        <v>0</v>
      </c>
      <c r="AM220" s="14">
        <f>AJ220+AK220+AL220</f>
        <v/>
      </c>
      <c r="AN220" s="14">
        <f>AN219+AM220</f>
        <v/>
      </c>
    </row>
    <row r="221">
      <c r="A221" s="8" t="n">
        <v>9</v>
      </c>
      <c r="B221" s="8" t="n">
        <v>6</v>
      </c>
      <c r="C221" s="8" t="n">
        <v>2</v>
      </c>
      <c r="D221" s="8" t="inlineStr">
        <is>
          <t>月卡收益 [月卡续费-30元]</t>
        </is>
      </c>
      <c r="E221" s="9">
        <f>K220</f>
        <v/>
      </c>
      <c r="F221" s="9" t="n">
        <v>1540</v>
      </c>
      <c r="G221" s="9" t="n">
        <v>0</v>
      </c>
      <c r="H221" s="9" t="n">
        <v>0</v>
      </c>
      <c r="I221" s="9" t="n">
        <v>0</v>
      </c>
      <c r="J221" s="9" t="n">
        <v>960</v>
      </c>
      <c r="K221" s="9">
        <f>E221+F221+G221+H221+I221-J221</f>
        <v/>
      </c>
      <c r="L221" s="10">
        <f>Q220</f>
        <v/>
      </c>
      <c r="M221" s="10" t="n">
        <v>0</v>
      </c>
      <c r="N221" s="10" t="n">
        <v>3</v>
      </c>
      <c r="O221" s="10">
        <f>J221/160</f>
        <v/>
      </c>
      <c r="P221" s="10" t="n">
        <v>40</v>
      </c>
      <c r="Q221" s="10">
        <f>L221+M221+N221+O221-P221</f>
        <v/>
      </c>
      <c r="R221" s="11">
        <f>T220</f>
        <v/>
      </c>
      <c r="S221" s="11">
        <f>N(V221) + N(X221) + N(Z221)</f>
        <v/>
      </c>
      <c r="T221" s="11">
        <f>R221+P221-S221</f>
        <v/>
      </c>
      <c r="U221" s="11" t="inlineStr">
        <is>
          <t>是</t>
        </is>
      </c>
      <c r="V221" s="11" t="n">
        <v>48</v>
      </c>
      <c r="W221" s="11" t="inlineStr">
        <is>
          <t>否</t>
        </is>
      </c>
      <c r="X221" s="11" t="inlineStr">
        <is>
          <t>-</t>
        </is>
      </c>
      <c r="Y221" s="11" t="inlineStr">
        <is>
          <t>-</t>
        </is>
      </c>
      <c r="Z221" s="11" t="n">
        <v>0</v>
      </c>
      <c r="AA221" s="11" t="inlineStr">
        <is>
          <t>无</t>
        </is>
      </c>
      <c r="AB221" s="12">
        <f>AE220</f>
        <v/>
      </c>
      <c r="AC221" s="12" t="n">
        <v>0</v>
      </c>
      <c r="AD221" s="12" t="n">
        <v>0</v>
      </c>
      <c r="AE221" s="12">
        <f>AB221+AC221+AD221</f>
        <v/>
      </c>
      <c r="AF221" s="13">
        <f>AI220</f>
        <v/>
      </c>
      <c r="AG221" s="13" t="n">
        <v>0</v>
      </c>
      <c r="AH221" s="13" t="n">
        <v>0</v>
      </c>
      <c r="AI221" s="13">
        <f>AF221+AG221+AH221</f>
        <v/>
      </c>
      <c r="AJ221" s="14" t="n">
        <v>30</v>
      </c>
      <c r="AK221" s="14" t="n">
        <v>0</v>
      </c>
      <c r="AL221" s="14" t="n">
        <v>0</v>
      </c>
      <c r="AM221" s="14">
        <f>AJ221+AK221+AL221</f>
        <v/>
      </c>
      <c r="AN221" s="14">
        <f>AN220+AM221</f>
        <v/>
      </c>
    </row>
    <row r="222">
      <c r="A222" s="8" t="n">
        <v>9</v>
      </c>
      <c r="B222" s="8" t="n">
        <v>7</v>
      </c>
      <c r="C222" s="8" t="n">
        <v>1</v>
      </c>
      <c r="D222" s="8" t="inlineStr">
        <is>
          <t>版本免费+义相逢 + 月卡收益</t>
        </is>
      </c>
      <c r="E222" s="9">
        <f>K221</f>
        <v/>
      </c>
      <c r="F222" s="9" t="n">
        <v>1540</v>
      </c>
      <c r="G222" s="9" t="n">
        <v>4800</v>
      </c>
      <c r="H222" s="9" t="n">
        <v>0</v>
      </c>
      <c r="I222" s="9" t="n">
        <v>0</v>
      </c>
      <c r="J222" s="9" t="n">
        <v>0</v>
      </c>
      <c r="K222" s="9">
        <f>E222+F222+G222+H222+I222-J222</f>
        <v/>
      </c>
      <c r="L222" s="10">
        <f>Q221</f>
        <v/>
      </c>
      <c r="M222" s="10" t="n">
        <v>85</v>
      </c>
      <c r="N222" s="10" t="n">
        <v>6</v>
      </c>
      <c r="O222" s="10">
        <f>J222/160</f>
        <v/>
      </c>
      <c r="P222" s="10" t="n">
        <v>60</v>
      </c>
      <c r="Q222" s="10">
        <f>L222+M222+N222+O222-P222</f>
        <v/>
      </c>
      <c r="R222" s="11">
        <f>T221</f>
        <v/>
      </c>
      <c r="S222" s="11">
        <f>N(V222) + N(X222) + N(Z222)</f>
        <v/>
      </c>
      <c r="T222" s="11">
        <f>R222+P222-S222</f>
        <v/>
      </c>
      <c r="U222" s="11" t="inlineStr">
        <is>
          <t>是</t>
        </is>
      </c>
      <c r="V222" s="11" t="n">
        <v>51</v>
      </c>
      <c r="W222" s="11" t="inlineStr">
        <is>
          <t>否</t>
        </is>
      </c>
      <c r="X222" s="11" t="inlineStr">
        <is>
          <t>-</t>
        </is>
      </c>
      <c r="Y222" s="11" t="inlineStr">
        <is>
          <t>-</t>
        </is>
      </c>
      <c r="Z222" s="11" t="n">
        <v>0</v>
      </c>
      <c r="AA222" s="11" t="inlineStr">
        <is>
          <t>垫到60抽</t>
        </is>
      </c>
      <c r="AB222" s="12">
        <f>AE221</f>
        <v/>
      </c>
      <c r="AC222" s="12" t="n">
        <v>4</v>
      </c>
      <c r="AD222" s="12" t="n">
        <v>0</v>
      </c>
      <c r="AE222" s="12">
        <f>AB222+AC222+AD222</f>
        <v/>
      </c>
      <c r="AF222" s="13">
        <f>AI221</f>
        <v/>
      </c>
      <c r="AG222" s="13" t="n">
        <v>0</v>
      </c>
      <c r="AH222" s="13" t="n">
        <v>0</v>
      </c>
      <c r="AI222" s="13">
        <f>AF222+AG222+AH222</f>
        <v/>
      </c>
      <c r="AJ222" s="14" t="n">
        <v>0</v>
      </c>
      <c r="AK222" s="14" t="n">
        <v>50</v>
      </c>
      <c r="AL222" s="14" t="n">
        <v>0</v>
      </c>
      <c r="AM222" s="14">
        <f>AJ222+AK222+AL222</f>
        <v/>
      </c>
      <c r="AN222" s="14">
        <f>AN221+AM222</f>
        <v/>
      </c>
    </row>
    <row r="223">
      <c r="A223" s="8" t="n">
        <v>9</v>
      </c>
      <c r="B223" s="8" t="n">
        <v>7</v>
      </c>
      <c r="C223" s="8" t="n">
        <v>2</v>
      </c>
      <c r="D223" s="8" t="inlineStr">
        <is>
          <t>月卡收益 [月卡续费-30元]</t>
        </is>
      </c>
      <c r="E223" s="9">
        <f>K222</f>
        <v/>
      </c>
      <c r="F223" s="9" t="n">
        <v>1540</v>
      </c>
      <c r="G223" s="9" t="n">
        <v>0</v>
      </c>
      <c r="H223" s="9" t="n">
        <v>0</v>
      </c>
      <c r="I223" s="9" t="n">
        <v>0</v>
      </c>
      <c r="J223" s="9" t="n">
        <v>0</v>
      </c>
      <c r="K223" s="9">
        <f>E223+F223+G223+H223+I223-J223</f>
        <v/>
      </c>
      <c r="L223" s="10">
        <f>Q222</f>
        <v/>
      </c>
      <c r="M223" s="10" t="n">
        <v>0</v>
      </c>
      <c r="N223" s="10" t="n">
        <v>3</v>
      </c>
      <c r="O223" s="10">
        <f>J223/160</f>
        <v/>
      </c>
      <c r="P223" s="10" t="n">
        <v>30</v>
      </c>
      <c r="Q223" s="10">
        <f>L223+M223+N223+O223-P223</f>
        <v/>
      </c>
      <c r="R223" s="11">
        <f>T222</f>
        <v/>
      </c>
      <c r="S223" s="11">
        <f>N(V223) + N(X223) + N(Z223)</f>
        <v/>
      </c>
      <c r="T223" s="11">
        <f>R223+P223-S223</f>
        <v/>
      </c>
      <c r="U223" s="11" t="inlineStr">
        <is>
          <t>是</t>
        </is>
      </c>
      <c r="V223" s="11" t="n">
        <v>46</v>
      </c>
      <c r="W223" s="11" t="inlineStr">
        <is>
          <t>否</t>
        </is>
      </c>
      <c r="X223" s="11" t="inlineStr">
        <is>
          <t>-</t>
        </is>
      </c>
      <c r="Y223" s="11" t="inlineStr">
        <is>
          <t>-</t>
        </is>
      </c>
      <c r="Z223" s="11" t="n">
        <v>0</v>
      </c>
      <c r="AA223" s="11" t="inlineStr">
        <is>
          <t>无</t>
        </is>
      </c>
      <c r="AB223" s="12">
        <f>AE222</f>
        <v/>
      </c>
      <c r="AC223" s="12" t="n">
        <v>0</v>
      </c>
      <c r="AD223" s="12" t="n">
        <v>0</v>
      </c>
      <c r="AE223" s="12">
        <f>AB223+AC223+AD223</f>
        <v/>
      </c>
      <c r="AF223" s="13">
        <f>AI222</f>
        <v/>
      </c>
      <c r="AG223" s="13" t="n">
        <v>0</v>
      </c>
      <c r="AH223" s="13" t="n">
        <v>0</v>
      </c>
      <c r="AI223" s="13">
        <f>AF223+AG223+AH223</f>
        <v/>
      </c>
      <c r="AJ223" s="14" t="n">
        <v>30</v>
      </c>
      <c r="AK223" s="14" t="n">
        <v>0</v>
      </c>
      <c r="AL223" s="14" t="n">
        <v>0</v>
      </c>
      <c r="AM223" s="14">
        <f>AJ223+AK223+AL223</f>
        <v/>
      </c>
      <c r="AN223" s="14">
        <f>AN222+AM223</f>
        <v/>
      </c>
    </row>
    <row r="224">
      <c r="A224" s="8" t="n">
        <v>9</v>
      </c>
      <c r="B224" s="8" t="n">
        <v>8</v>
      </c>
      <c r="C224" s="8" t="n">
        <v>1</v>
      </c>
      <c r="D224" s="8" t="inlineStr">
        <is>
          <t>版本免费+义相逢 + 月卡收益</t>
        </is>
      </c>
      <c r="E224" s="9">
        <f>K223</f>
        <v/>
      </c>
      <c r="F224" s="9" t="n">
        <v>1540</v>
      </c>
      <c r="G224" s="9" t="n">
        <v>4800</v>
      </c>
      <c r="H224" s="9" t="n">
        <v>0</v>
      </c>
      <c r="I224" s="9" t="n">
        <v>0</v>
      </c>
      <c r="J224" s="9" t="n">
        <v>0</v>
      </c>
      <c r="K224" s="9">
        <f>E224+F224+G224+H224+I224-J224</f>
        <v/>
      </c>
      <c r="L224" s="10">
        <f>Q223</f>
        <v/>
      </c>
      <c r="M224" s="10" t="n">
        <v>85</v>
      </c>
      <c r="N224" s="10" t="n">
        <v>6</v>
      </c>
      <c r="O224" s="10">
        <f>J224/160</f>
        <v/>
      </c>
      <c r="P224" s="10" t="n">
        <v>60</v>
      </c>
      <c r="Q224" s="10">
        <f>L224+M224+N224+O224-P224</f>
        <v/>
      </c>
      <c r="R224" s="11">
        <f>T223</f>
        <v/>
      </c>
      <c r="S224" s="11">
        <f>N(V224) + N(X224) + N(Z224)</f>
        <v/>
      </c>
      <c r="T224" s="11">
        <f>R224+P224-S224</f>
        <v/>
      </c>
      <c r="U224" s="11" t="inlineStr">
        <is>
          <t>是</t>
        </is>
      </c>
      <c r="V224" s="11" t="n">
        <v>50</v>
      </c>
      <c r="W224" s="11" t="inlineStr">
        <is>
          <t>是</t>
        </is>
      </c>
      <c r="X224" s="11" t="n">
        <v>12</v>
      </c>
      <c r="Y224" s="11" t="inlineStr">
        <is>
          <t>-</t>
        </is>
      </c>
      <c r="Z224" s="11" t="n">
        <v>0</v>
      </c>
      <c r="AA224" s="11" t="inlineStr">
        <is>
          <t>无</t>
        </is>
      </c>
      <c r="AB224" s="12">
        <f>AE223</f>
        <v/>
      </c>
      <c r="AC224" s="12" t="n">
        <v>4</v>
      </c>
      <c r="AD224" s="12" t="n">
        <v>0</v>
      </c>
      <c r="AE224" s="12">
        <f>AB224+AC224+AD224</f>
        <v/>
      </c>
      <c r="AF224" s="13">
        <f>AI223</f>
        <v/>
      </c>
      <c r="AG224" s="13" t="n">
        <v>0</v>
      </c>
      <c r="AH224" s="13" t="n">
        <v>0</v>
      </c>
      <c r="AI224" s="13">
        <f>AF224+AG224+AH224</f>
        <v/>
      </c>
      <c r="AJ224" s="14" t="n">
        <v>0</v>
      </c>
      <c r="AK224" s="14" t="n">
        <v>50</v>
      </c>
      <c r="AL224" s="14" t="n">
        <v>0</v>
      </c>
      <c r="AM224" s="14">
        <f>AJ224+AK224+AL224</f>
        <v/>
      </c>
      <c r="AN224" s="14">
        <f>AN223+AM224</f>
        <v/>
      </c>
    </row>
    <row r="225">
      <c r="A225" s="8" t="n">
        <v>9</v>
      </c>
      <c r="B225" s="8" t="n">
        <v>8</v>
      </c>
      <c r="C225" s="8" t="n">
        <v>2</v>
      </c>
      <c r="D225" s="8" t="inlineStr">
        <is>
          <t>月卡收益 [月卡续费-30元]</t>
        </is>
      </c>
      <c r="E225" s="9">
        <f>K224</f>
        <v/>
      </c>
      <c r="F225" s="9" t="n">
        <v>1540</v>
      </c>
      <c r="G225" s="9" t="n">
        <v>0</v>
      </c>
      <c r="H225" s="9" t="n">
        <v>0</v>
      </c>
      <c r="I225" s="9" t="n">
        <v>0</v>
      </c>
      <c r="J225" s="9" t="n">
        <v>3520</v>
      </c>
      <c r="K225" s="9">
        <f>E225+F225+G225+H225+I225-J225</f>
        <v/>
      </c>
      <c r="L225" s="10">
        <f>Q224</f>
        <v/>
      </c>
      <c r="M225" s="10" t="n">
        <v>0</v>
      </c>
      <c r="N225" s="10" t="n">
        <v>6</v>
      </c>
      <c r="O225" s="10">
        <f>J225/160</f>
        <v/>
      </c>
      <c r="P225" s="10" t="n">
        <v>60</v>
      </c>
      <c r="Q225" s="10">
        <f>L225+M225+N225+O225-P225</f>
        <v/>
      </c>
      <c r="R225" s="11">
        <f>T224</f>
        <v/>
      </c>
      <c r="S225" s="11">
        <f>N(V225) + N(X225) + N(Z225)</f>
        <v/>
      </c>
      <c r="T225" s="11">
        <f>R225+P225-S225</f>
        <v/>
      </c>
      <c r="U225" s="11" t="inlineStr">
        <is>
          <t>是</t>
        </is>
      </c>
      <c r="V225" s="11" t="n">
        <v>51</v>
      </c>
      <c r="W225" s="11" t="inlineStr">
        <is>
          <t>否</t>
        </is>
      </c>
      <c r="X225" s="11" t="inlineStr">
        <is>
          <t>-</t>
        </is>
      </c>
      <c r="Y225" s="11" t="inlineStr">
        <is>
          <t>-</t>
        </is>
      </c>
      <c r="Z225" s="11" t="n">
        <v>0</v>
      </c>
      <c r="AA225" s="11" t="inlineStr">
        <is>
          <t>无</t>
        </is>
      </c>
      <c r="AB225" s="12">
        <f>AE224</f>
        <v/>
      </c>
      <c r="AC225" s="12" t="n">
        <v>0</v>
      </c>
      <c r="AD225" s="12" t="n">
        <v>0</v>
      </c>
      <c r="AE225" s="12">
        <f>AB225+AC225+AD225</f>
        <v/>
      </c>
      <c r="AF225" s="13">
        <f>AI224</f>
        <v/>
      </c>
      <c r="AG225" s="13" t="n">
        <v>0</v>
      </c>
      <c r="AH225" s="13" t="n">
        <v>0</v>
      </c>
      <c r="AI225" s="13">
        <f>AF225+AG225+AH225</f>
        <v/>
      </c>
      <c r="AJ225" s="14" t="n">
        <v>30</v>
      </c>
      <c r="AK225" s="14" t="n">
        <v>0</v>
      </c>
      <c r="AL225" s="14" t="n">
        <v>0</v>
      </c>
      <c r="AM225" s="14">
        <f>AJ225+AK225+AL225</f>
        <v/>
      </c>
      <c r="AN225" s="14">
        <f>AN224+AM225</f>
        <v/>
      </c>
    </row>
    <row r="226">
      <c r="A226" s="8" t="n">
        <v>9</v>
      </c>
      <c r="B226" s="8" t="n">
        <v>9</v>
      </c>
      <c r="C226" s="8" t="n">
        <v>1</v>
      </c>
      <c r="D226" s="8" t="inlineStr">
        <is>
          <t>版本免费+义相逢 + 月卡收益</t>
        </is>
      </c>
      <c r="E226" s="9">
        <f>K225</f>
        <v/>
      </c>
      <c r="F226" s="9" t="n">
        <v>1540</v>
      </c>
      <c r="G226" s="9" t="n">
        <v>4800</v>
      </c>
      <c r="H226" s="9" t="n">
        <v>0</v>
      </c>
      <c r="I226" s="9" t="n">
        <v>0</v>
      </c>
      <c r="J226" s="9" t="n">
        <v>0</v>
      </c>
      <c r="K226" s="9">
        <f>E226+F226+G226+H226+I226-J226</f>
        <v/>
      </c>
      <c r="L226" s="10">
        <f>Q225</f>
        <v/>
      </c>
      <c r="M226" s="10" t="n">
        <v>85</v>
      </c>
      <c r="N226" s="10" t="n">
        <v>6</v>
      </c>
      <c r="O226" s="10">
        <f>J226/160</f>
        <v/>
      </c>
      <c r="P226" s="10" t="n">
        <v>60</v>
      </c>
      <c r="Q226" s="10">
        <f>L226+M226+N226+O226-P226</f>
        <v/>
      </c>
      <c r="R226" s="11">
        <f>T225</f>
        <v/>
      </c>
      <c r="S226" s="11">
        <f>N(V226) + N(X226) + N(Z226)</f>
        <v/>
      </c>
      <c r="T226" s="11">
        <f>R226+P226-S226</f>
        <v/>
      </c>
      <c r="U226" s="11" t="inlineStr">
        <is>
          <t>是</t>
        </is>
      </c>
      <c r="V226" s="11" t="n">
        <v>53</v>
      </c>
      <c r="W226" s="11" t="inlineStr">
        <is>
          <t>否</t>
        </is>
      </c>
      <c r="X226" s="11" t="inlineStr">
        <is>
          <t>-</t>
        </is>
      </c>
      <c r="Y226" s="11" t="inlineStr">
        <is>
          <t>-</t>
        </is>
      </c>
      <c r="Z226" s="11" t="n">
        <v>0</v>
      </c>
      <c r="AA226" s="11" t="inlineStr">
        <is>
          <t>垫到60抽</t>
        </is>
      </c>
      <c r="AB226" s="12">
        <f>AE225</f>
        <v/>
      </c>
      <c r="AC226" s="12" t="n">
        <v>4</v>
      </c>
      <c r="AD226" s="12" t="n">
        <v>0</v>
      </c>
      <c r="AE226" s="12">
        <f>AB226+AC226+AD226</f>
        <v/>
      </c>
      <c r="AF226" s="13">
        <f>AI225</f>
        <v/>
      </c>
      <c r="AG226" s="13" t="n">
        <v>0</v>
      </c>
      <c r="AH226" s="13" t="n">
        <v>0</v>
      </c>
      <c r="AI226" s="13">
        <f>AF226+AG226+AH226</f>
        <v/>
      </c>
      <c r="AJ226" s="14" t="n">
        <v>0</v>
      </c>
      <c r="AK226" s="14" t="n">
        <v>50</v>
      </c>
      <c r="AL226" s="14" t="n">
        <v>0</v>
      </c>
      <c r="AM226" s="14">
        <f>AJ226+AK226+AL226</f>
        <v/>
      </c>
      <c r="AN226" s="14">
        <f>AN225+AM226</f>
        <v/>
      </c>
    </row>
    <row r="227">
      <c r="A227" s="8" t="n">
        <v>9</v>
      </c>
      <c r="B227" s="8" t="n">
        <v>9</v>
      </c>
      <c r="C227" s="8" t="n">
        <v>2</v>
      </c>
      <c r="D227" s="8" t="inlineStr">
        <is>
          <t>月卡收益</t>
        </is>
      </c>
      <c r="E227" s="9">
        <f>K226</f>
        <v/>
      </c>
      <c r="F227" s="9" t="n">
        <v>1540</v>
      </c>
      <c r="G227" s="9" t="n">
        <v>0</v>
      </c>
      <c r="H227" s="9" t="n">
        <v>0</v>
      </c>
      <c r="I227" s="9" t="n">
        <v>0</v>
      </c>
      <c r="J227" s="9" t="n">
        <v>480</v>
      </c>
      <c r="K227" s="9">
        <f>E227+F227+G227+H227+I227-J227</f>
        <v/>
      </c>
      <c r="L227" s="10">
        <f>Q226</f>
        <v/>
      </c>
      <c r="M227" s="10" t="n">
        <v>0</v>
      </c>
      <c r="N227" s="10" t="n">
        <v>3</v>
      </c>
      <c r="O227" s="10">
        <f>J227/160</f>
        <v/>
      </c>
      <c r="P227" s="10" t="n">
        <v>40</v>
      </c>
      <c r="Q227" s="10">
        <f>L227+M227+N227+O227-P227</f>
        <v/>
      </c>
      <c r="R227" s="11">
        <f>T226</f>
        <v/>
      </c>
      <c r="S227" s="11">
        <f>N(V227) + N(X227) + N(Z227)</f>
        <v/>
      </c>
      <c r="T227" s="11">
        <f>R227+P227-S227</f>
        <v/>
      </c>
      <c r="U227" s="11" t="inlineStr">
        <is>
          <t>是</t>
        </is>
      </c>
      <c r="V227" s="11" t="n">
        <v>51</v>
      </c>
      <c r="W227" s="11" t="inlineStr">
        <is>
          <t>否</t>
        </is>
      </c>
      <c r="X227" s="11" t="inlineStr">
        <is>
          <t>-</t>
        </is>
      </c>
      <c r="Y227" s="11" t="inlineStr">
        <is>
          <t>-</t>
        </is>
      </c>
      <c r="Z227" s="11" t="n">
        <v>0</v>
      </c>
      <c r="AA227" s="11" t="inlineStr">
        <is>
          <t>无</t>
        </is>
      </c>
      <c r="AB227" s="12">
        <f>AE226</f>
        <v/>
      </c>
      <c r="AC227" s="12" t="n">
        <v>0</v>
      </c>
      <c r="AD227" s="12" t="n">
        <v>0</v>
      </c>
      <c r="AE227" s="12">
        <f>AB227+AC227+AD227</f>
        <v/>
      </c>
      <c r="AF227" s="13">
        <f>AI226</f>
        <v/>
      </c>
      <c r="AG227" s="13" t="n">
        <v>0</v>
      </c>
      <c r="AH227" s="13" t="n">
        <v>0</v>
      </c>
      <c r="AI227" s="13">
        <f>AF227+AG227+AH227</f>
        <v/>
      </c>
      <c r="AJ227" s="14" t="n">
        <v>0</v>
      </c>
      <c r="AK227" s="14" t="n">
        <v>0</v>
      </c>
      <c r="AL227" s="14" t="n">
        <v>0</v>
      </c>
      <c r="AM227" s="14">
        <f>AJ227+AK227+AL227</f>
        <v/>
      </c>
      <c r="AN227" s="14">
        <f>AN226+AM227</f>
        <v/>
      </c>
    </row>
    <row r="228">
      <c r="A228" s="8" t="n">
        <v>9</v>
      </c>
      <c r="B228" s="8" t="n">
        <v>10</v>
      </c>
      <c r="C228" s="8" t="n">
        <v>1</v>
      </c>
      <c r="D228" s="8" t="inlineStr">
        <is>
          <t>版本免费+义相逢 + 月卡收益 [月卡续费-30元]</t>
        </is>
      </c>
      <c r="E228" s="9">
        <f>K227</f>
        <v/>
      </c>
      <c r="F228" s="9" t="n">
        <v>1540</v>
      </c>
      <c r="G228" s="9" t="n">
        <v>4800</v>
      </c>
      <c r="H228" s="9" t="n">
        <v>0</v>
      </c>
      <c r="I228" s="9" t="n">
        <v>0</v>
      </c>
      <c r="J228" s="9" t="n">
        <v>15040</v>
      </c>
      <c r="K228" s="9">
        <f>E228+F228+G228+H228+I228-J228</f>
        <v/>
      </c>
      <c r="L228" s="10">
        <f>Q227</f>
        <v/>
      </c>
      <c r="M228" s="10" t="n">
        <v>85</v>
      </c>
      <c r="N228" s="10" t="n">
        <v>21</v>
      </c>
      <c r="O228" s="10">
        <f>J228/160</f>
        <v/>
      </c>
      <c r="P228" s="10" t="n">
        <v>200</v>
      </c>
      <c r="Q228" s="10">
        <f>L228+M228+N228+O228-P228</f>
        <v/>
      </c>
      <c r="R228" s="11">
        <f>T227</f>
        <v/>
      </c>
      <c r="S228" s="11">
        <f>N(V228) + N(X228) + N(Z228)</f>
        <v/>
      </c>
      <c r="T228" s="11">
        <f>R228+P228-S228</f>
        <v/>
      </c>
      <c r="U228" s="11" t="inlineStr">
        <is>
          <t>是</t>
        </is>
      </c>
      <c r="V228" s="11" t="n">
        <v>53</v>
      </c>
      <c r="W228" s="11" t="inlineStr">
        <is>
          <t>是</t>
        </is>
      </c>
      <c r="X228" s="11" t="n">
        <v>48</v>
      </c>
      <c r="Y228" s="11" t="inlineStr">
        <is>
          <t>歪(50), UP(49)</t>
        </is>
      </c>
      <c r="Z228" s="11" t="n">
        <v>99</v>
      </c>
      <c r="AA228" s="11" t="inlineStr">
        <is>
          <t>冲刺200(动态90)</t>
        </is>
      </c>
      <c r="AB228" s="12">
        <f>AE227</f>
        <v/>
      </c>
      <c r="AC228" s="12" t="n">
        <v>4</v>
      </c>
      <c r="AD228" s="12" t="n">
        <v>1</v>
      </c>
      <c r="AE228" s="12">
        <f>AB228+AC228+AD228</f>
        <v/>
      </c>
      <c r="AF228" s="13">
        <f>AI227</f>
        <v/>
      </c>
      <c r="AG228" s="13" t="n">
        <v>0</v>
      </c>
      <c r="AH228" s="13" t="n">
        <v>5000</v>
      </c>
      <c r="AI228" s="13">
        <f>AF228+AG228+AH228</f>
        <v/>
      </c>
      <c r="AJ228" s="14" t="n">
        <v>30</v>
      </c>
      <c r="AK228" s="14" t="n">
        <v>50</v>
      </c>
      <c r="AL228" s="14" t="n">
        <v>0</v>
      </c>
      <c r="AM228" s="14">
        <f>AJ228+AK228+AL228</f>
        <v/>
      </c>
      <c r="AN228" s="14">
        <f>AN227+AM228</f>
        <v/>
      </c>
    </row>
    <row r="229">
      <c r="A229" s="8" t="n">
        <v>9</v>
      </c>
      <c r="B229" s="8" t="n">
        <v>10</v>
      </c>
      <c r="C229" s="8" t="n">
        <v>2</v>
      </c>
      <c r="D229" s="8" t="inlineStr">
        <is>
          <t>月卡收益</t>
        </is>
      </c>
      <c r="E229" s="9">
        <f>K228</f>
        <v/>
      </c>
      <c r="F229" s="9" t="n">
        <v>1540</v>
      </c>
      <c r="G229" s="9" t="n">
        <v>0</v>
      </c>
      <c r="H229" s="9" t="n">
        <v>0</v>
      </c>
      <c r="I229" s="9" t="n">
        <v>0</v>
      </c>
      <c r="J229" s="9" t="n">
        <v>9120</v>
      </c>
      <c r="K229" s="9">
        <f>E229+F229+G229+H229+I229-J229</f>
        <v/>
      </c>
      <c r="L229" s="10">
        <f>Q228</f>
        <v/>
      </c>
      <c r="M229" s="10" t="n">
        <v>0</v>
      </c>
      <c r="N229" s="10" t="n">
        <v>6</v>
      </c>
      <c r="O229" s="10">
        <f>J229/160</f>
        <v/>
      </c>
      <c r="P229" s="10" t="n">
        <v>60</v>
      </c>
      <c r="Q229" s="10">
        <f>L229+M229+N229+O229-P229</f>
        <v/>
      </c>
      <c r="R229" s="11">
        <f>T228</f>
        <v/>
      </c>
      <c r="S229" s="11">
        <f>N(V229) + N(X229) + N(Z229)</f>
        <v/>
      </c>
      <c r="T229" s="11">
        <f>R229+P229-S229</f>
        <v/>
      </c>
      <c r="U229" s="11" t="inlineStr">
        <is>
          <t>是</t>
        </is>
      </c>
      <c r="V229" s="11" t="n">
        <v>46</v>
      </c>
      <c r="W229" s="11" t="inlineStr">
        <is>
          <t>否</t>
        </is>
      </c>
      <c r="X229" s="11" t="inlineStr">
        <is>
          <t>-</t>
        </is>
      </c>
      <c r="Y229" s="11" t="inlineStr">
        <is>
          <t>-</t>
        </is>
      </c>
      <c r="Z229" s="11" t="n">
        <v>0</v>
      </c>
      <c r="AA229" s="11" t="inlineStr">
        <is>
          <t>垫到60抽</t>
        </is>
      </c>
      <c r="AB229" s="12">
        <f>AE228</f>
        <v/>
      </c>
      <c r="AC229" s="12" t="n">
        <v>0</v>
      </c>
      <c r="AD229" s="12" t="n">
        <v>0</v>
      </c>
      <c r="AE229" s="12">
        <f>AB229+AC229+AD229</f>
        <v/>
      </c>
      <c r="AF229" s="13">
        <f>AI228</f>
        <v/>
      </c>
      <c r="AG229" s="13" t="n">
        <v>0</v>
      </c>
      <c r="AH229" s="13" t="n">
        <v>0</v>
      </c>
      <c r="AI229" s="13">
        <f>AF229+AG229+AH229</f>
        <v/>
      </c>
      <c r="AJ229" s="14" t="n">
        <v>0</v>
      </c>
      <c r="AK229" s="14" t="n">
        <v>0</v>
      </c>
      <c r="AL229" s="14" t="n">
        <v>0</v>
      </c>
      <c r="AM229" s="14">
        <f>AJ229+AK229+AL229</f>
        <v/>
      </c>
      <c r="AN229" s="14">
        <f>AN228+AM229</f>
        <v/>
      </c>
    </row>
    <row r="230">
      <c r="A230" s="8" t="n">
        <v>9</v>
      </c>
      <c r="B230" s="8" t="n">
        <v>11</v>
      </c>
      <c r="C230" s="8" t="n">
        <v>1</v>
      </c>
      <c r="D230" s="8" t="inlineStr">
        <is>
          <t>版本免费+义相逢 + 月卡收益 [月卡续费-30元]</t>
        </is>
      </c>
      <c r="E230" s="9">
        <f>K229</f>
        <v/>
      </c>
      <c r="F230" s="9" t="n">
        <v>1540</v>
      </c>
      <c r="G230" s="9" t="n">
        <v>4800</v>
      </c>
      <c r="H230" s="9" t="n">
        <v>0</v>
      </c>
      <c r="I230" s="9" t="n">
        <v>0</v>
      </c>
      <c r="J230" s="9" t="n">
        <v>0</v>
      </c>
      <c r="K230" s="9">
        <f>E230+F230+G230+H230+I230-J230</f>
        <v/>
      </c>
      <c r="L230" s="10">
        <f>Q229</f>
        <v/>
      </c>
      <c r="M230" s="10" t="n">
        <v>85</v>
      </c>
      <c r="N230" s="10" t="n">
        <v>3</v>
      </c>
      <c r="O230" s="10">
        <f>J230/160</f>
        <v/>
      </c>
      <c r="P230" s="10" t="n">
        <v>40</v>
      </c>
      <c r="Q230" s="10">
        <f>L230+M230+N230+O230-P230</f>
        <v/>
      </c>
      <c r="R230" s="11">
        <f>T229</f>
        <v/>
      </c>
      <c r="S230" s="11">
        <f>N(V230) + N(X230) + N(Z230)</f>
        <v/>
      </c>
      <c r="T230" s="11">
        <f>R230+P230-S230</f>
        <v/>
      </c>
      <c r="U230" s="11" t="inlineStr">
        <is>
          <t>是</t>
        </is>
      </c>
      <c r="V230" s="11" t="n">
        <v>52</v>
      </c>
      <c r="W230" s="11" t="inlineStr">
        <is>
          <t>否</t>
        </is>
      </c>
      <c r="X230" s="11" t="inlineStr">
        <is>
          <t>-</t>
        </is>
      </c>
      <c r="Y230" s="11" t="inlineStr">
        <is>
          <t>-</t>
        </is>
      </c>
      <c r="Z230" s="11" t="n">
        <v>0</v>
      </c>
      <c r="AA230" s="11" t="inlineStr">
        <is>
          <t>无</t>
        </is>
      </c>
      <c r="AB230" s="12">
        <f>AE229</f>
        <v/>
      </c>
      <c r="AC230" s="12" t="n">
        <v>4</v>
      </c>
      <c r="AD230" s="12" t="n">
        <v>0</v>
      </c>
      <c r="AE230" s="12">
        <f>AB230+AC230+AD230</f>
        <v/>
      </c>
      <c r="AF230" s="13">
        <f>AI229</f>
        <v/>
      </c>
      <c r="AG230" s="13" t="n">
        <v>0</v>
      </c>
      <c r="AH230" s="13" t="n">
        <v>0</v>
      </c>
      <c r="AI230" s="13">
        <f>AF230+AG230+AH230</f>
        <v/>
      </c>
      <c r="AJ230" s="14" t="n">
        <v>30</v>
      </c>
      <c r="AK230" s="14" t="n">
        <v>50</v>
      </c>
      <c r="AL230" s="14" t="n">
        <v>0</v>
      </c>
      <c r="AM230" s="14">
        <f>AJ230+AK230+AL230</f>
        <v/>
      </c>
      <c r="AN230" s="14">
        <f>AN229+AM230</f>
        <v/>
      </c>
    </row>
    <row r="231">
      <c r="A231" s="8" t="n">
        <v>9</v>
      </c>
      <c r="B231" s="8" t="n">
        <v>11</v>
      </c>
      <c r="C231" s="8" t="n">
        <v>2</v>
      </c>
      <c r="D231" s="8" t="inlineStr">
        <is>
          <t>月卡收益</t>
        </is>
      </c>
      <c r="E231" s="9">
        <f>K230</f>
        <v/>
      </c>
      <c r="F231" s="9" t="n">
        <v>1540</v>
      </c>
      <c r="G231" s="9" t="n">
        <v>0</v>
      </c>
      <c r="H231" s="9" t="n">
        <v>0</v>
      </c>
      <c r="I231" s="9" t="n">
        <v>0</v>
      </c>
      <c r="J231" s="9" t="n">
        <v>5280</v>
      </c>
      <c r="K231" s="9">
        <f>E231+F231+G231+H231+I231-J231</f>
        <v/>
      </c>
      <c r="L231" s="10">
        <f>Q230</f>
        <v/>
      </c>
      <c r="M231" s="10" t="n">
        <v>0</v>
      </c>
      <c r="N231" s="10" t="n">
        <v>11</v>
      </c>
      <c r="O231" s="10">
        <f>J231/160</f>
        <v/>
      </c>
      <c r="P231" s="10" t="n">
        <v>90</v>
      </c>
      <c r="Q231" s="10">
        <f>L231+M231+N231+O231-P231</f>
        <v/>
      </c>
      <c r="R231" s="11">
        <f>T230</f>
        <v/>
      </c>
      <c r="S231" s="11">
        <f>N(V231) + N(X231) + N(Z231)</f>
        <v/>
      </c>
      <c r="T231" s="11">
        <f>R231+P231-S231</f>
        <v/>
      </c>
      <c r="U231" s="11" t="inlineStr">
        <is>
          <t>是</t>
        </is>
      </c>
      <c r="V231" s="11" t="n">
        <v>46</v>
      </c>
      <c r="W231" s="11" t="inlineStr">
        <is>
          <t>是</t>
        </is>
      </c>
      <c r="X231" s="11" t="n">
        <v>34</v>
      </c>
      <c r="Y231" s="11" t="inlineStr">
        <is>
          <t>-</t>
        </is>
      </c>
      <c r="Z231" s="11" t="n">
        <v>0</v>
      </c>
      <c r="AA231" s="11" t="inlineStr">
        <is>
          <t>垫到90抽</t>
        </is>
      </c>
      <c r="AB231" s="12">
        <f>AE230</f>
        <v/>
      </c>
      <c r="AC231" s="12" t="n">
        <v>0</v>
      </c>
      <c r="AD231" s="12" t="n">
        <v>0</v>
      </c>
      <c r="AE231" s="12">
        <f>AB231+AC231+AD231</f>
        <v/>
      </c>
      <c r="AF231" s="13">
        <f>AI230</f>
        <v/>
      </c>
      <c r="AG231" s="13" t="n">
        <v>0</v>
      </c>
      <c r="AH231" s="13" t="n">
        <v>0</v>
      </c>
      <c r="AI231" s="13">
        <f>AF231+AG231+AH231</f>
        <v/>
      </c>
      <c r="AJ231" s="14" t="n">
        <v>0</v>
      </c>
      <c r="AK231" s="14" t="n">
        <v>0</v>
      </c>
      <c r="AL231" s="14" t="n">
        <v>0</v>
      </c>
      <c r="AM231" s="14">
        <f>AJ231+AK231+AL231</f>
        <v/>
      </c>
      <c r="AN231" s="14">
        <f>AN230+AM231</f>
        <v/>
      </c>
    </row>
    <row r="232">
      <c r="A232" s="8" t="n">
        <v>9</v>
      </c>
      <c r="B232" s="8" t="n">
        <v>12</v>
      </c>
      <c r="C232" s="8" t="n">
        <v>1</v>
      </c>
      <c r="D232" s="8" t="inlineStr">
        <is>
          <t>版本免费+义相逢 + 月卡收益 [月卡续费-30元]</t>
        </is>
      </c>
      <c r="E232" s="9">
        <f>K231</f>
        <v/>
      </c>
      <c r="F232" s="9" t="n">
        <v>1540</v>
      </c>
      <c r="G232" s="9" t="n">
        <v>4800</v>
      </c>
      <c r="H232" s="9" t="n">
        <v>0</v>
      </c>
      <c r="I232" s="9" t="n">
        <v>0</v>
      </c>
      <c r="J232" s="9" t="n">
        <v>0</v>
      </c>
      <c r="K232" s="9">
        <f>E232+F232+G232+H232+I232-J232</f>
        <v/>
      </c>
      <c r="L232" s="10">
        <f>Q231</f>
        <v/>
      </c>
      <c r="M232" s="10" t="n">
        <v>85</v>
      </c>
      <c r="N232" s="10" t="n">
        <v>3</v>
      </c>
      <c r="O232" s="10">
        <f>J232/160</f>
        <v/>
      </c>
      <c r="P232" s="10" t="n">
        <v>40</v>
      </c>
      <c r="Q232" s="10">
        <f>L232+M232+N232+O232-P232</f>
        <v/>
      </c>
      <c r="R232" s="11">
        <f>T231</f>
        <v/>
      </c>
      <c r="S232" s="11">
        <f>N(V232) + N(X232) + N(Z232)</f>
        <v/>
      </c>
      <c r="T232" s="11">
        <f>R232+P232-S232</f>
        <v/>
      </c>
      <c r="U232" s="11" t="inlineStr">
        <is>
          <t>是</t>
        </is>
      </c>
      <c r="V232" s="11" t="n">
        <v>56</v>
      </c>
      <c r="W232" s="11" t="inlineStr">
        <is>
          <t>否</t>
        </is>
      </c>
      <c r="X232" s="11" t="inlineStr">
        <is>
          <t>-</t>
        </is>
      </c>
      <c r="Y232" s="11" t="inlineStr">
        <is>
          <t>-</t>
        </is>
      </c>
      <c r="Z232" s="11" t="n">
        <v>0</v>
      </c>
      <c r="AA232" s="11" t="inlineStr">
        <is>
          <t>无</t>
        </is>
      </c>
      <c r="AB232" s="12">
        <f>AE231</f>
        <v/>
      </c>
      <c r="AC232" s="12" t="n">
        <v>4</v>
      </c>
      <c r="AD232" s="12" t="n">
        <v>0</v>
      </c>
      <c r="AE232" s="12">
        <f>AB232+AC232+AD232</f>
        <v/>
      </c>
      <c r="AF232" s="13">
        <f>AI231</f>
        <v/>
      </c>
      <c r="AG232" s="13" t="n">
        <v>0</v>
      </c>
      <c r="AH232" s="13" t="n">
        <v>0</v>
      </c>
      <c r="AI232" s="13">
        <f>AF232+AG232+AH232</f>
        <v/>
      </c>
      <c r="AJ232" s="14" t="n">
        <v>30</v>
      </c>
      <c r="AK232" s="14" t="n">
        <v>50</v>
      </c>
      <c r="AL232" s="14" t="n">
        <v>0</v>
      </c>
      <c r="AM232" s="14">
        <f>AJ232+AK232+AL232</f>
        <v/>
      </c>
      <c r="AN232" s="14">
        <f>AN231+AM232</f>
        <v/>
      </c>
    </row>
    <row r="233">
      <c r="A233" s="8" t="n">
        <v>9</v>
      </c>
      <c r="B233" s="8" t="n">
        <v>12</v>
      </c>
      <c r="C233" s="8" t="n">
        <v>2</v>
      </c>
      <c r="D233" s="8" t="inlineStr">
        <is>
          <t>月卡收益</t>
        </is>
      </c>
      <c r="E233" s="9">
        <f>K232</f>
        <v/>
      </c>
      <c r="F233" s="9" t="n">
        <v>1540</v>
      </c>
      <c r="G233" s="9" t="n">
        <v>0</v>
      </c>
      <c r="H233" s="9" t="n">
        <v>0</v>
      </c>
      <c r="I233" s="9" t="n">
        <v>0</v>
      </c>
      <c r="J233" s="9" t="n">
        <v>7360</v>
      </c>
      <c r="K233" s="9">
        <f>E233+F233+G233+H233+I233-J233</f>
        <v/>
      </c>
      <c r="L233" s="10">
        <f>Q232</f>
        <v/>
      </c>
      <c r="M233" s="10" t="n">
        <v>0</v>
      </c>
      <c r="N233" s="10" t="n">
        <v>11</v>
      </c>
      <c r="O233" s="10">
        <f>J233/160</f>
        <v/>
      </c>
      <c r="P233" s="10" t="n">
        <v>110</v>
      </c>
      <c r="Q233" s="10">
        <f>L233+M233+N233+O233-P233</f>
        <v/>
      </c>
      <c r="R233" s="11">
        <f>T232</f>
        <v/>
      </c>
      <c r="S233" s="11">
        <f>N(V233) + N(X233) + N(Z233)</f>
        <v/>
      </c>
      <c r="T233" s="11">
        <f>R233+P233-S233</f>
        <v/>
      </c>
      <c r="U233" s="11" t="inlineStr">
        <is>
          <t>是</t>
        </is>
      </c>
      <c r="V233" s="11" t="n">
        <v>50</v>
      </c>
      <c r="W233" s="11" t="inlineStr">
        <is>
          <t>是</t>
        </is>
      </c>
      <c r="X233" s="11" t="n">
        <v>52</v>
      </c>
      <c r="Y233" s="11" t="inlineStr">
        <is>
          <t>-</t>
        </is>
      </c>
      <c r="Z233" s="11" t="n">
        <v>0</v>
      </c>
      <c r="AA233" s="11" t="inlineStr">
        <is>
          <t>无</t>
        </is>
      </c>
      <c r="AB233" s="12">
        <f>AE232</f>
        <v/>
      </c>
      <c r="AC233" s="12" t="n">
        <v>0</v>
      </c>
      <c r="AD233" s="12" t="n">
        <v>0</v>
      </c>
      <c r="AE233" s="12">
        <f>AB233+AC233+AD233</f>
        <v/>
      </c>
      <c r="AF233" s="13">
        <f>AI232</f>
        <v/>
      </c>
      <c r="AG233" s="13" t="n">
        <v>0</v>
      </c>
      <c r="AH233" s="13" t="n">
        <v>0</v>
      </c>
      <c r="AI233" s="13">
        <f>AF233+AG233+AH233</f>
        <v/>
      </c>
      <c r="AJ233" s="14" t="n">
        <v>0</v>
      </c>
      <c r="AK233" s="14" t="n">
        <v>0</v>
      </c>
      <c r="AL233" s="14" t="n">
        <v>0</v>
      </c>
      <c r="AM233" s="14">
        <f>AJ233+AK233+AL233</f>
        <v/>
      </c>
      <c r="AN233" s="14">
        <f>AN232+AM233</f>
        <v/>
      </c>
    </row>
    <row r="234">
      <c r="A234" s="8" t="n">
        <v>9</v>
      </c>
      <c r="B234" s="8" t="n">
        <v>13</v>
      </c>
      <c r="C234" s="8" t="n">
        <v>1</v>
      </c>
      <c r="D234" s="8" t="inlineStr">
        <is>
          <t>版本免费+义相逢 + 月卡收益 [月卡续费-30元]</t>
        </is>
      </c>
      <c r="E234" s="9">
        <f>K233</f>
        <v/>
      </c>
      <c r="F234" s="9" t="n">
        <v>1540</v>
      </c>
      <c r="G234" s="9" t="n">
        <v>4800</v>
      </c>
      <c r="H234" s="9" t="n">
        <v>0</v>
      </c>
      <c r="I234" s="9" t="n">
        <v>0</v>
      </c>
      <c r="J234" s="9" t="n">
        <v>0</v>
      </c>
      <c r="K234" s="9">
        <f>E234+F234+G234+H234+I234-J234</f>
        <v/>
      </c>
      <c r="L234" s="10">
        <f>Q233</f>
        <v/>
      </c>
      <c r="M234" s="10" t="n">
        <v>85</v>
      </c>
      <c r="N234" s="10" t="n">
        <v>11</v>
      </c>
      <c r="O234" s="10">
        <f>J234/160</f>
        <v/>
      </c>
      <c r="P234" s="10" t="n">
        <v>90</v>
      </c>
      <c r="Q234" s="10">
        <f>L234+M234+N234+O234-P234</f>
        <v/>
      </c>
      <c r="R234" s="11">
        <f>T233</f>
        <v/>
      </c>
      <c r="S234" s="11">
        <f>N(V234) + N(X234) + N(Z234)</f>
        <v/>
      </c>
      <c r="T234" s="11">
        <f>R234+P234-S234</f>
        <v/>
      </c>
      <c r="U234" s="11" t="inlineStr">
        <is>
          <t>是</t>
        </is>
      </c>
      <c r="V234" s="11" t="n">
        <v>45</v>
      </c>
      <c r="W234" s="11" t="inlineStr">
        <is>
          <t>是</t>
        </is>
      </c>
      <c r="X234" s="11" t="n">
        <v>49</v>
      </c>
      <c r="Y234" s="11" t="inlineStr">
        <is>
          <t>-</t>
        </is>
      </c>
      <c r="Z234" s="11" t="n">
        <v>0</v>
      </c>
      <c r="AA234" s="11" t="inlineStr">
        <is>
          <t>无</t>
        </is>
      </c>
      <c r="AB234" s="12">
        <f>AE233</f>
        <v/>
      </c>
      <c r="AC234" s="12" t="n">
        <v>4</v>
      </c>
      <c r="AD234" s="12" t="n">
        <v>0</v>
      </c>
      <c r="AE234" s="12">
        <f>AB234+AC234+AD234</f>
        <v/>
      </c>
      <c r="AF234" s="13">
        <f>AI233</f>
        <v/>
      </c>
      <c r="AG234" s="13" t="n">
        <v>0</v>
      </c>
      <c r="AH234" s="13" t="n">
        <v>0</v>
      </c>
      <c r="AI234" s="13">
        <f>AF234+AG234+AH234</f>
        <v/>
      </c>
      <c r="AJ234" s="14" t="n">
        <v>30</v>
      </c>
      <c r="AK234" s="14" t="n">
        <v>50</v>
      </c>
      <c r="AL234" s="14" t="n">
        <v>0</v>
      </c>
      <c r="AM234" s="14">
        <f>AJ234+AK234+AL234</f>
        <v/>
      </c>
      <c r="AN234" s="14">
        <f>AN233+AM234</f>
        <v/>
      </c>
    </row>
    <row r="235">
      <c r="A235" s="8" t="n">
        <v>9</v>
      </c>
      <c r="B235" s="8" t="n">
        <v>13</v>
      </c>
      <c r="C235" s="8" t="n">
        <v>2</v>
      </c>
      <c r="D235" s="8" t="inlineStr">
        <is>
          <t>月卡收益</t>
        </is>
      </c>
      <c r="E235" s="9">
        <f>K234</f>
        <v/>
      </c>
      <c r="F235" s="9" t="n">
        <v>1540</v>
      </c>
      <c r="G235" s="9" t="n">
        <v>0</v>
      </c>
      <c r="H235" s="9" t="n">
        <v>0</v>
      </c>
      <c r="I235" s="9" t="n">
        <v>0</v>
      </c>
      <c r="J235" s="9" t="n">
        <v>8160</v>
      </c>
      <c r="K235" s="9">
        <f>E235+F235+G235+H235+I235-J235</f>
        <v/>
      </c>
      <c r="L235" s="10">
        <f>Q234</f>
        <v/>
      </c>
      <c r="M235" s="10" t="n">
        <v>0</v>
      </c>
      <c r="N235" s="10" t="n">
        <v>6</v>
      </c>
      <c r="O235" s="10">
        <f>J235/160</f>
        <v/>
      </c>
      <c r="P235" s="10" t="n">
        <v>60</v>
      </c>
      <c r="Q235" s="10">
        <f>L235+M235+N235+O235-P235</f>
        <v/>
      </c>
      <c r="R235" s="11">
        <f>T234</f>
        <v/>
      </c>
      <c r="S235" s="11">
        <f>N(V235) + N(X235) + N(Z235)</f>
        <v/>
      </c>
      <c r="T235" s="11">
        <f>R235+P235-S235</f>
        <v/>
      </c>
      <c r="U235" s="11" t="inlineStr">
        <is>
          <t>是</t>
        </is>
      </c>
      <c r="V235" s="11" t="n">
        <v>50</v>
      </c>
      <c r="W235" s="11" t="inlineStr">
        <is>
          <t>否</t>
        </is>
      </c>
      <c r="X235" s="11" t="inlineStr">
        <is>
          <t>-</t>
        </is>
      </c>
      <c r="Y235" s="11" t="inlineStr">
        <is>
          <t>-</t>
        </is>
      </c>
      <c r="Z235" s="11" t="n">
        <v>0</v>
      </c>
      <c r="AA235" s="11" t="inlineStr">
        <is>
          <t>垫到60抽</t>
        </is>
      </c>
      <c r="AB235" s="12">
        <f>AE234</f>
        <v/>
      </c>
      <c r="AC235" s="12" t="n">
        <v>0</v>
      </c>
      <c r="AD235" s="12" t="n">
        <v>0</v>
      </c>
      <c r="AE235" s="12">
        <f>AB235+AC235+AD235</f>
        <v/>
      </c>
      <c r="AF235" s="13">
        <f>AI234</f>
        <v/>
      </c>
      <c r="AG235" s="13" t="n">
        <v>0</v>
      </c>
      <c r="AH235" s="13" t="n">
        <v>0</v>
      </c>
      <c r="AI235" s="13">
        <f>AF235+AG235+AH235</f>
        <v/>
      </c>
      <c r="AJ235" s="14" t="n">
        <v>0</v>
      </c>
      <c r="AK235" s="14" t="n">
        <v>0</v>
      </c>
      <c r="AL235" s="14" t="n">
        <v>0</v>
      </c>
      <c r="AM235" s="14">
        <f>AJ235+AK235+AL235</f>
        <v/>
      </c>
      <c r="AN235" s="14">
        <f>AN234+AM235</f>
        <v/>
      </c>
    </row>
    <row r="236">
      <c r="A236" s="8" t="n">
        <v>10</v>
      </c>
      <c r="B236" s="8" t="n">
        <v>1</v>
      </c>
      <c r="C236" s="8" t="n">
        <v>1</v>
      </c>
      <c r="D236" s="8" t="inlineStr">
        <is>
          <t>版本免费+义相逢 + 月卡收益 [月卡续费-30元]</t>
        </is>
      </c>
      <c r="E236" s="9" t="n">
        <v>24360</v>
      </c>
      <c r="F236" s="9" t="n">
        <v>1540</v>
      </c>
      <c r="G236" s="9" t="n">
        <v>4800</v>
      </c>
      <c r="H236" s="9" t="n">
        <v>0</v>
      </c>
      <c r="I236" s="9" t="n">
        <v>0</v>
      </c>
      <c r="J236" s="9" t="n">
        <v>0</v>
      </c>
      <c r="K236" s="9">
        <f>E236+F236+G236+H236+I236-J236</f>
        <v/>
      </c>
      <c r="L236" s="10" t="n">
        <v>3</v>
      </c>
      <c r="M236" s="10" t="n">
        <v>85</v>
      </c>
      <c r="N236" s="10" t="n">
        <v>11</v>
      </c>
      <c r="O236" s="10">
        <f>J236/160</f>
        <v/>
      </c>
      <c r="P236" s="10" t="n">
        <v>90</v>
      </c>
      <c r="Q236" s="10">
        <f>L236+M236+N236+O236-P236</f>
        <v/>
      </c>
      <c r="R236" s="11" t="n">
        <v>15</v>
      </c>
      <c r="S236" s="11">
        <f>N(V236) + N(X236) + N(Z236)</f>
        <v/>
      </c>
      <c r="T236" s="11">
        <f>R236+P236-S236</f>
        <v/>
      </c>
      <c r="U236" s="11" t="inlineStr">
        <is>
          <t>是</t>
        </is>
      </c>
      <c r="V236" s="11" t="n">
        <v>47</v>
      </c>
      <c r="W236" s="11" t="inlineStr">
        <is>
          <t>是</t>
        </is>
      </c>
      <c r="X236" s="11" t="n">
        <v>49</v>
      </c>
      <c r="Y236" s="11" t="inlineStr">
        <is>
          <t>-</t>
        </is>
      </c>
      <c r="Z236" s="11" t="n">
        <v>0</v>
      </c>
      <c r="AA236" s="11" t="inlineStr">
        <is>
          <t>无</t>
        </is>
      </c>
      <c r="AB236" s="12" t="n">
        <v>480</v>
      </c>
      <c r="AC236" s="12" t="n">
        <v>4</v>
      </c>
      <c r="AD236" s="12" t="n">
        <v>0</v>
      </c>
      <c r="AE236" s="12">
        <f>AB236+AC236+AD236</f>
        <v/>
      </c>
      <c r="AF236" s="13" t="n">
        <v>60000</v>
      </c>
      <c r="AG236" s="13" t="n">
        <v>0</v>
      </c>
      <c r="AH236" s="13" t="n">
        <v>0</v>
      </c>
      <c r="AI236" s="13">
        <f>AF236+AG236+AH236</f>
        <v/>
      </c>
      <c r="AJ236" s="14" t="n">
        <v>30</v>
      </c>
      <c r="AK236" s="14" t="n">
        <v>50</v>
      </c>
      <c r="AL236" s="14" t="n">
        <v>0</v>
      </c>
      <c r="AM236" s="14">
        <f>AJ236+AK236+AL236</f>
        <v/>
      </c>
      <c r="AN236" s="14">
        <f>AM236</f>
        <v/>
      </c>
    </row>
    <row r="237">
      <c r="A237" s="8" t="n">
        <v>10</v>
      </c>
      <c r="B237" s="8" t="n">
        <v>1</v>
      </c>
      <c r="C237" s="8" t="n">
        <v>2</v>
      </c>
      <c r="D237" s="8" t="inlineStr">
        <is>
          <t>月卡收益</t>
        </is>
      </c>
      <c r="E237" s="9">
        <f>K236</f>
        <v/>
      </c>
      <c r="F237" s="9" t="n">
        <v>1540</v>
      </c>
      <c r="G237" s="9" t="n">
        <v>0</v>
      </c>
      <c r="H237" s="9" t="n">
        <v>0</v>
      </c>
      <c r="I237" s="9" t="n">
        <v>0</v>
      </c>
      <c r="J237" s="9" t="n">
        <v>4480</v>
      </c>
      <c r="K237" s="9">
        <f>E237+F237+G237+H237+I237-J237</f>
        <v/>
      </c>
      <c r="L237" s="10">
        <f>Q236</f>
        <v/>
      </c>
      <c r="M237" s="10" t="n">
        <v>0</v>
      </c>
      <c r="N237" s="10" t="n">
        <v>3</v>
      </c>
      <c r="O237" s="10">
        <f>J237/160</f>
        <v/>
      </c>
      <c r="P237" s="10" t="n">
        <v>40</v>
      </c>
      <c r="Q237" s="10">
        <f>L237+M237+N237+O237-P237</f>
        <v/>
      </c>
      <c r="R237" s="11">
        <f>T236</f>
        <v/>
      </c>
      <c r="S237" s="11">
        <f>N(V237) + N(X237) + N(Z237)</f>
        <v/>
      </c>
      <c r="T237" s="11">
        <f>R237+P237-S237</f>
        <v/>
      </c>
      <c r="U237" s="11" t="inlineStr">
        <is>
          <t>是</t>
        </is>
      </c>
      <c r="V237" s="11" t="n">
        <v>41</v>
      </c>
      <c r="W237" s="11" t="inlineStr">
        <is>
          <t>否</t>
        </is>
      </c>
      <c r="X237" s="11" t="inlineStr">
        <is>
          <t>-</t>
        </is>
      </c>
      <c r="Y237" s="11" t="inlineStr">
        <is>
          <t>-</t>
        </is>
      </c>
      <c r="Z237" s="11" t="n">
        <v>0</v>
      </c>
      <c r="AA237" s="11" t="inlineStr">
        <is>
          <t>无</t>
        </is>
      </c>
      <c r="AB237" s="12">
        <f>AE236</f>
        <v/>
      </c>
      <c r="AC237" s="12" t="n">
        <v>0</v>
      </c>
      <c r="AD237" s="12" t="n">
        <v>0</v>
      </c>
      <c r="AE237" s="12">
        <f>AB237+AC237+AD237</f>
        <v/>
      </c>
      <c r="AF237" s="13">
        <f>AI236</f>
        <v/>
      </c>
      <c r="AG237" s="13" t="n">
        <v>0</v>
      </c>
      <c r="AH237" s="13" t="n">
        <v>0</v>
      </c>
      <c r="AI237" s="13">
        <f>AF237+AG237+AH237</f>
        <v/>
      </c>
      <c r="AJ237" s="14" t="n">
        <v>0</v>
      </c>
      <c r="AK237" s="14" t="n">
        <v>0</v>
      </c>
      <c r="AL237" s="14" t="n">
        <v>0</v>
      </c>
      <c r="AM237" s="14">
        <f>AJ237+AK237+AL237</f>
        <v/>
      </c>
      <c r="AN237" s="14">
        <f>AN236+AM237</f>
        <v/>
      </c>
    </row>
    <row r="238">
      <c r="A238" s="8" t="n">
        <v>10</v>
      </c>
      <c r="B238" s="8" t="n">
        <v>2</v>
      </c>
      <c r="C238" s="8" t="n">
        <v>1</v>
      </c>
      <c r="D238" s="8" t="inlineStr">
        <is>
          <t>版本免费+义相逢 + 月卡收益 [月卡续费-30元]</t>
        </is>
      </c>
      <c r="E238" s="9">
        <f>K237</f>
        <v/>
      </c>
      <c r="F238" s="9" t="n">
        <v>1540</v>
      </c>
      <c r="G238" s="9" t="n">
        <v>4800</v>
      </c>
      <c r="H238" s="9" t="n">
        <v>0</v>
      </c>
      <c r="I238" s="9" t="n">
        <v>0</v>
      </c>
      <c r="J238" s="9" t="n">
        <v>0</v>
      </c>
      <c r="K238" s="9">
        <f>E238+F238+G238+H238+I238-J238</f>
        <v/>
      </c>
      <c r="L238" s="10">
        <f>Q237</f>
        <v/>
      </c>
      <c r="M238" s="10" t="n">
        <v>85</v>
      </c>
      <c r="N238" s="10" t="n">
        <v>6</v>
      </c>
      <c r="O238" s="10">
        <f>J238/160</f>
        <v/>
      </c>
      <c r="P238" s="10" t="n">
        <v>60</v>
      </c>
      <c r="Q238" s="10">
        <f>L238+M238+N238+O238-P238</f>
        <v/>
      </c>
      <c r="R238" s="11">
        <f>T237</f>
        <v/>
      </c>
      <c r="S238" s="11">
        <f>N(V238) + N(X238) + N(Z238)</f>
        <v/>
      </c>
      <c r="T238" s="11">
        <f>R238+P238-S238</f>
        <v/>
      </c>
      <c r="U238" s="11" t="inlineStr">
        <is>
          <t>是</t>
        </is>
      </c>
      <c r="V238" s="11" t="n">
        <v>49</v>
      </c>
      <c r="W238" s="11" t="inlineStr">
        <is>
          <t>否</t>
        </is>
      </c>
      <c r="X238" s="11" t="inlineStr">
        <is>
          <t>-</t>
        </is>
      </c>
      <c r="Y238" s="11" t="inlineStr">
        <is>
          <t>-</t>
        </is>
      </c>
      <c r="Z238" s="11" t="n">
        <v>0</v>
      </c>
      <c r="AA238" s="11" t="inlineStr">
        <is>
          <t>垫到60抽</t>
        </is>
      </c>
      <c r="AB238" s="12">
        <f>AE237</f>
        <v/>
      </c>
      <c r="AC238" s="12" t="n">
        <v>4</v>
      </c>
      <c r="AD238" s="12" t="n">
        <v>0</v>
      </c>
      <c r="AE238" s="12">
        <f>AB238+AC238+AD238</f>
        <v/>
      </c>
      <c r="AF238" s="13">
        <f>AI237</f>
        <v/>
      </c>
      <c r="AG238" s="13" t="n">
        <v>0</v>
      </c>
      <c r="AH238" s="13" t="n">
        <v>0</v>
      </c>
      <c r="AI238" s="13">
        <f>AF238+AG238+AH238</f>
        <v/>
      </c>
      <c r="AJ238" s="14" t="n">
        <v>30</v>
      </c>
      <c r="AK238" s="14" t="n">
        <v>50</v>
      </c>
      <c r="AL238" s="14" t="n">
        <v>0</v>
      </c>
      <c r="AM238" s="14">
        <f>AJ238+AK238+AL238</f>
        <v/>
      </c>
      <c r="AN238" s="14">
        <f>AN237+AM238</f>
        <v/>
      </c>
    </row>
    <row r="239">
      <c r="A239" s="8" t="n">
        <v>10</v>
      </c>
      <c r="B239" s="8" t="n">
        <v>2</v>
      </c>
      <c r="C239" s="8" t="n">
        <v>2</v>
      </c>
      <c r="D239" s="8" t="inlineStr">
        <is>
          <t>月卡收益</t>
        </is>
      </c>
      <c r="E239" s="9">
        <f>K238</f>
        <v/>
      </c>
      <c r="F239" s="9" t="n">
        <v>1540</v>
      </c>
      <c r="G239" s="9" t="n">
        <v>0</v>
      </c>
      <c r="H239" s="9" t="n">
        <v>0</v>
      </c>
      <c r="I239" s="9" t="n">
        <v>0</v>
      </c>
      <c r="J239" s="9" t="n">
        <v>0</v>
      </c>
      <c r="K239" s="9">
        <f>E239+F239+G239+H239+I239-J239</f>
        <v/>
      </c>
      <c r="L239" s="10">
        <f>Q238</f>
        <v/>
      </c>
      <c r="M239" s="10" t="n">
        <v>0</v>
      </c>
      <c r="N239" s="10" t="n">
        <v>3</v>
      </c>
      <c r="O239" s="10">
        <f>J239/160</f>
        <v/>
      </c>
      <c r="P239" s="10" t="n">
        <v>30</v>
      </c>
      <c r="Q239" s="10">
        <f>L239+M239+N239+O239-P239</f>
        <v/>
      </c>
      <c r="R239" s="11">
        <f>T238</f>
        <v/>
      </c>
      <c r="S239" s="11">
        <f>N(V239) + N(X239) + N(Z239)</f>
        <v/>
      </c>
      <c r="T239" s="11">
        <f>R239+P239-S239</f>
        <v/>
      </c>
      <c r="U239" s="11" t="inlineStr">
        <is>
          <t>是</t>
        </is>
      </c>
      <c r="V239" s="11" t="n">
        <v>49</v>
      </c>
      <c r="W239" s="11" t="inlineStr">
        <is>
          <t>否</t>
        </is>
      </c>
      <c r="X239" s="11" t="inlineStr">
        <is>
          <t>-</t>
        </is>
      </c>
      <c r="Y239" s="11" t="inlineStr">
        <is>
          <t>-</t>
        </is>
      </c>
      <c r="Z239" s="11" t="n">
        <v>0</v>
      </c>
      <c r="AA239" s="11" t="inlineStr">
        <is>
          <t>无</t>
        </is>
      </c>
      <c r="AB239" s="12">
        <f>AE238</f>
        <v/>
      </c>
      <c r="AC239" s="12" t="n">
        <v>0</v>
      </c>
      <c r="AD239" s="12" t="n">
        <v>0</v>
      </c>
      <c r="AE239" s="12">
        <f>AB239+AC239+AD239</f>
        <v/>
      </c>
      <c r="AF239" s="13">
        <f>AI238</f>
        <v/>
      </c>
      <c r="AG239" s="13" t="n">
        <v>0</v>
      </c>
      <c r="AH239" s="13" t="n">
        <v>0</v>
      </c>
      <c r="AI239" s="13">
        <f>AF239+AG239+AH239</f>
        <v/>
      </c>
      <c r="AJ239" s="14" t="n">
        <v>0</v>
      </c>
      <c r="AK239" s="14" t="n">
        <v>0</v>
      </c>
      <c r="AL239" s="14" t="n">
        <v>0</v>
      </c>
      <c r="AM239" s="14">
        <f>AJ239+AK239+AL239</f>
        <v/>
      </c>
      <c r="AN239" s="14">
        <f>AN238+AM239</f>
        <v/>
      </c>
    </row>
    <row r="240">
      <c r="A240" s="8" t="n">
        <v>10</v>
      </c>
      <c r="B240" s="8" t="n">
        <v>3</v>
      </c>
      <c r="C240" s="8" t="n">
        <v>1</v>
      </c>
      <c r="D240" s="8" t="inlineStr">
        <is>
          <t>版本免费+义相逢 + 月卡收益 [月卡续费-30元]</t>
        </is>
      </c>
      <c r="E240" s="9">
        <f>K239</f>
        <v/>
      </c>
      <c r="F240" s="9" t="n">
        <v>1540</v>
      </c>
      <c r="G240" s="9" t="n">
        <v>4800</v>
      </c>
      <c r="H240" s="9" t="n">
        <v>0</v>
      </c>
      <c r="I240" s="9" t="n">
        <v>0</v>
      </c>
      <c r="J240" s="9" t="n">
        <v>0</v>
      </c>
      <c r="K240" s="9">
        <f>E240+F240+G240+H240+I240-J240</f>
        <v/>
      </c>
      <c r="L240" s="10">
        <f>Q239</f>
        <v/>
      </c>
      <c r="M240" s="10" t="n">
        <v>85</v>
      </c>
      <c r="N240" s="10" t="n">
        <v>6</v>
      </c>
      <c r="O240" s="10">
        <f>J240/160</f>
        <v/>
      </c>
      <c r="P240" s="10" t="n">
        <v>60</v>
      </c>
      <c r="Q240" s="10">
        <f>L240+M240+N240+O240-P240</f>
        <v/>
      </c>
      <c r="R240" s="11">
        <f>T239</f>
        <v/>
      </c>
      <c r="S240" s="11">
        <f>N(V240) + N(X240) + N(Z240)</f>
        <v/>
      </c>
      <c r="T240" s="11">
        <f>R240+P240-S240</f>
        <v/>
      </c>
      <c r="U240" s="11" t="inlineStr">
        <is>
          <t>是</t>
        </is>
      </c>
      <c r="V240" s="11" t="n">
        <v>49</v>
      </c>
      <c r="W240" s="11" t="inlineStr">
        <is>
          <t>否</t>
        </is>
      </c>
      <c r="X240" s="11" t="inlineStr">
        <is>
          <t>-</t>
        </is>
      </c>
      <c r="Y240" s="11" t="inlineStr">
        <is>
          <t>-</t>
        </is>
      </c>
      <c r="Z240" s="11" t="n">
        <v>0</v>
      </c>
      <c r="AA240" s="11" t="inlineStr">
        <is>
          <t>垫到60抽</t>
        </is>
      </c>
      <c r="AB240" s="12">
        <f>AE239</f>
        <v/>
      </c>
      <c r="AC240" s="12" t="n">
        <v>4</v>
      </c>
      <c r="AD240" s="12" t="n">
        <v>0</v>
      </c>
      <c r="AE240" s="12">
        <f>AB240+AC240+AD240</f>
        <v/>
      </c>
      <c r="AF240" s="13">
        <f>AI239</f>
        <v/>
      </c>
      <c r="AG240" s="13" t="n">
        <v>0</v>
      </c>
      <c r="AH240" s="13" t="n">
        <v>0</v>
      </c>
      <c r="AI240" s="13">
        <f>AF240+AG240+AH240</f>
        <v/>
      </c>
      <c r="AJ240" s="14" t="n">
        <v>30</v>
      </c>
      <c r="AK240" s="14" t="n">
        <v>50</v>
      </c>
      <c r="AL240" s="14" t="n">
        <v>0</v>
      </c>
      <c r="AM240" s="14">
        <f>AJ240+AK240+AL240</f>
        <v/>
      </c>
      <c r="AN240" s="14">
        <f>AN239+AM240</f>
        <v/>
      </c>
    </row>
    <row r="241">
      <c r="A241" s="8" t="n">
        <v>10</v>
      </c>
      <c r="B241" s="8" t="n">
        <v>3</v>
      </c>
      <c r="C241" s="8" t="n">
        <v>2</v>
      </c>
      <c r="D241" s="8" t="inlineStr">
        <is>
          <t>月卡收益</t>
        </is>
      </c>
      <c r="E241" s="9">
        <f>K240</f>
        <v/>
      </c>
      <c r="F241" s="9" t="n">
        <v>1540</v>
      </c>
      <c r="G241" s="9" t="n">
        <v>0</v>
      </c>
      <c r="H241" s="9" t="n">
        <v>0</v>
      </c>
      <c r="I241" s="9" t="n">
        <v>0</v>
      </c>
      <c r="J241" s="9" t="n">
        <v>320</v>
      </c>
      <c r="K241" s="9">
        <f>E241+F241+G241+H241+I241-J241</f>
        <v/>
      </c>
      <c r="L241" s="10">
        <f>Q240</f>
        <v/>
      </c>
      <c r="M241" s="10" t="n">
        <v>0</v>
      </c>
      <c r="N241" s="10" t="n">
        <v>3</v>
      </c>
      <c r="O241" s="10">
        <f>J241/160</f>
        <v/>
      </c>
      <c r="P241" s="10" t="n">
        <v>40</v>
      </c>
      <c r="Q241" s="10">
        <f>L241+M241+N241+O241-P241</f>
        <v/>
      </c>
      <c r="R241" s="11">
        <f>T240</f>
        <v/>
      </c>
      <c r="S241" s="11">
        <f>N(V241) + N(X241) + N(Z241)</f>
        <v/>
      </c>
      <c r="T241" s="11">
        <f>R241+P241-S241</f>
        <v/>
      </c>
      <c r="U241" s="11" t="inlineStr">
        <is>
          <t>是</t>
        </is>
      </c>
      <c r="V241" s="11" t="n">
        <v>50</v>
      </c>
      <c r="W241" s="11" t="inlineStr">
        <is>
          <t>否</t>
        </is>
      </c>
      <c r="X241" s="11" t="inlineStr">
        <is>
          <t>-</t>
        </is>
      </c>
      <c r="Y241" s="11" t="inlineStr">
        <is>
          <t>-</t>
        </is>
      </c>
      <c r="Z241" s="11" t="n">
        <v>0</v>
      </c>
      <c r="AA241" s="11" t="inlineStr">
        <is>
          <t>无</t>
        </is>
      </c>
      <c r="AB241" s="12">
        <f>AE240</f>
        <v/>
      </c>
      <c r="AC241" s="12" t="n">
        <v>0</v>
      </c>
      <c r="AD241" s="12" t="n">
        <v>0</v>
      </c>
      <c r="AE241" s="12">
        <f>AB241+AC241+AD241</f>
        <v/>
      </c>
      <c r="AF241" s="13">
        <f>AI240</f>
        <v/>
      </c>
      <c r="AG241" s="13" t="n">
        <v>0</v>
      </c>
      <c r="AH241" s="13" t="n">
        <v>0</v>
      </c>
      <c r="AI241" s="13">
        <f>AF241+AG241+AH241</f>
        <v/>
      </c>
      <c r="AJ241" s="14" t="n">
        <v>0</v>
      </c>
      <c r="AK241" s="14" t="n">
        <v>0</v>
      </c>
      <c r="AL241" s="14" t="n">
        <v>0</v>
      </c>
      <c r="AM241" s="14">
        <f>AJ241+AK241+AL241</f>
        <v/>
      </c>
      <c r="AN241" s="14">
        <f>AN240+AM241</f>
        <v/>
      </c>
    </row>
    <row r="242">
      <c r="A242" s="8" t="n">
        <v>10</v>
      </c>
      <c r="B242" s="8" t="n">
        <v>4</v>
      </c>
      <c r="C242" s="8" t="n">
        <v>1</v>
      </c>
      <c r="D242" s="8" t="inlineStr">
        <is>
          <t>版本免费+义相逢 + 月卡收益</t>
        </is>
      </c>
      <c r="E242" s="9">
        <f>K241</f>
        <v/>
      </c>
      <c r="F242" s="9" t="n">
        <v>1540</v>
      </c>
      <c r="G242" s="9" t="n">
        <v>4800</v>
      </c>
      <c r="H242" s="9" t="n">
        <v>0</v>
      </c>
      <c r="I242" s="9" t="n">
        <v>0</v>
      </c>
      <c r="J242" s="9" t="n">
        <v>15040</v>
      </c>
      <c r="K242" s="9">
        <f>E242+F242+G242+H242+I242-J242</f>
        <v/>
      </c>
      <c r="L242" s="10">
        <f>Q241</f>
        <v/>
      </c>
      <c r="M242" s="10" t="n">
        <v>85</v>
      </c>
      <c r="N242" s="10" t="n">
        <v>21</v>
      </c>
      <c r="O242" s="10">
        <f>J242/160</f>
        <v/>
      </c>
      <c r="P242" s="10" t="n">
        <v>200</v>
      </c>
      <c r="Q242" s="10">
        <f>L242+M242+N242+O242-P242</f>
        <v/>
      </c>
      <c r="R242" s="11">
        <f>T241</f>
        <v/>
      </c>
      <c r="S242" s="11">
        <f>N(V242) + N(X242) + N(Z242)</f>
        <v/>
      </c>
      <c r="T242" s="11">
        <f>R242+P242-S242</f>
        <v/>
      </c>
      <c r="U242" s="11" t="inlineStr">
        <is>
          <t>是</t>
        </is>
      </c>
      <c r="V242" s="11" t="n">
        <v>49</v>
      </c>
      <c r="W242" s="11" t="inlineStr">
        <is>
          <t>是</t>
        </is>
      </c>
      <c r="X242" s="11" t="n">
        <v>51</v>
      </c>
      <c r="Y242" s="11" t="inlineStr">
        <is>
          <t>UP(54)</t>
        </is>
      </c>
      <c r="Z242" s="11" t="n">
        <v>54</v>
      </c>
      <c r="AA242" s="11" t="inlineStr">
        <is>
          <t>冲刺200(动态90)</t>
        </is>
      </c>
      <c r="AB242" s="12">
        <f>AE241</f>
        <v/>
      </c>
      <c r="AC242" s="12" t="n">
        <v>4</v>
      </c>
      <c r="AD242" s="12" t="n">
        <v>1</v>
      </c>
      <c r="AE242" s="12">
        <f>AB242+AC242+AD242</f>
        <v/>
      </c>
      <c r="AF242" s="13">
        <f>AI241</f>
        <v/>
      </c>
      <c r="AG242" s="13" t="n">
        <v>0</v>
      </c>
      <c r="AH242" s="13" t="n">
        <v>5000</v>
      </c>
      <c r="AI242" s="13">
        <f>AF242+AG242+AH242</f>
        <v/>
      </c>
      <c r="AJ242" s="14" t="n">
        <v>0</v>
      </c>
      <c r="AK242" s="14" t="n">
        <v>50</v>
      </c>
      <c r="AL242" s="14" t="n">
        <v>0</v>
      </c>
      <c r="AM242" s="14">
        <f>AJ242+AK242+AL242</f>
        <v/>
      </c>
      <c r="AN242" s="14">
        <f>AN241+AM242</f>
        <v/>
      </c>
    </row>
    <row r="243">
      <c r="A243" s="8" t="n">
        <v>10</v>
      </c>
      <c r="B243" s="8" t="n">
        <v>4</v>
      </c>
      <c r="C243" s="8" t="n">
        <v>2</v>
      </c>
      <c r="D243" s="8" t="inlineStr">
        <is>
          <t>月卡收益 [月卡续费-30元]</t>
        </is>
      </c>
      <c r="E243" s="9">
        <f>K242</f>
        <v/>
      </c>
      <c r="F243" s="9" t="n">
        <v>1540</v>
      </c>
      <c r="G243" s="9" t="n">
        <v>0</v>
      </c>
      <c r="H243" s="9" t="n">
        <v>0</v>
      </c>
      <c r="I243" s="9" t="n">
        <v>0</v>
      </c>
      <c r="J243" s="9" t="n">
        <v>9120</v>
      </c>
      <c r="K243" s="9">
        <f>E243+F243+G243+H243+I243-J243</f>
        <v/>
      </c>
      <c r="L243" s="10">
        <f>Q242</f>
        <v/>
      </c>
      <c r="M243" s="10" t="n">
        <v>0</v>
      </c>
      <c r="N243" s="10" t="n">
        <v>6</v>
      </c>
      <c r="O243" s="10">
        <f>J243/160</f>
        <v/>
      </c>
      <c r="P243" s="10" t="n">
        <v>60</v>
      </c>
      <c r="Q243" s="10">
        <f>L243+M243+N243+O243-P243</f>
        <v/>
      </c>
      <c r="R243" s="11">
        <f>T242</f>
        <v/>
      </c>
      <c r="S243" s="11">
        <f>N(V243) + N(X243) + N(Z243)</f>
        <v/>
      </c>
      <c r="T243" s="11">
        <f>R243+P243-S243</f>
        <v/>
      </c>
      <c r="U243" s="11" t="inlineStr">
        <is>
          <t>是</t>
        </is>
      </c>
      <c r="V243" s="11" t="n">
        <v>50</v>
      </c>
      <c r="W243" s="11" t="inlineStr">
        <is>
          <t>是</t>
        </is>
      </c>
      <c r="X243" s="11" t="n">
        <v>52</v>
      </c>
      <c r="Y243" s="11" t="inlineStr">
        <is>
          <t>-</t>
        </is>
      </c>
      <c r="Z243" s="11" t="n">
        <v>0</v>
      </c>
      <c r="AA243" s="11" t="inlineStr">
        <is>
          <t>无</t>
        </is>
      </c>
      <c r="AB243" s="12">
        <f>AE242</f>
        <v/>
      </c>
      <c r="AC243" s="12" t="n">
        <v>0</v>
      </c>
      <c r="AD243" s="12" t="n">
        <v>0</v>
      </c>
      <c r="AE243" s="12">
        <f>AB243+AC243+AD243</f>
        <v/>
      </c>
      <c r="AF243" s="13">
        <f>AI242</f>
        <v/>
      </c>
      <c r="AG243" s="13" t="n">
        <v>0</v>
      </c>
      <c r="AH243" s="13" t="n">
        <v>0</v>
      </c>
      <c r="AI243" s="13">
        <f>AF243+AG243+AH243</f>
        <v/>
      </c>
      <c r="AJ243" s="14" t="n">
        <v>30</v>
      </c>
      <c r="AK243" s="14" t="n">
        <v>0</v>
      </c>
      <c r="AL243" s="14" t="n">
        <v>0</v>
      </c>
      <c r="AM243" s="14">
        <f>AJ243+AK243+AL243</f>
        <v/>
      </c>
      <c r="AN243" s="14">
        <f>AN242+AM243</f>
        <v/>
      </c>
    </row>
    <row r="244">
      <c r="A244" s="8" t="n">
        <v>10</v>
      </c>
      <c r="B244" s="8" t="n">
        <v>5</v>
      </c>
      <c r="C244" s="8" t="n">
        <v>1</v>
      </c>
      <c r="D244" s="8" t="inlineStr">
        <is>
          <t>版本免费+义相逢 + 月卡收益</t>
        </is>
      </c>
      <c r="E244" s="9">
        <f>K243</f>
        <v/>
      </c>
      <c r="F244" s="9" t="n">
        <v>1540</v>
      </c>
      <c r="G244" s="9" t="n">
        <v>4800</v>
      </c>
      <c r="H244" s="9" t="n">
        <v>0</v>
      </c>
      <c r="I244" s="9" t="n">
        <v>0</v>
      </c>
      <c r="J244" s="9" t="n">
        <v>0</v>
      </c>
      <c r="K244" s="9">
        <f>E244+F244+G244+H244+I244-J244</f>
        <v/>
      </c>
      <c r="L244" s="10">
        <f>Q243</f>
        <v/>
      </c>
      <c r="M244" s="10" t="n">
        <v>85</v>
      </c>
      <c r="N244" s="10" t="n">
        <v>6</v>
      </c>
      <c r="O244" s="10">
        <f>J244/160</f>
        <v/>
      </c>
      <c r="P244" s="10" t="n">
        <v>60</v>
      </c>
      <c r="Q244" s="10">
        <f>L244+M244+N244+O244-P244</f>
        <v/>
      </c>
      <c r="R244" s="11">
        <f>T243</f>
        <v/>
      </c>
      <c r="S244" s="11">
        <f>N(V244) + N(X244) + N(Z244)</f>
        <v/>
      </c>
      <c r="T244" s="11">
        <f>R244+P244-S244</f>
        <v/>
      </c>
      <c r="U244" s="11" t="inlineStr">
        <is>
          <t>是</t>
        </is>
      </c>
      <c r="V244" s="11" t="n">
        <v>47</v>
      </c>
      <c r="W244" s="11" t="inlineStr">
        <is>
          <t>否</t>
        </is>
      </c>
      <c r="X244" s="11" t="inlineStr">
        <is>
          <t>-</t>
        </is>
      </c>
      <c r="Y244" s="11" t="inlineStr">
        <is>
          <t>-</t>
        </is>
      </c>
      <c r="Z244" s="11" t="n">
        <v>0</v>
      </c>
      <c r="AA244" s="11" t="inlineStr">
        <is>
          <t>垫到60抽</t>
        </is>
      </c>
      <c r="AB244" s="12">
        <f>AE243</f>
        <v/>
      </c>
      <c r="AC244" s="12" t="n">
        <v>4</v>
      </c>
      <c r="AD244" s="12" t="n">
        <v>0</v>
      </c>
      <c r="AE244" s="12">
        <f>AB244+AC244+AD244</f>
        <v/>
      </c>
      <c r="AF244" s="13">
        <f>AI243</f>
        <v/>
      </c>
      <c r="AG244" s="13" t="n">
        <v>0</v>
      </c>
      <c r="AH244" s="13" t="n">
        <v>0</v>
      </c>
      <c r="AI244" s="13">
        <f>AF244+AG244+AH244</f>
        <v/>
      </c>
      <c r="AJ244" s="14" t="n">
        <v>0</v>
      </c>
      <c r="AK244" s="14" t="n">
        <v>50</v>
      </c>
      <c r="AL244" s="14" t="n">
        <v>0</v>
      </c>
      <c r="AM244" s="14">
        <f>AJ244+AK244+AL244</f>
        <v/>
      </c>
      <c r="AN244" s="14">
        <f>AN243+AM244</f>
        <v/>
      </c>
    </row>
    <row r="245">
      <c r="A245" s="8" t="n">
        <v>10</v>
      </c>
      <c r="B245" s="8" t="n">
        <v>5</v>
      </c>
      <c r="C245" s="8" t="n">
        <v>2</v>
      </c>
      <c r="D245" s="8" t="inlineStr">
        <is>
          <t>月卡收益 [月卡续费-30元]</t>
        </is>
      </c>
      <c r="E245" s="9">
        <f>K244</f>
        <v/>
      </c>
      <c r="F245" s="9" t="n">
        <v>1540</v>
      </c>
      <c r="G245" s="9" t="n">
        <v>0</v>
      </c>
      <c r="H245" s="9" t="n">
        <v>0</v>
      </c>
      <c r="I245" s="9" t="n">
        <v>0</v>
      </c>
      <c r="J245" s="9" t="n">
        <v>0</v>
      </c>
      <c r="K245" s="9">
        <f>E245+F245+G245+H245+I245-J245</f>
        <v/>
      </c>
      <c r="L245" s="10">
        <f>Q244</f>
        <v/>
      </c>
      <c r="M245" s="10" t="n">
        <v>0</v>
      </c>
      <c r="N245" s="10" t="n">
        <v>3</v>
      </c>
      <c r="O245" s="10">
        <f>J245/160</f>
        <v/>
      </c>
      <c r="P245" s="10" t="n">
        <v>30</v>
      </c>
      <c r="Q245" s="10">
        <f>L245+M245+N245+O245-P245</f>
        <v/>
      </c>
      <c r="R245" s="11">
        <f>T244</f>
        <v/>
      </c>
      <c r="S245" s="11">
        <f>N(V245) + N(X245) + N(Z245)</f>
        <v/>
      </c>
      <c r="T245" s="11">
        <f>R245+P245-S245</f>
        <v/>
      </c>
      <c r="U245" s="11" t="inlineStr">
        <is>
          <t>是</t>
        </is>
      </c>
      <c r="V245" s="11" t="n">
        <v>46</v>
      </c>
      <c r="W245" s="11" t="inlineStr">
        <is>
          <t>否</t>
        </is>
      </c>
      <c r="X245" s="11" t="inlineStr">
        <is>
          <t>-</t>
        </is>
      </c>
      <c r="Y245" s="11" t="inlineStr">
        <is>
          <t>-</t>
        </is>
      </c>
      <c r="Z245" s="11" t="n">
        <v>0</v>
      </c>
      <c r="AA245" s="11" t="inlineStr">
        <is>
          <t>无</t>
        </is>
      </c>
      <c r="AB245" s="12">
        <f>AE244</f>
        <v/>
      </c>
      <c r="AC245" s="12" t="n">
        <v>0</v>
      </c>
      <c r="AD245" s="12" t="n">
        <v>0</v>
      </c>
      <c r="AE245" s="12">
        <f>AB245+AC245+AD245</f>
        <v/>
      </c>
      <c r="AF245" s="13">
        <f>AI244</f>
        <v/>
      </c>
      <c r="AG245" s="13" t="n">
        <v>0</v>
      </c>
      <c r="AH245" s="13" t="n">
        <v>0</v>
      </c>
      <c r="AI245" s="13">
        <f>AF245+AG245+AH245</f>
        <v/>
      </c>
      <c r="AJ245" s="14" t="n">
        <v>30</v>
      </c>
      <c r="AK245" s="14" t="n">
        <v>0</v>
      </c>
      <c r="AL245" s="14" t="n">
        <v>0</v>
      </c>
      <c r="AM245" s="14">
        <f>AJ245+AK245+AL245</f>
        <v/>
      </c>
      <c r="AN245" s="14">
        <f>AN244+AM245</f>
        <v/>
      </c>
    </row>
    <row r="246">
      <c r="A246" s="8" t="n">
        <v>10</v>
      </c>
      <c r="B246" s="8" t="n">
        <v>6</v>
      </c>
      <c r="C246" s="8" t="n">
        <v>1</v>
      </c>
      <c r="D246" s="8" t="inlineStr">
        <is>
          <t>版本免费+义相逢 + 月卡收益</t>
        </is>
      </c>
      <c r="E246" s="9">
        <f>K245</f>
        <v/>
      </c>
      <c r="F246" s="9" t="n">
        <v>1540</v>
      </c>
      <c r="G246" s="9" t="n">
        <v>4800</v>
      </c>
      <c r="H246" s="9" t="n">
        <v>0</v>
      </c>
      <c r="I246" s="9" t="n">
        <v>0</v>
      </c>
      <c r="J246" s="9" t="n">
        <v>13920</v>
      </c>
      <c r="K246" s="9">
        <f>E246+F246+G246+H246+I246-J246</f>
        <v/>
      </c>
      <c r="L246" s="10">
        <f>Q245</f>
        <v/>
      </c>
      <c r="M246" s="10" t="n">
        <v>85</v>
      </c>
      <c r="N246" s="10" t="n">
        <v>21</v>
      </c>
      <c r="O246" s="10">
        <f>J246/160</f>
        <v/>
      </c>
      <c r="P246" s="10" t="n">
        <v>200</v>
      </c>
      <c r="Q246" s="10">
        <f>L246+M246+N246+O246-P246</f>
        <v/>
      </c>
      <c r="R246" s="11">
        <f>T245</f>
        <v/>
      </c>
      <c r="S246" s="11">
        <f>N(V246) + N(X246) + N(Z246)</f>
        <v/>
      </c>
      <c r="T246" s="11">
        <f>R246+P246-S246</f>
        <v/>
      </c>
      <c r="U246" s="11" t="inlineStr">
        <is>
          <t>是</t>
        </is>
      </c>
      <c r="V246" s="11" t="n">
        <v>52</v>
      </c>
      <c r="W246" s="11" t="inlineStr">
        <is>
          <t>是</t>
        </is>
      </c>
      <c r="X246" s="11" t="n">
        <v>51</v>
      </c>
      <c r="Y246" s="11" t="inlineStr">
        <is>
          <t>歪(11), UP(47)</t>
        </is>
      </c>
      <c r="Z246" s="11" t="n">
        <v>58</v>
      </c>
      <c r="AA246" s="11" t="inlineStr">
        <is>
          <t>冲刺200(动态90)</t>
        </is>
      </c>
      <c r="AB246" s="12">
        <f>AE245</f>
        <v/>
      </c>
      <c r="AC246" s="12" t="n">
        <v>4</v>
      </c>
      <c r="AD246" s="12" t="n">
        <v>1</v>
      </c>
      <c r="AE246" s="12">
        <f>AB246+AC246+AD246</f>
        <v/>
      </c>
      <c r="AF246" s="13">
        <f>AI245</f>
        <v/>
      </c>
      <c r="AG246" s="13" t="n">
        <v>0</v>
      </c>
      <c r="AH246" s="13" t="n">
        <v>5000</v>
      </c>
      <c r="AI246" s="13">
        <f>AF246+AG246+AH246</f>
        <v/>
      </c>
      <c r="AJ246" s="14" t="n">
        <v>0</v>
      </c>
      <c r="AK246" s="14" t="n">
        <v>50</v>
      </c>
      <c r="AL246" s="14" t="n">
        <v>0</v>
      </c>
      <c r="AM246" s="14">
        <f>AJ246+AK246+AL246</f>
        <v/>
      </c>
      <c r="AN246" s="14">
        <f>AN245+AM246</f>
        <v/>
      </c>
    </row>
    <row r="247">
      <c r="A247" s="8" t="n">
        <v>10</v>
      </c>
      <c r="B247" s="8" t="n">
        <v>6</v>
      </c>
      <c r="C247" s="8" t="n">
        <v>2</v>
      </c>
      <c r="D247" s="8" t="inlineStr">
        <is>
          <t>月卡收益 [月卡续费-30元]</t>
        </is>
      </c>
      <c r="E247" s="9">
        <f>K246</f>
        <v/>
      </c>
      <c r="F247" s="9" t="n">
        <v>1540</v>
      </c>
      <c r="G247" s="9" t="n">
        <v>0</v>
      </c>
      <c r="H247" s="9" t="n">
        <v>0</v>
      </c>
      <c r="I247" s="9" t="n">
        <v>0</v>
      </c>
      <c r="J247" s="9" t="n">
        <v>1600</v>
      </c>
      <c r="K247" s="9">
        <f>E247+F247+G247+H247+I247-J247</f>
        <v/>
      </c>
      <c r="L247" s="10">
        <f>Q246</f>
        <v/>
      </c>
      <c r="M247" s="10" t="n">
        <v>0</v>
      </c>
      <c r="N247" s="10" t="n">
        <v>1</v>
      </c>
      <c r="O247" s="10">
        <f>J247/160</f>
        <v/>
      </c>
      <c r="P247" s="10" t="n">
        <v>10</v>
      </c>
      <c r="Q247" s="10">
        <f>L247+M247+N247+O247-P247</f>
        <v/>
      </c>
      <c r="R247" s="11">
        <f>T246</f>
        <v/>
      </c>
      <c r="S247" s="11">
        <f>N(V247) + N(X247) + N(Z247)</f>
        <v/>
      </c>
      <c r="T247" s="11">
        <f>R247+P247-S247</f>
        <v/>
      </c>
      <c r="U247" s="11" t="inlineStr">
        <is>
          <t>是</t>
        </is>
      </c>
      <c r="V247" s="11" t="n">
        <v>48</v>
      </c>
      <c r="W247" s="11" t="inlineStr">
        <is>
          <t>否</t>
        </is>
      </c>
      <c r="X247" s="11" t="inlineStr">
        <is>
          <t>-</t>
        </is>
      </c>
      <c r="Y247" s="11" t="inlineStr">
        <is>
          <t>-</t>
        </is>
      </c>
      <c r="Z247" s="11" t="n">
        <v>0</v>
      </c>
      <c r="AA247" s="11" t="inlineStr">
        <is>
          <t>无</t>
        </is>
      </c>
      <c r="AB247" s="12">
        <f>AE246</f>
        <v/>
      </c>
      <c r="AC247" s="12" t="n">
        <v>0</v>
      </c>
      <c r="AD247" s="12" t="n">
        <v>0</v>
      </c>
      <c r="AE247" s="12">
        <f>AB247+AC247+AD247</f>
        <v/>
      </c>
      <c r="AF247" s="13">
        <f>AI246</f>
        <v/>
      </c>
      <c r="AG247" s="13" t="n">
        <v>0</v>
      </c>
      <c r="AH247" s="13" t="n">
        <v>0</v>
      </c>
      <c r="AI247" s="13">
        <f>AF247+AG247+AH247</f>
        <v/>
      </c>
      <c r="AJ247" s="14" t="n">
        <v>30</v>
      </c>
      <c r="AK247" s="14" t="n">
        <v>0</v>
      </c>
      <c r="AL247" s="14" t="n">
        <v>0</v>
      </c>
      <c r="AM247" s="14">
        <f>AJ247+AK247+AL247</f>
        <v/>
      </c>
      <c r="AN247" s="14">
        <f>AN246+AM247</f>
        <v/>
      </c>
    </row>
    <row r="248">
      <c r="A248" s="8" t="n">
        <v>10</v>
      </c>
      <c r="B248" s="8" t="n">
        <v>7</v>
      </c>
      <c r="C248" s="8" t="n">
        <v>1</v>
      </c>
      <c r="D248" s="8" t="inlineStr">
        <is>
          <t>版本免费+义相逢 + 月卡收益</t>
        </is>
      </c>
      <c r="E248" s="9">
        <f>K247</f>
        <v/>
      </c>
      <c r="F248" s="9" t="n">
        <v>1540</v>
      </c>
      <c r="G248" s="9" t="n">
        <v>4800</v>
      </c>
      <c r="H248" s="9" t="n">
        <v>0</v>
      </c>
      <c r="I248" s="9" t="n">
        <v>0</v>
      </c>
      <c r="J248" s="9" t="n">
        <v>14880</v>
      </c>
      <c r="K248" s="9">
        <f>E248+F248+G248+H248+I248-J248</f>
        <v/>
      </c>
      <c r="L248" s="10">
        <f>Q247</f>
        <v/>
      </c>
      <c r="M248" s="10" t="n">
        <v>85</v>
      </c>
      <c r="N248" s="10" t="n">
        <v>21</v>
      </c>
      <c r="O248" s="10">
        <f>J248/160</f>
        <v/>
      </c>
      <c r="P248" s="10" t="n">
        <v>200</v>
      </c>
      <c r="Q248" s="10">
        <f>L248+M248+N248+O248-P248</f>
        <v/>
      </c>
      <c r="R248" s="11">
        <f>T247</f>
        <v/>
      </c>
      <c r="S248" s="11">
        <f>N(V248) + N(X248) + N(Z248)</f>
        <v/>
      </c>
      <c r="T248" s="11">
        <f>R248+P248-S248</f>
        <v/>
      </c>
      <c r="U248" s="11" t="inlineStr">
        <is>
          <t>是</t>
        </is>
      </c>
      <c r="V248" s="11" t="n">
        <v>47</v>
      </c>
      <c r="W248" s="11" t="inlineStr">
        <is>
          <t>是</t>
        </is>
      </c>
      <c r="X248" s="11" t="n">
        <v>48</v>
      </c>
      <c r="Y248" s="11" t="inlineStr">
        <is>
          <t>UP(46), 歪(49)</t>
        </is>
      </c>
      <c r="Z248" s="11" t="n">
        <v>95</v>
      </c>
      <c r="AA248" s="11" t="inlineStr">
        <is>
          <t>冲刺200(动态100)</t>
        </is>
      </c>
      <c r="AB248" s="12">
        <f>AE247</f>
        <v/>
      </c>
      <c r="AC248" s="12" t="n">
        <v>4</v>
      </c>
      <c r="AD248" s="12" t="n">
        <v>1</v>
      </c>
      <c r="AE248" s="12">
        <f>AB248+AC248+AD248</f>
        <v/>
      </c>
      <c r="AF248" s="13">
        <f>AI247</f>
        <v/>
      </c>
      <c r="AG248" s="13" t="n">
        <v>0</v>
      </c>
      <c r="AH248" s="13" t="n">
        <v>5000</v>
      </c>
      <c r="AI248" s="13">
        <f>AF248+AG248+AH248</f>
        <v/>
      </c>
      <c r="AJ248" s="14" t="n">
        <v>0</v>
      </c>
      <c r="AK248" s="14" t="n">
        <v>50</v>
      </c>
      <c r="AL248" s="14" t="n">
        <v>0</v>
      </c>
      <c r="AM248" s="14">
        <f>AJ248+AK248+AL248</f>
        <v/>
      </c>
      <c r="AN248" s="14">
        <f>AN247+AM248</f>
        <v/>
      </c>
    </row>
    <row r="249">
      <c r="A249" s="8" t="n">
        <v>10</v>
      </c>
      <c r="B249" s="8" t="n">
        <v>7</v>
      </c>
      <c r="C249" s="8" t="n">
        <v>2</v>
      </c>
      <c r="D249" s="8" t="inlineStr">
        <is>
          <t>月卡收益 [月卡续费-30元]</t>
        </is>
      </c>
      <c r="E249" s="9">
        <f>K248</f>
        <v/>
      </c>
      <c r="F249" s="9" t="n">
        <v>1540</v>
      </c>
      <c r="G249" s="9" t="n">
        <v>0</v>
      </c>
      <c r="H249" s="9" t="n">
        <v>0</v>
      </c>
      <c r="I249" s="9" t="n">
        <v>0</v>
      </c>
      <c r="J249" s="9" t="n">
        <v>5920</v>
      </c>
      <c r="K249" s="9">
        <f>E249+F249+G249+H249+I249-J249</f>
        <v/>
      </c>
      <c r="L249" s="10">
        <f>Q248</f>
        <v/>
      </c>
      <c r="M249" s="10" t="n">
        <v>0</v>
      </c>
      <c r="N249" s="10" t="n">
        <v>3</v>
      </c>
      <c r="O249" s="10">
        <f>J249/160</f>
        <v/>
      </c>
      <c r="P249" s="10" t="n">
        <v>40</v>
      </c>
      <c r="Q249" s="10">
        <f>L249+M249+N249+O249-P249</f>
        <v/>
      </c>
      <c r="R249" s="11">
        <f>T248</f>
        <v/>
      </c>
      <c r="S249" s="11">
        <f>N(V249) + N(X249) + N(Z249)</f>
        <v/>
      </c>
      <c r="T249" s="11">
        <f>R249+P249-S249</f>
        <v/>
      </c>
      <c r="U249" s="11" t="inlineStr">
        <is>
          <t>是</t>
        </is>
      </c>
      <c r="V249" s="11" t="n">
        <v>52</v>
      </c>
      <c r="W249" s="11" t="inlineStr">
        <is>
          <t>否</t>
        </is>
      </c>
      <c r="X249" s="11" t="inlineStr">
        <is>
          <t>-</t>
        </is>
      </c>
      <c r="Y249" s="11" t="inlineStr">
        <is>
          <t>-</t>
        </is>
      </c>
      <c r="Z249" s="11" t="n">
        <v>0</v>
      </c>
      <c r="AA249" s="11" t="inlineStr">
        <is>
          <t>无</t>
        </is>
      </c>
      <c r="AB249" s="12">
        <f>AE248</f>
        <v/>
      </c>
      <c r="AC249" s="12" t="n">
        <v>0</v>
      </c>
      <c r="AD249" s="12" t="n">
        <v>0</v>
      </c>
      <c r="AE249" s="12">
        <f>AB249+AC249+AD249</f>
        <v/>
      </c>
      <c r="AF249" s="13">
        <f>AI248</f>
        <v/>
      </c>
      <c r="AG249" s="13" t="n">
        <v>0</v>
      </c>
      <c r="AH249" s="13" t="n">
        <v>0</v>
      </c>
      <c r="AI249" s="13">
        <f>AF249+AG249+AH249</f>
        <v/>
      </c>
      <c r="AJ249" s="14" t="n">
        <v>30</v>
      </c>
      <c r="AK249" s="14" t="n">
        <v>0</v>
      </c>
      <c r="AL249" s="14" t="n">
        <v>0</v>
      </c>
      <c r="AM249" s="14">
        <f>AJ249+AK249+AL249</f>
        <v/>
      </c>
      <c r="AN249" s="14">
        <f>AN248+AM249</f>
        <v/>
      </c>
    </row>
    <row r="250">
      <c r="A250" s="8" t="n">
        <v>10</v>
      </c>
      <c r="B250" s="8" t="n">
        <v>8</v>
      </c>
      <c r="C250" s="8" t="n">
        <v>1</v>
      </c>
      <c r="D250" s="8" t="inlineStr">
        <is>
          <t>版本免费+义相逢 + 月卡收益</t>
        </is>
      </c>
      <c r="E250" s="9">
        <f>K249</f>
        <v/>
      </c>
      <c r="F250" s="9" t="n">
        <v>1540</v>
      </c>
      <c r="G250" s="9" t="n">
        <v>4800</v>
      </c>
      <c r="H250" s="9" t="n">
        <v>0</v>
      </c>
      <c r="I250" s="9" t="n">
        <v>0</v>
      </c>
      <c r="J250" s="9" t="n">
        <v>640</v>
      </c>
      <c r="K250" s="9">
        <f>E250+F250+G250+H250+I250-J250</f>
        <v/>
      </c>
      <c r="L250" s="10">
        <f>Q249</f>
        <v/>
      </c>
      <c r="M250" s="10" t="n">
        <v>85</v>
      </c>
      <c r="N250" s="10" t="n">
        <v>11</v>
      </c>
      <c r="O250" s="10">
        <f>J250/160</f>
        <v/>
      </c>
      <c r="P250" s="10" t="n">
        <v>100</v>
      </c>
      <c r="Q250" s="10">
        <f>L250+M250+N250+O250-P250</f>
        <v/>
      </c>
      <c r="R250" s="11">
        <f>T249</f>
        <v/>
      </c>
      <c r="S250" s="11">
        <f>N(V250) + N(X250) + N(Z250)</f>
        <v/>
      </c>
      <c r="T250" s="11">
        <f>R250+P250-S250</f>
        <v/>
      </c>
      <c r="U250" s="11" t="inlineStr">
        <is>
          <t>是</t>
        </is>
      </c>
      <c r="V250" s="11" t="n">
        <v>47</v>
      </c>
      <c r="W250" s="11" t="inlineStr">
        <is>
          <t>是</t>
        </is>
      </c>
      <c r="X250" s="11" t="n">
        <v>47</v>
      </c>
      <c r="Y250" s="11" t="inlineStr">
        <is>
          <t>-</t>
        </is>
      </c>
      <c r="Z250" s="11" t="n">
        <v>0</v>
      </c>
      <c r="AA250" s="11" t="inlineStr">
        <is>
          <t>无</t>
        </is>
      </c>
      <c r="AB250" s="12">
        <f>AE249</f>
        <v/>
      </c>
      <c r="AC250" s="12" t="n">
        <v>4</v>
      </c>
      <c r="AD250" s="12" t="n">
        <v>0</v>
      </c>
      <c r="AE250" s="12">
        <f>AB250+AC250+AD250</f>
        <v/>
      </c>
      <c r="AF250" s="13">
        <f>AI249</f>
        <v/>
      </c>
      <c r="AG250" s="13" t="n">
        <v>0</v>
      </c>
      <c r="AH250" s="13" t="n">
        <v>0</v>
      </c>
      <c r="AI250" s="13">
        <f>AF250+AG250+AH250</f>
        <v/>
      </c>
      <c r="AJ250" s="14" t="n">
        <v>0</v>
      </c>
      <c r="AK250" s="14" t="n">
        <v>50</v>
      </c>
      <c r="AL250" s="14" t="n">
        <v>0</v>
      </c>
      <c r="AM250" s="14">
        <f>AJ250+AK250+AL250</f>
        <v/>
      </c>
      <c r="AN250" s="14">
        <f>AN249+AM250</f>
        <v/>
      </c>
    </row>
    <row r="251">
      <c r="A251" s="8" t="n">
        <v>10</v>
      </c>
      <c r="B251" s="8" t="n">
        <v>8</v>
      </c>
      <c r="C251" s="8" t="n">
        <v>2</v>
      </c>
      <c r="D251" s="8" t="inlineStr">
        <is>
          <t>月卡收益 [月卡续费-30元]</t>
        </is>
      </c>
      <c r="E251" s="9">
        <f>K250</f>
        <v/>
      </c>
      <c r="F251" s="9" t="n">
        <v>1540</v>
      </c>
      <c r="G251" s="9" t="n">
        <v>0</v>
      </c>
      <c r="H251" s="9" t="n">
        <v>0</v>
      </c>
      <c r="I251" s="9" t="n">
        <v>0</v>
      </c>
      <c r="J251" s="9" t="n">
        <v>9120</v>
      </c>
      <c r="K251" s="9">
        <f>E251+F251+G251+H251+I251-J251</f>
        <v/>
      </c>
      <c r="L251" s="10">
        <f>Q250</f>
        <v/>
      </c>
      <c r="M251" s="10" t="n">
        <v>0</v>
      </c>
      <c r="N251" s="10" t="n">
        <v>6</v>
      </c>
      <c r="O251" s="10">
        <f>J251/160</f>
        <v/>
      </c>
      <c r="P251" s="10" t="n">
        <v>60</v>
      </c>
      <c r="Q251" s="10">
        <f>L251+M251+N251+O251-P251</f>
        <v/>
      </c>
      <c r="R251" s="11">
        <f>T250</f>
        <v/>
      </c>
      <c r="S251" s="11">
        <f>N(V251) + N(X251) + N(Z251)</f>
        <v/>
      </c>
      <c r="T251" s="11">
        <f>R251+P251-S251</f>
        <v/>
      </c>
      <c r="U251" s="11" t="inlineStr">
        <is>
          <t>是</t>
        </is>
      </c>
      <c r="V251" s="11" t="n">
        <v>51</v>
      </c>
      <c r="W251" s="11" t="inlineStr">
        <is>
          <t>否</t>
        </is>
      </c>
      <c r="X251" s="11" t="inlineStr">
        <is>
          <t>-</t>
        </is>
      </c>
      <c r="Y251" s="11" t="inlineStr">
        <is>
          <t>-</t>
        </is>
      </c>
      <c r="Z251" s="11" t="n">
        <v>0</v>
      </c>
      <c r="AA251" s="11" t="inlineStr">
        <is>
          <t>垫到60抽</t>
        </is>
      </c>
      <c r="AB251" s="12">
        <f>AE250</f>
        <v/>
      </c>
      <c r="AC251" s="12" t="n">
        <v>0</v>
      </c>
      <c r="AD251" s="12" t="n">
        <v>0</v>
      </c>
      <c r="AE251" s="12">
        <f>AB251+AC251+AD251</f>
        <v/>
      </c>
      <c r="AF251" s="13">
        <f>AI250</f>
        <v/>
      </c>
      <c r="AG251" s="13" t="n">
        <v>0</v>
      </c>
      <c r="AH251" s="13" t="n">
        <v>0</v>
      </c>
      <c r="AI251" s="13">
        <f>AF251+AG251+AH251</f>
        <v/>
      </c>
      <c r="AJ251" s="14" t="n">
        <v>30</v>
      </c>
      <c r="AK251" s="14" t="n">
        <v>0</v>
      </c>
      <c r="AL251" s="14" t="n">
        <v>0</v>
      </c>
      <c r="AM251" s="14">
        <f>AJ251+AK251+AL251</f>
        <v/>
      </c>
      <c r="AN251" s="14">
        <f>AN250+AM251</f>
        <v/>
      </c>
    </row>
    <row r="252">
      <c r="A252" s="8" t="n">
        <v>10</v>
      </c>
      <c r="B252" s="8" t="n">
        <v>9</v>
      </c>
      <c r="C252" s="8" t="n">
        <v>1</v>
      </c>
      <c r="D252" s="8" t="inlineStr">
        <is>
          <t>版本免费+义相逢 + 月卡收益</t>
        </is>
      </c>
      <c r="E252" s="9">
        <f>K251</f>
        <v/>
      </c>
      <c r="F252" s="9" t="n">
        <v>1540</v>
      </c>
      <c r="G252" s="9" t="n">
        <v>4800</v>
      </c>
      <c r="H252" s="9" t="n">
        <v>0</v>
      </c>
      <c r="I252" s="9" t="n">
        <v>0</v>
      </c>
      <c r="J252" s="9" t="n">
        <v>0</v>
      </c>
      <c r="K252" s="9">
        <f>E252+F252+G252+H252+I252-J252</f>
        <v/>
      </c>
      <c r="L252" s="10">
        <f>Q251</f>
        <v/>
      </c>
      <c r="M252" s="10" t="n">
        <v>85</v>
      </c>
      <c r="N252" s="10" t="n">
        <v>3</v>
      </c>
      <c r="O252" s="10">
        <f>J252/160</f>
        <v/>
      </c>
      <c r="P252" s="10" t="n">
        <v>40</v>
      </c>
      <c r="Q252" s="10">
        <f>L252+M252+N252+O252-P252</f>
        <v/>
      </c>
      <c r="R252" s="11">
        <f>T251</f>
        <v/>
      </c>
      <c r="S252" s="11">
        <f>N(V252) + N(X252) + N(Z252)</f>
        <v/>
      </c>
      <c r="T252" s="11">
        <f>R252+P252-S252</f>
        <v/>
      </c>
      <c r="U252" s="11" t="inlineStr">
        <is>
          <t>是</t>
        </is>
      </c>
      <c r="V252" s="11" t="n">
        <v>50</v>
      </c>
      <c r="W252" s="11" t="inlineStr">
        <is>
          <t>否</t>
        </is>
      </c>
      <c r="X252" s="11" t="inlineStr">
        <is>
          <t>-</t>
        </is>
      </c>
      <c r="Y252" s="11" t="inlineStr">
        <is>
          <t>-</t>
        </is>
      </c>
      <c r="Z252" s="11" t="n">
        <v>0</v>
      </c>
      <c r="AA252" s="11" t="inlineStr">
        <is>
          <t>无</t>
        </is>
      </c>
      <c r="AB252" s="12">
        <f>AE251</f>
        <v/>
      </c>
      <c r="AC252" s="12" t="n">
        <v>4</v>
      </c>
      <c r="AD252" s="12" t="n">
        <v>0</v>
      </c>
      <c r="AE252" s="12">
        <f>AB252+AC252+AD252</f>
        <v/>
      </c>
      <c r="AF252" s="13">
        <f>AI251</f>
        <v/>
      </c>
      <c r="AG252" s="13" t="n">
        <v>0</v>
      </c>
      <c r="AH252" s="13" t="n">
        <v>0</v>
      </c>
      <c r="AI252" s="13">
        <f>AF252+AG252+AH252</f>
        <v/>
      </c>
      <c r="AJ252" s="14" t="n">
        <v>0</v>
      </c>
      <c r="AK252" s="14" t="n">
        <v>50</v>
      </c>
      <c r="AL252" s="14" t="n">
        <v>0</v>
      </c>
      <c r="AM252" s="14">
        <f>AJ252+AK252+AL252</f>
        <v/>
      </c>
      <c r="AN252" s="14">
        <f>AN251+AM252</f>
        <v/>
      </c>
    </row>
    <row r="253">
      <c r="A253" s="8" t="n">
        <v>10</v>
      </c>
      <c r="B253" s="8" t="n">
        <v>9</v>
      </c>
      <c r="C253" s="8" t="n">
        <v>2</v>
      </c>
      <c r="D253" s="8" t="inlineStr">
        <is>
          <t>月卡收益 [月卡续费-30元]</t>
        </is>
      </c>
      <c r="E253" s="9">
        <f>K252</f>
        <v/>
      </c>
      <c r="F253" s="9" t="n">
        <v>1540</v>
      </c>
      <c r="G253" s="9" t="n">
        <v>0</v>
      </c>
      <c r="H253" s="9" t="n">
        <v>0</v>
      </c>
      <c r="I253" s="9" t="n">
        <v>0</v>
      </c>
      <c r="J253" s="9" t="n">
        <v>6080</v>
      </c>
      <c r="K253" s="9">
        <f>E253+F253+G253+H253+I253-J253</f>
        <v/>
      </c>
      <c r="L253" s="10">
        <f>Q252</f>
        <v/>
      </c>
      <c r="M253" s="10" t="n">
        <v>0</v>
      </c>
      <c r="N253" s="10" t="n">
        <v>11</v>
      </c>
      <c r="O253" s="10">
        <f>J253/160</f>
        <v/>
      </c>
      <c r="P253" s="10" t="n">
        <v>100</v>
      </c>
      <c r="Q253" s="10">
        <f>L253+M253+N253+O253-P253</f>
        <v/>
      </c>
      <c r="R253" s="11">
        <f>T252</f>
        <v/>
      </c>
      <c r="S253" s="11">
        <f>N(V253) + N(X253) + N(Z253)</f>
        <v/>
      </c>
      <c r="T253" s="11">
        <f>R253+P253-S253</f>
        <v/>
      </c>
      <c r="U253" s="11" t="inlineStr">
        <is>
          <t>是</t>
        </is>
      </c>
      <c r="V253" s="11" t="n">
        <v>52</v>
      </c>
      <c r="W253" s="11" t="inlineStr">
        <is>
          <t>是</t>
        </is>
      </c>
      <c r="X253" s="11" t="n">
        <v>51</v>
      </c>
      <c r="Y253" s="11" t="inlineStr">
        <is>
          <t>-</t>
        </is>
      </c>
      <c r="Z253" s="11" t="n">
        <v>0</v>
      </c>
      <c r="AA253" s="11" t="inlineStr">
        <is>
          <t>无</t>
        </is>
      </c>
      <c r="AB253" s="12">
        <f>AE252</f>
        <v/>
      </c>
      <c r="AC253" s="12" t="n">
        <v>0</v>
      </c>
      <c r="AD253" s="12" t="n">
        <v>0</v>
      </c>
      <c r="AE253" s="12">
        <f>AB253+AC253+AD253</f>
        <v/>
      </c>
      <c r="AF253" s="13">
        <f>AI252</f>
        <v/>
      </c>
      <c r="AG253" s="13" t="n">
        <v>0</v>
      </c>
      <c r="AH253" s="13" t="n">
        <v>0</v>
      </c>
      <c r="AI253" s="13">
        <f>AF253+AG253+AH253</f>
        <v/>
      </c>
      <c r="AJ253" s="14" t="n">
        <v>30</v>
      </c>
      <c r="AK253" s="14" t="n">
        <v>0</v>
      </c>
      <c r="AL253" s="14" t="n">
        <v>0</v>
      </c>
      <c r="AM253" s="14">
        <f>AJ253+AK253+AL253</f>
        <v/>
      </c>
      <c r="AN253" s="14">
        <f>AN252+AM253</f>
        <v/>
      </c>
    </row>
    <row r="254">
      <c r="A254" s="8" t="n">
        <v>10</v>
      </c>
      <c r="B254" s="8" t="n">
        <v>10</v>
      </c>
      <c r="C254" s="8" t="n">
        <v>1</v>
      </c>
      <c r="D254" s="8" t="inlineStr">
        <is>
          <t>版本免费+义相逢 + 月卡收益</t>
        </is>
      </c>
      <c r="E254" s="9">
        <f>K253</f>
        <v/>
      </c>
      <c r="F254" s="9" t="n">
        <v>1540</v>
      </c>
      <c r="G254" s="9" t="n">
        <v>4800</v>
      </c>
      <c r="H254" s="9" t="n">
        <v>0</v>
      </c>
      <c r="I254" s="9" t="n">
        <v>0</v>
      </c>
      <c r="J254" s="9" t="n">
        <v>2240</v>
      </c>
      <c r="K254" s="9">
        <f>E254+F254+G254+H254+I254-J254</f>
        <v/>
      </c>
      <c r="L254" s="10">
        <f>Q253</f>
        <v/>
      </c>
      <c r="M254" s="10" t="n">
        <v>85</v>
      </c>
      <c r="N254" s="10" t="n">
        <v>11</v>
      </c>
      <c r="O254" s="10">
        <f>J254/160</f>
        <v/>
      </c>
      <c r="P254" s="10" t="n">
        <v>110</v>
      </c>
      <c r="Q254" s="10">
        <f>L254+M254+N254+O254-P254</f>
        <v/>
      </c>
      <c r="R254" s="11">
        <f>T253</f>
        <v/>
      </c>
      <c r="S254" s="11">
        <f>N(V254) + N(X254) + N(Z254)</f>
        <v/>
      </c>
      <c r="T254" s="11">
        <f>R254+P254-S254</f>
        <v/>
      </c>
      <c r="U254" s="11" t="inlineStr">
        <is>
          <t>是</t>
        </is>
      </c>
      <c r="V254" s="11" t="n">
        <v>52</v>
      </c>
      <c r="W254" s="11" t="inlineStr">
        <is>
          <t>是</t>
        </is>
      </c>
      <c r="X254" s="11" t="n">
        <v>55</v>
      </c>
      <c r="Y254" s="11" t="inlineStr">
        <is>
          <t>-</t>
        </is>
      </c>
      <c r="Z254" s="11" t="n">
        <v>0</v>
      </c>
      <c r="AA254" s="11" t="inlineStr">
        <is>
          <t>无</t>
        </is>
      </c>
      <c r="AB254" s="12">
        <f>AE253</f>
        <v/>
      </c>
      <c r="AC254" s="12" t="n">
        <v>4</v>
      </c>
      <c r="AD254" s="12" t="n">
        <v>0</v>
      </c>
      <c r="AE254" s="12">
        <f>AB254+AC254+AD254</f>
        <v/>
      </c>
      <c r="AF254" s="13">
        <f>AI253</f>
        <v/>
      </c>
      <c r="AG254" s="13" t="n">
        <v>0</v>
      </c>
      <c r="AH254" s="13" t="n">
        <v>0</v>
      </c>
      <c r="AI254" s="13">
        <f>AF254+AG254+AH254</f>
        <v/>
      </c>
      <c r="AJ254" s="14" t="n">
        <v>0</v>
      </c>
      <c r="AK254" s="14" t="n">
        <v>50</v>
      </c>
      <c r="AL254" s="14" t="n">
        <v>0</v>
      </c>
      <c r="AM254" s="14">
        <f>AJ254+AK254+AL254</f>
        <v/>
      </c>
      <c r="AN254" s="14">
        <f>AN253+AM254</f>
        <v/>
      </c>
    </row>
    <row r="255">
      <c r="A255" s="8" t="n">
        <v>10</v>
      </c>
      <c r="B255" s="8" t="n">
        <v>10</v>
      </c>
      <c r="C255" s="8" t="n">
        <v>2</v>
      </c>
      <c r="D255" s="8" t="inlineStr">
        <is>
          <t>月卡收益 [月卡续费-30元]</t>
        </is>
      </c>
      <c r="E255" s="9">
        <f>K254</f>
        <v/>
      </c>
      <c r="F255" s="9" t="n">
        <v>1540</v>
      </c>
      <c r="G255" s="9" t="n">
        <v>0</v>
      </c>
      <c r="H255" s="9" t="n">
        <v>0</v>
      </c>
      <c r="I255" s="9" t="n">
        <v>0</v>
      </c>
      <c r="J255" s="9" t="n">
        <v>9120</v>
      </c>
      <c r="K255" s="9">
        <f>E255+F255+G255+H255+I255-J255</f>
        <v/>
      </c>
      <c r="L255" s="10">
        <f>Q254</f>
        <v/>
      </c>
      <c r="M255" s="10" t="n">
        <v>0</v>
      </c>
      <c r="N255" s="10" t="n">
        <v>6</v>
      </c>
      <c r="O255" s="10">
        <f>J255/160</f>
        <v/>
      </c>
      <c r="P255" s="10" t="n">
        <v>60</v>
      </c>
      <c r="Q255" s="10">
        <f>L255+M255+N255+O255-P255</f>
        <v/>
      </c>
      <c r="R255" s="11">
        <f>T254</f>
        <v/>
      </c>
      <c r="S255" s="11">
        <f>N(V255) + N(X255) + N(Z255)</f>
        <v/>
      </c>
      <c r="T255" s="11">
        <f>R255+P255-S255</f>
        <v/>
      </c>
      <c r="U255" s="11" t="inlineStr">
        <is>
          <t>是</t>
        </is>
      </c>
      <c r="V255" s="11" t="n">
        <v>50</v>
      </c>
      <c r="W255" s="11" t="inlineStr">
        <is>
          <t>否</t>
        </is>
      </c>
      <c r="X255" s="11" t="inlineStr">
        <is>
          <t>-</t>
        </is>
      </c>
      <c r="Y255" s="11" t="inlineStr">
        <is>
          <t>-</t>
        </is>
      </c>
      <c r="Z255" s="11" t="n">
        <v>0</v>
      </c>
      <c r="AA255" s="11" t="inlineStr">
        <is>
          <t>垫到60抽</t>
        </is>
      </c>
      <c r="AB255" s="12">
        <f>AE254</f>
        <v/>
      </c>
      <c r="AC255" s="12" t="n">
        <v>0</v>
      </c>
      <c r="AD255" s="12" t="n">
        <v>0</v>
      </c>
      <c r="AE255" s="12">
        <f>AB255+AC255+AD255</f>
        <v/>
      </c>
      <c r="AF255" s="13">
        <f>AI254</f>
        <v/>
      </c>
      <c r="AG255" s="13" t="n">
        <v>0</v>
      </c>
      <c r="AH255" s="13" t="n">
        <v>0</v>
      </c>
      <c r="AI255" s="13">
        <f>AF255+AG255+AH255</f>
        <v/>
      </c>
      <c r="AJ255" s="14" t="n">
        <v>30</v>
      </c>
      <c r="AK255" s="14" t="n">
        <v>0</v>
      </c>
      <c r="AL255" s="14" t="n">
        <v>0</v>
      </c>
      <c r="AM255" s="14">
        <f>AJ255+AK255+AL255</f>
        <v/>
      </c>
      <c r="AN255" s="14">
        <f>AN254+AM255</f>
        <v/>
      </c>
    </row>
    <row r="256">
      <c r="A256" s="8" t="n">
        <v>10</v>
      </c>
      <c r="B256" s="8" t="n">
        <v>11</v>
      </c>
      <c r="C256" s="8" t="n">
        <v>1</v>
      </c>
      <c r="D256" s="8" t="inlineStr">
        <is>
          <t>版本免费+义相逢 + 月卡收益</t>
        </is>
      </c>
      <c r="E256" s="9">
        <f>K255</f>
        <v/>
      </c>
      <c r="F256" s="9" t="n">
        <v>1540</v>
      </c>
      <c r="G256" s="9" t="n">
        <v>4800</v>
      </c>
      <c r="H256" s="9" t="n">
        <v>0</v>
      </c>
      <c r="I256" s="9" t="n">
        <v>0</v>
      </c>
      <c r="J256" s="9" t="n">
        <v>0</v>
      </c>
      <c r="K256" s="9">
        <f>E256+F256+G256+H256+I256-J256</f>
        <v/>
      </c>
      <c r="L256" s="10">
        <f>Q255</f>
        <v/>
      </c>
      <c r="M256" s="10" t="n">
        <v>85</v>
      </c>
      <c r="N256" s="10" t="n">
        <v>6</v>
      </c>
      <c r="O256" s="10">
        <f>J256/160</f>
        <v/>
      </c>
      <c r="P256" s="10" t="n">
        <v>70</v>
      </c>
      <c r="Q256" s="10">
        <f>L256+M256+N256+O256-P256</f>
        <v/>
      </c>
      <c r="R256" s="11">
        <f>T255</f>
        <v/>
      </c>
      <c r="S256" s="11">
        <f>N(V256) + N(X256) + N(Z256)</f>
        <v/>
      </c>
      <c r="T256" s="11">
        <f>R256+P256-S256</f>
        <v/>
      </c>
      <c r="U256" s="11" t="inlineStr">
        <is>
          <t>是</t>
        </is>
      </c>
      <c r="V256" s="11" t="n">
        <v>48</v>
      </c>
      <c r="W256" s="11" t="inlineStr">
        <is>
          <t>是</t>
        </is>
      </c>
      <c r="X256" s="11" t="n">
        <v>37</v>
      </c>
      <c r="Y256" s="11" t="inlineStr">
        <is>
          <t>-</t>
        </is>
      </c>
      <c r="Z256" s="11" t="n">
        <v>0</v>
      </c>
      <c r="AA256" s="11" t="inlineStr">
        <is>
          <t>无</t>
        </is>
      </c>
      <c r="AB256" s="12">
        <f>AE255</f>
        <v/>
      </c>
      <c r="AC256" s="12" t="n">
        <v>4</v>
      </c>
      <c r="AD256" s="12" t="n">
        <v>0</v>
      </c>
      <c r="AE256" s="12">
        <f>AB256+AC256+AD256</f>
        <v/>
      </c>
      <c r="AF256" s="13">
        <f>AI255</f>
        <v/>
      </c>
      <c r="AG256" s="13" t="n">
        <v>0</v>
      </c>
      <c r="AH256" s="13" t="n">
        <v>0</v>
      </c>
      <c r="AI256" s="13">
        <f>AF256+AG256+AH256</f>
        <v/>
      </c>
      <c r="AJ256" s="14" t="n">
        <v>0</v>
      </c>
      <c r="AK256" s="14" t="n">
        <v>50</v>
      </c>
      <c r="AL256" s="14" t="n">
        <v>0</v>
      </c>
      <c r="AM256" s="14">
        <f>AJ256+AK256+AL256</f>
        <v/>
      </c>
      <c r="AN256" s="14">
        <f>AN255+AM256</f>
        <v/>
      </c>
    </row>
    <row r="257">
      <c r="A257" s="8" t="n">
        <v>10</v>
      </c>
      <c r="B257" s="8" t="n">
        <v>11</v>
      </c>
      <c r="C257" s="8" t="n">
        <v>2</v>
      </c>
      <c r="D257" s="8" t="inlineStr">
        <is>
          <t>月卡收益</t>
        </is>
      </c>
      <c r="E257" s="9">
        <f>K256</f>
        <v/>
      </c>
      <c r="F257" s="9" t="n">
        <v>1540</v>
      </c>
      <c r="G257" s="9" t="n">
        <v>0</v>
      </c>
      <c r="H257" s="9" t="n">
        <v>0</v>
      </c>
      <c r="I257" s="9" t="n">
        <v>0</v>
      </c>
      <c r="J257" s="9" t="n">
        <v>5280</v>
      </c>
      <c r="K257" s="9">
        <f>E257+F257+G257+H257+I257-J257</f>
        <v/>
      </c>
      <c r="L257" s="10">
        <f>Q256</f>
        <v/>
      </c>
      <c r="M257" s="10" t="n">
        <v>0</v>
      </c>
      <c r="N257" s="10" t="n">
        <v>6</v>
      </c>
      <c r="O257" s="10">
        <f>J257/160</f>
        <v/>
      </c>
      <c r="P257" s="10" t="n">
        <v>60</v>
      </c>
      <c r="Q257" s="10">
        <f>L257+M257+N257+O257-P257</f>
        <v/>
      </c>
      <c r="R257" s="11">
        <f>T256</f>
        <v/>
      </c>
      <c r="S257" s="11">
        <f>N(V257) + N(X257) + N(Z257)</f>
        <v/>
      </c>
      <c r="T257" s="11">
        <f>R257+P257-S257</f>
        <v/>
      </c>
      <c r="U257" s="11" t="inlineStr">
        <is>
          <t>是</t>
        </is>
      </c>
      <c r="V257" s="11" t="n">
        <v>52</v>
      </c>
      <c r="W257" s="11" t="inlineStr">
        <is>
          <t>否</t>
        </is>
      </c>
      <c r="X257" s="11" t="inlineStr">
        <is>
          <t>-</t>
        </is>
      </c>
      <c r="Y257" s="11" t="inlineStr">
        <is>
          <t>-</t>
        </is>
      </c>
      <c r="Z257" s="11" t="n">
        <v>0</v>
      </c>
      <c r="AA257" s="11" t="inlineStr">
        <is>
          <t>无</t>
        </is>
      </c>
      <c r="AB257" s="12">
        <f>AE256</f>
        <v/>
      </c>
      <c r="AC257" s="12" t="n">
        <v>0</v>
      </c>
      <c r="AD257" s="12" t="n">
        <v>0</v>
      </c>
      <c r="AE257" s="12">
        <f>AB257+AC257+AD257</f>
        <v/>
      </c>
      <c r="AF257" s="13">
        <f>AI256</f>
        <v/>
      </c>
      <c r="AG257" s="13" t="n">
        <v>0</v>
      </c>
      <c r="AH257" s="13" t="n">
        <v>0</v>
      </c>
      <c r="AI257" s="13">
        <f>AF257+AG257+AH257</f>
        <v/>
      </c>
      <c r="AJ257" s="14" t="n">
        <v>0</v>
      </c>
      <c r="AK257" s="14" t="n">
        <v>0</v>
      </c>
      <c r="AL257" s="14" t="n">
        <v>0</v>
      </c>
      <c r="AM257" s="14">
        <f>AJ257+AK257+AL257</f>
        <v/>
      </c>
      <c r="AN257" s="14">
        <f>AN256+AM257</f>
        <v/>
      </c>
    </row>
    <row r="258">
      <c r="A258" s="8" t="n">
        <v>10</v>
      </c>
      <c r="B258" s="8" t="n">
        <v>12</v>
      </c>
      <c r="C258" s="8" t="n">
        <v>1</v>
      </c>
      <c r="D258" s="8" t="inlineStr">
        <is>
          <t>版本免费+义相逢 + 月卡收益 [月卡续费-30元]</t>
        </is>
      </c>
      <c r="E258" s="9">
        <f>K257</f>
        <v/>
      </c>
      <c r="F258" s="9" t="n">
        <v>1540</v>
      </c>
      <c r="G258" s="9" t="n">
        <v>4800</v>
      </c>
      <c r="H258" s="9" t="n">
        <v>0</v>
      </c>
      <c r="I258" s="9" t="n">
        <v>0</v>
      </c>
      <c r="J258" s="9" t="n">
        <v>0</v>
      </c>
      <c r="K258" s="9">
        <f>E258+F258+G258+H258+I258-J258</f>
        <v/>
      </c>
      <c r="L258" s="10">
        <f>Q257</f>
        <v/>
      </c>
      <c r="M258" s="10" t="n">
        <v>85</v>
      </c>
      <c r="N258" s="10" t="n">
        <v>3</v>
      </c>
      <c r="O258" s="10">
        <f>J258/160</f>
        <v/>
      </c>
      <c r="P258" s="10" t="n">
        <v>40</v>
      </c>
      <c r="Q258" s="10">
        <f>L258+M258+N258+O258-P258</f>
        <v/>
      </c>
      <c r="R258" s="11">
        <f>T257</f>
        <v/>
      </c>
      <c r="S258" s="11">
        <f>N(V258) + N(X258) + N(Z258)</f>
        <v/>
      </c>
      <c r="T258" s="11">
        <f>R258+P258-S258</f>
        <v/>
      </c>
      <c r="U258" s="11" t="inlineStr">
        <is>
          <t>是</t>
        </is>
      </c>
      <c r="V258" s="11" t="n">
        <v>49</v>
      </c>
      <c r="W258" s="11" t="inlineStr">
        <is>
          <t>否</t>
        </is>
      </c>
      <c r="X258" s="11" t="inlineStr">
        <is>
          <t>-</t>
        </is>
      </c>
      <c r="Y258" s="11" t="inlineStr">
        <is>
          <t>-</t>
        </is>
      </c>
      <c r="Z258" s="11" t="n">
        <v>0</v>
      </c>
      <c r="AA258" s="11" t="inlineStr">
        <is>
          <t>无</t>
        </is>
      </c>
      <c r="AB258" s="12">
        <f>AE257</f>
        <v/>
      </c>
      <c r="AC258" s="12" t="n">
        <v>4</v>
      </c>
      <c r="AD258" s="12" t="n">
        <v>0</v>
      </c>
      <c r="AE258" s="12">
        <f>AB258+AC258+AD258</f>
        <v/>
      </c>
      <c r="AF258" s="13">
        <f>AI257</f>
        <v/>
      </c>
      <c r="AG258" s="13" t="n">
        <v>0</v>
      </c>
      <c r="AH258" s="13" t="n">
        <v>0</v>
      </c>
      <c r="AI258" s="13">
        <f>AF258+AG258+AH258</f>
        <v/>
      </c>
      <c r="AJ258" s="14" t="n">
        <v>30</v>
      </c>
      <c r="AK258" s="14" t="n">
        <v>50</v>
      </c>
      <c r="AL258" s="14" t="n">
        <v>0</v>
      </c>
      <c r="AM258" s="14">
        <f>AJ258+AK258+AL258</f>
        <v/>
      </c>
      <c r="AN258" s="14">
        <f>AN257+AM258</f>
        <v/>
      </c>
    </row>
    <row r="259">
      <c r="A259" s="8" t="n">
        <v>10</v>
      </c>
      <c r="B259" s="8" t="n">
        <v>12</v>
      </c>
      <c r="C259" s="8" t="n">
        <v>2</v>
      </c>
      <c r="D259" s="8" t="inlineStr">
        <is>
          <t>月卡收益</t>
        </is>
      </c>
      <c r="E259" s="9">
        <f>K258</f>
        <v/>
      </c>
      <c r="F259" s="9" t="n">
        <v>1540</v>
      </c>
      <c r="G259" s="9" t="n">
        <v>0</v>
      </c>
      <c r="H259" s="9" t="n">
        <v>0</v>
      </c>
      <c r="I259" s="9" t="n">
        <v>0</v>
      </c>
      <c r="J259" s="9" t="n">
        <v>6080</v>
      </c>
      <c r="K259" s="9">
        <f>E259+F259+G259+H259+I259-J259</f>
        <v/>
      </c>
      <c r="L259" s="10">
        <f>Q258</f>
        <v/>
      </c>
      <c r="M259" s="10" t="n">
        <v>0</v>
      </c>
      <c r="N259" s="10" t="n">
        <v>11</v>
      </c>
      <c r="O259" s="10">
        <f>J259/160</f>
        <v/>
      </c>
      <c r="P259" s="10" t="n">
        <v>100</v>
      </c>
      <c r="Q259" s="10">
        <f>L259+M259+N259+O259-P259</f>
        <v/>
      </c>
      <c r="R259" s="11">
        <f>T258</f>
        <v/>
      </c>
      <c r="S259" s="11">
        <f>N(V259) + N(X259) + N(Z259)</f>
        <v/>
      </c>
      <c r="T259" s="11">
        <f>R259+P259-S259</f>
        <v/>
      </c>
      <c r="U259" s="11" t="inlineStr">
        <is>
          <t>是</t>
        </is>
      </c>
      <c r="V259" s="11" t="n">
        <v>47</v>
      </c>
      <c r="W259" s="11" t="inlineStr">
        <is>
          <t>是</t>
        </is>
      </c>
      <c r="X259" s="11" t="n">
        <v>51</v>
      </c>
      <c r="Y259" s="11" t="inlineStr">
        <is>
          <t>-</t>
        </is>
      </c>
      <c r="Z259" s="11" t="n">
        <v>0</v>
      </c>
      <c r="AA259" s="11" t="inlineStr">
        <is>
          <t>无</t>
        </is>
      </c>
      <c r="AB259" s="12">
        <f>AE258</f>
        <v/>
      </c>
      <c r="AC259" s="12" t="n">
        <v>0</v>
      </c>
      <c r="AD259" s="12" t="n">
        <v>0</v>
      </c>
      <c r="AE259" s="12">
        <f>AB259+AC259+AD259</f>
        <v/>
      </c>
      <c r="AF259" s="13">
        <f>AI258</f>
        <v/>
      </c>
      <c r="AG259" s="13" t="n">
        <v>0</v>
      </c>
      <c r="AH259" s="13" t="n">
        <v>0</v>
      </c>
      <c r="AI259" s="13">
        <f>AF259+AG259+AH259</f>
        <v/>
      </c>
      <c r="AJ259" s="14" t="n">
        <v>0</v>
      </c>
      <c r="AK259" s="14" t="n">
        <v>0</v>
      </c>
      <c r="AL259" s="14" t="n">
        <v>0</v>
      </c>
      <c r="AM259" s="14">
        <f>AJ259+AK259+AL259</f>
        <v/>
      </c>
      <c r="AN259" s="14">
        <f>AN258+AM259</f>
        <v/>
      </c>
    </row>
    <row r="260">
      <c r="A260" s="8" t="n">
        <v>10</v>
      </c>
      <c r="B260" s="8" t="n">
        <v>13</v>
      </c>
      <c r="C260" s="8" t="n">
        <v>1</v>
      </c>
      <c r="D260" s="8" t="inlineStr">
        <is>
          <t>版本免费+义相逢 + 月卡收益 [月卡续费-30元]</t>
        </is>
      </c>
      <c r="E260" s="9">
        <f>K259</f>
        <v/>
      </c>
      <c r="F260" s="9" t="n">
        <v>1540</v>
      </c>
      <c r="G260" s="9" t="n">
        <v>4800</v>
      </c>
      <c r="H260" s="9" t="n">
        <v>0</v>
      </c>
      <c r="I260" s="9" t="n">
        <v>0</v>
      </c>
      <c r="J260" s="9" t="n">
        <v>640</v>
      </c>
      <c r="K260" s="9">
        <f>E260+F260+G260+H260+I260-J260</f>
        <v/>
      </c>
      <c r="L260" s="10">
        <f>Q259</f>
        <v/>
      </c>
      <c r="M260" s="10" t="n">
        <v>85</v>
      </c>
      <c r="N260" s="10" t="n">
        <v>11</v>
      </c>
      <c r="O260" s="10">
        <f>J260/160</f>
        <v/>
      </c>
      <c r="P260" s="10" t="n">
        <v>100</v>
      </c>
      <c r="Q260" s="10">
        <f>L260+M260+N260+O260-P260</f>
        <v/>
      </c>
      <c r="R260" s="11">
        <f>T259</f>
        <v/>
      </c>
      <c r="S260" s="11">
        <f>N(V260) + N(X260) + N(Z260)</f>
        <v/>
      </c>
      <c r="T260" s="11">
        <f>R260+P260-S260</f>
        <v/>
      </c>
      <c r="U260" s="11" t="inlineStr">
        <is>
          <t>是</t>
        </is>
      </c>
      <c r="V260" s="11" t="n">
        <v>46</v>
      </c>
      <c r="W260" s="11" t="inlineStr">
        <is>
          <t>是</t>
        </is>
      </c>
      <c r="X260" s="11" t="n">
        <v>52</v>
      </c>
      <c r="Y260" s="11" t="inlineStr">
        <is>
          <t>-</t>
        </is>
      </c>
      <c r="Z260" s="11" t="n">
        <v>0</v>
      </c>
      <c r="AA260" s="11" t="inlineStr">
        <is>
          <t>无</t>
        </is>
      </c>
      <c r="AB260" s="12">
        <f>AE259</f>
        <v/>
      </c>
      <c r="AC260" s="12" t="n">
        <v>4</v>
      </c>
      <c r="AD260" s="12" t="n">
        <v>0</v>
      </c>
      <c r="AE260" s="12">
        <f>AB260+AC260+AD260</f>
        <v/>
      </c>
      <c r="AF260" s="13">
        <f>AI259</f>
        <v/>
      </c>
      <c r="AG260" s="13" t="n">
        <v>0</v>
      </c>
      <c r="AH260" s="13" t="n">
        <v>0</v>
      </c>
      <c r="AI260" s="13">
        <f>AF260+AG260+AH260</f>
        <v/>
      </c>
      <c r="AJ260" s="14" t="n">
        <v>30</v>
      </c>
      <c r="AK260" s="14" t="n">
        <v>50</v>
      </c>
      <c r="AL260" s="14" t="n">
        <v>0</v>
      </c>
      <c r="AM260" s="14">
        <f>AJ260+AK260+AL260</f>
        <v/>
      </c>
      <c r="AN260" s="14">
        <f>AN259+AM260</f>
        <v/>
      </c>
    </row>
    <row r="261">
      <c r="A261" s="8" t="n">
        <v>10</v>
      </c>
      <c r="B261" s="8" t="n">
        <v>13</v>
      </c>
      <c r="C261" s="8" t="n">
        <v>2</v>
      </c>
      <c r="D261" s="8" t="inlineStr">
        <is>
          <t>月卡收益</t>
        </is>
      </c>
      <c r="E261" s="9">
        <f>K260</f>
        <v/>
      </c>
      <c r="F261" s="9" t="n">
        <v>1540</v>
      </c>
      <c r="G261" s="9" t="n">
        <v>0</v>
      </c>
      <c r="H261" s="9" t="n">
        <v>0</v>
      </c>
      <c r="I261" s="9" t="n">
        <v>0</v>
      </c>
      <c r="J261" s="9" t="n">
        <v>9120</v>
      </c>
      <c r="K261" s="9">
        <f>E261+F261+G261+H261+I261-J261</f>
        <v/>
      </c>
      <c r="L261" s="10">
        <f>Q260</f>
        <v/>
      </c>
      <c r="M261" s="10" t="n">
        <v>0</v>
      </c>
      <c r="N261" s="10" t="n">
        <v>6</v>
      </c>
      <c r="O261" s="10">
        <f>J261/160</f>
        <v/>
      </c>
      <c r="P261" s="10" t="n">
        <v>60</v>
      </c>
      <c r="Q261" s="10">
        <f>L261+M261+N261+O261-P261</f>
        <v/>
      </c>
      <c r="R261" s="11">
        <f>T260</f>
        <v/>
      </c>
      <c r="S261" s="11">
        <f>N(V261) + N(X261) + N(Z261)</f>
        <v/>
      </c>
      <c r="T261" s="11">
        <f>R261+P261-S261</f>
        <v/>
      </c>
      <c r="U261" s="11" t="inlineStr">
        <is>
          <t>是</t>
        </is>
      </c>
      <c r="V261" s="11" t="n">
        <v>51</v>
      </c>
      <c r="W261" s="11" t="inlineStr">
        <is>
          <t>否</t>
        </is>
      </c>
      <c r="X261" s="11" t="inlineStr">
        <is>
          <t>-</t>
        </is>
      </c>
      <c r="Y261" s="11" t="inlineStr">
        <is>
          <t>-</t>
        </is>
      </c>
      <c r="Z261" s="11" t="n">
        <v>0</v>
      </c>
      <c r="AA261" s="11" t="inlineStr">
        <is>
          <t>垫到60抽</t>
        </is>
      </c>
      <c r="AB261" s="12">
        <f>AE260</f>
        <v/>
      </c>
      <c r="AC261" s="12" t="n">
        <v>0</v>
      </c>
      <c r="AD261" s="12" t="n">
        <v>0</v>
      </c>
      <c r="AE261" s="12">
        <f>AB261+AC261+AD261</f>
        <v/>
      </c>
      <c r="AF261" s="13">
        <f>AI260</f>
        <v/>
      </c>
      <c r="AG261" s="13" t="n">
        <v>0</v>
      </c>
      <c r="AH261" s="13" t="n">
        <v>0</v>
      </c>
      <c r="AI261" s="13">
        <f>AF261+AG261+AH261</f>
        <v/>
      </c>
      <c r="AJ261" s="14" t="n">
        <v>0</v>
      </c>
      <c r="AK261" s="14" t="n">
        <v>0</v>
      </c>
      <c r="AL261" s="14" t="n">
        <v>0</v>
      </c>
      <c r="AM261" s="14">
        <f>AJ261+AK261+AL261</f>
        <v/>
      </c>
      <c r="AN261" s="14">
        <f>AN260+AM261</f>
        <v/>
      </c>
    </row>
    <row r="262">
      <c r="A262" s="8" t="n">
        <v>11</v>
      </c>
      <c r="B262" s="8" t="n">
        <v>1</v>
      </c>
      <c r="C262" s="8" t="n">
        <v>1</v>
      </c>
      <c r="D262" s="8" t="inlineStr">
        <is>
          <t>版本免费+义相逢 + 月卡收益 [月卡续费-30元]</t>
        </is>
      </c>
      <c r="E262" s="9" t="n">
        <v>13200</v>
      </c>
      <c r="F262" s="9" t="n">
        <v>1540</v>
      </c>
      <c r="G262" s="9" t="n">
        <v>4800</v>
      </c>
      <c r="H262" s="9" t="n">
        <v>0</v>
      </c>
      <c r="I262" s="9" t="n">
        <v>0</v>
      </c>
      <c r="J262" s="9" t="n">
        <v>0</v>
      </c>
      <c r="K262" s="9">
        <f>E262+F262+G262+H262+I262-J262</f>
        <v/>
      </c>
      <c r="L262" s="10" t="n">
        <v>3</v>
      </c>
      <c r="M262" s="10" t="n">
        <v>85</v>
      </c>
      <c r="N262" s="10" t="n">
        <v>11</v>
      </c>
      <c r="O262" s="10">
        <f>J262/160</f>
        <v/>
      </c>
      <c r="P262" s="10" t="n">
        <v>90</v>
      </c>
      <c r="Q262" s="10">
        <f>L262+M262+N262+O262-P262</f>
        <v/>
      </c>
      <c r="R262" s="11" t="n">
        <v>13</v>
      </c>
      <c r="S262" s="11">
        <f>N(V262) + N(X262) + N(Z262)</f>
        <v/>
      </c>
      <c r="T262" s="11">
        <f>R262+P262-S262</f>
        <v/>
      </c>
      <c r="U262" s="11" t="inlineStr">
        <is>
          <t>是</t>
        </is>
      </c>
      <c r="V262" s="11" t="n">
        <v>49</v>
      </c>
      <c r="W262" s="11" t="inlineStr">
        <is>
          <t>是</t>
        </is>
      </c>
      <c r="X262" s="11" t="n">
        <v>53</v>
      </c>
      <c r="Y262" s="11" t="inlineStr">
        <is>
          <t>-</t>
        </is>
      </c>
      <c r="Z262" s="11" t="n">
        <v>0</v>
      </c>
      <c r="AA262" s="11" t="inlineStr">
        <is>
          <t>无</t>
        </is>
      </c>
      <c r="AB262" s="12" t="n">
        <v>535</v>
      </c>
      <c r="AC262" s="12" t="n">
        <v>4</v>
      </c>
      <c r="AD262" s="12" t="n">
        <v>0</v>
      </c>
      <c r="AE262" s="12">
        <f>AB262+AC262+AD262</f>
        <v/>
      </c>
      <c r="AF262" s="13" t="n">
        <v>75000</v>
      </c>
      <c r="AG262" s="13" t="n">
        <v>0</v>
      </c>
      <c r="AH262" s="13" t="n">
        <v>0</v>
      </c>
      <c r="AI262" s="13">
        <f>AF262+AG262+AH262</f>
        <v/>
      </c>
      <c r="AJ262" s="14" t="n">
        <v>30</v>
      </c>
      <c r="AK262" s="14" t="n">
        <v>50</v>
      </c>
      <c r="AL262" s="14" t="n">
        <v>0</v>
      </c>
      <c r="AM262" s="14">
        <f>AJ262+AK262+AL262</f>
        <v/>
      </c>
      <c r="AN262" s="14">
        <f>AM262</f>
        <v/>
      </c>
    </row>
    <row r="263">
      <c r="A263" s="8" t="n">
        <v>11</v>
      </c>
      <c r="B263" s="8" t="n">
        <v>1</v>
      </c>
      <c r="C263" s="8" t="n">
        <v>2</v>
      </c>
      <c r="D263" s="8" t="inlineStr">
        <is>
          <t>月卡收益</t>
        </is>
      </c>
      <c r="E263" s="9">
        <f>K262</f>
        <v/>
      </c>
      <c r="F263" s="9" t="n">
        <v>1540</v>
      </c>
      <c r="G263" s="9" t="n">
        <v>0</v>
      </c>
      <c r="H263" s="9" t="n">
        <v>0</v>
      </c>
      <c r="I263" s="9" t="n">
        <v>0</v>
      </c>
      <c r="J263" s="9" t="n">
        <v>12800</v>
      </c>
      <c r="K263" s="9">
        <f>E263+F263+G263+H263+I263-J263</f>
        <v/>
      </c>
      <c r="L263" s="10">
        <f>Q262</f>
        <v/>
      </c>
      <c r="M263" s="10" t="n">
        <v>0</v>
      </c>
      <c r="N263" s="10" t="n">
        <v>11</v>
      </c>
      <c r="O263" s="10">
        <f>J263/160</f>
        <v/>
      </c>
      <c r="P263" s="10" t="n">
        <v>100</v>
      </c>
      <c r="Q263" s="10">
        <f>L263+M263+N263+O263-P263</f>
        <v/>
      </c>
      <c r="R263" s="11">
        <f>T262</f>
        <v/>
      </c>
      <c r="S263" s="11">
        <f>N(V263) + N(X263) + N(Z263)</f>
        <v/>
      </c>
      <c r="T263" s="11">
        <f>R263+P263-S263</f>
        <v/>
      </c>
      <c r="U263" s="11" t="inlineStr">
        <is>
          <t>是</t>
        </is>
      </c>
      <c r="V263" s="11" t="n">
        <v>53</v>
      </c>
      <c r="W263" s="11" t="inlineStr">
        <is>
          <t>是</t>
        </is>
      </c>
      <c r="X263" s="11" t="n">
        <v>46</v>
      </c>
      <c r="Y263" s="11" t="inlineStr">
        <is>
          <t>-</t>
        </is>
      </c>
      <c r="Z263" s="11" t="n">
        <v>0</v>
      </c>
      <c r="AA263" s="11" t="inlineStr">
        <is>
          <t>无</t>
        </is>
      </c>
      <c r="AB263" s="12">
        <f>AE262</f>
        <v/>
      </c>
      <c r="AC263" s="12" t="n">
        <v>0</v>
      </c>
      <c r="AD263" s="12" t="n">
        <v>0</v>
      </c>
      <c r="AE263" s="12">
        <f>AB263+AC263+AD263</f>
        <v/>
      </c>
      <c r="AF263" s="13">
        <f>AI262</f>
        <v/>
      </c>
      <c r="AG263" s="13" t="n">
        <v>0</v>
      </c>
      <c r="AH263" s="13" t="n">
        <v>0</v>
      </c>
      <c r="AI263" s="13">
        <f>AF263+AG263+AH263</f>
        <v/>
      </c>
      <c r="AJ263" s="14" t="n">
        <v>0</v>
      </c>
      <c r="AK263" s="14" t="n">
        <v>0</v>
      </c>
      <c r="AL263" s="14" t="n">
        <v>0</v>
      </c>
      <c r="AM263" s="14">
        <f>AJ263+AK263+AL263</f>
        <v/>
      </c>
      <c r="AN263" s="14">
        <f>AN262+AM263</f>
        <v/>
      </c>
    </row>
    <row r="264">
      <c r="A264" s="8" t="n">
        <v>11</v>
      </c>
      <c r="B264" s="8" t="n">
        <v>2</v>
      </c>
      <c r="C264" s="8" t="n">
        <v>1</v>
      </c>
      <c r="D264" s="8" t="inlineStr">
        <is>
          <t>版本免费+义相逢 + 月卡收益 [月卡续费-30元]</t>
        </is>
      </c>
      <c r="E264" s="9">
        <f>K263</f>
        <v/>
      </c>
      <c r="F264" s="9" t="n">
        <v>1540</v>
      </c>
      <c r="G264" s="9" t="n">
        <v>4800</v>
      </c>
      <c r="H264" s="9" t="n">
        <v>0</v>
      </c>
      <c r="I264" s="9" t="n">
        <v>0</v>
      </c>
      <c r="J264" s="9" t="n">
        <v>640</v>
      </c>
      <c r="K264" s="9">
        <f>E264+F264+G264+H264+I264-J264</f>
        <v/>
      </c>
      <c r="L264" s="10">
        <f>Q263</f>
        <v/>
      </c>
      <c r="M264" s="10" t="n">
        <v>85</v>
      </c>
      <c r="N264" s="10" t="n">
        <v>11</v>
      </c>
      <c r="O264" s="10">
        <f>J264/160</f>
        <v/>
      </c>
      <c r="P264" s="10" t="n">
        <v>100</v>
      </c>
      <c r="Q264" s="10">
        <f>L264+M264+N264+O264-P264</f>
        <v/>
      </c>
      <c r="R264" s="11">
        <f>T263</f>
        <v/>
      </c>
      <c r="S264" s="11">
        <f>N(V264) + N(X264) + N(Z264)</f>
        <v/>
      </c>
      <c r="T264" s="11">
        <f>R264+P264-S264</f>
        <v/>
      </c>
      <c r="U264" s="11" t="inlineStr">
        <is>
          <t>是</t>
        </is>
      </c>
      <c r="V264" s="11" t="n">
        <v>50</v>
      </c>
      <c r="W264" s="11" t="inlineStr">
        <is>
          <t>是</t>
        </is>
      </c>
      <c r="X264" s="11" t="n">
        <v>46</v>
      </c>
      <c r="Y264" s="11" t="inlineStr">
        <is>
          <t>-</t>
        </is>
      </c>
      <c r="Z264" s="11" t="n">
        <v>0</v>
      </c>
      <c r="AA264" s="11" t="inlineStr">
        <is>
          <t>无</t>
        </is>
      </c>
      <c r="AB264" s="12">
        <f>AE263</f>
        <v/>
      </c>
      <c r="AC264" s="12" t="n">
        <v>4</v>
      </c>
      <c r="AD264" s="12" t="n">
        <v>0</v>
      </c>
      <c r="AE264" s="12">
        <f>AB264+AC264+AD264</f>
        <v/>
      </c>
      <c r="AF264" s="13">
        <f>AI263</f>
        <v/>
      </c>
      <c r="AG264" s="13" t="n">
        <v>0</v>
      </c>
      <c r="AH264" s="13" t="n">
        <v>0</v>
      </c>
      <c r="AI264" s="13">
        <f>AF264+AG264+AH264</f>
        <v/>
      </c>
      <c r="AJ264" s="14" t="n">
        <v>30</v>
      </c>
      <c r="AK264" s="14" t="n">
        <v>50</v>
      </c>
      <c r="AL264" s="14" t="n">
        <v>0</v>
      </c>
      <c r="AM264" s="14">
        <f>AJ264+AK264+AL264</f>
        <v/>
      </c>
      <c r="AN264" s="14">
        <f>AN263+AM264</f>
        <v/>
      </c>
    </row>
    <row r="265">
      <c r="A265" s="8" t="n">
        <v>11</v>
      </c>
      <c r="B265" s="8" t="n">
        <v>2</v>
      </c>
      <c r="C265" s="8" t="n">
        <v>2</v>
      </c>
      <c r="D265" s="8" t="inlineStr">
        <is>
          <t>月卡收益</t>
        </is>
      </c>
      <c r="E265" s="9">
        <f>K264</f>
        <v/>
      </c>
      <c r="F265" s="9" t="n">
        <v>1540</v>
      </c>
      <c r="G265" s="9" t="n">
        <v>0</v>
      </c>
      <c r="H265" s="9" t="n">
        <v>0</v>
      </c>
      <c r="I265" s="9" t="n">
        <v>0</v>
      </c>
      <c r="J265" s="9" t="n">
        <v>9120</v>
      </c>
      <c r="K265" s="9">
        <f>E265+F265+G265+H265+I265-J265</f>
        <v/>
      </c>
      <c r="L265" s="10">
        <f>Q264</f>
        <v/>
      </c>
      <c r="M265" s="10" t="n">
        <v>0</v>
      </c>
      <c r="N265" s="10" t="n">
        <v>6</v>
      </c>
      <c r="O265" s="10">
        <f>J265/160</f>
        <v/>
      </c>
      <c r="P265" s="10" t="n">
        <v>60</v>
      </c>
      <c r="Q265" s="10">
        <f>L265+M265+N265+O265-P265</f>
        <v/>
      </c>
      <c r="R265" s="11">
        <f>T264</f>
        <v/>
      </c>
      <c r="S265" s="11">
        <f>N(V265) + N(X265) + N(Z265)</f>
        <v/>
      </c>
      <c r="T265" s="11">
        <f>R265+P265-S265</f>
        <v/>
      </c>
      <c r="U265" s="11" t="inlineStr">
        <is>
          <t>是</t>
        </is>
      </c>
      <c r="V265" s="11" t="n">
        <v>47</v>
      </c>
      <c r="W265" s="11" t="inlineStr">
        <is>
          <t>否</t>
        </is>
      </c>
      <c r="X265" s="11" t="inlineStr">
        <is>
          <t>-</t>
        </is>
      </c>
      <c r="Y265" s="11" t="inlineStr">
        <is>
          <t>-</t>
        </is>
      </c>
      <c r="Z265" s="11" t="n">
        <v>0</v>
      </c>
      <c r="AA265" s="11" t="inlineStr">
        <is>
          <t>垫到60抽</t>
        </is>
      </c>
      <c r="AB265" s="12">
        <f>AE264</f>
        <v/>
      </c>
      <c r="AC265" s="12" t="n">
        <v>0</v>
      </c>
      <c r="AD265" s="12" t="n">
        <v>0</v>
      </c>
      <c r="AE265" s="12">
        <f>AB265+AC265+AD265</f>
        <v/>
      </c>
      <c r="AF265" s="13">
        <f>AI264</f>
        <v/>
      </c>
      <c r="AG265" s="13" t="n">
        <v>0</v>
      </c>
      <c r="AH265" s="13" t="n">
        <v>0</v>
      </c>
      <c r="AI265" s="13">
        <f>AF265+AG265+AH265</f>
        <v/>
      </c>
      <c r="AJ265" s="14" t="n">
        <v>0</v>
      </c>
      <c r="AK265" s="14" t="n">
        <v>0</v>
      </c>
      <c r="AL265" s="14" t="n">
        <v>0</v>
      </c>
      <c r="AM265" s="14">
        <f>AJ265+AK265+AL265</f>
        <v/>
      </c>
      <c r="AN265" s="14">
        <f>AN264+AM265</f>
        <v/>
      </c>
    </row>
    <row r="266">
      <c r="A266" s="8" t="n">
        <v>11</v>
      </c>
      <c r="B266" s="8" t="n">
        <v>3</v>
      </c>
      <c r="C266" s="8" t="n">
        <v>1</v>
      </c>
      <c r="D266" s="8" t="inlineStr">
        <is>
          <t>版本免费+义相逢 + 月卡收益 [月卡续费-30元]</t>
        </is>
      </c>
      <c r="E266" s="9">
        <f>K265</f>
        <v/>
      </c>
      <c r="F266" s="9" t="n">
        <v>1540</v>
      </c>
      <c r="G266" s="9" t="n">
        <v>4800</v>
      </c>
      <c r="H266" s="9" t="n">
        <v>0</v>
      </c>
      <c r="I266" s="9" t="n">
        <v>0</v>
      </c>
      <c r="J266" s="9" t="n">
        <v>0</v>
      </c>
      <c r="K266" s="9">
        <f>E266+F266+G266+H266+I266-J266</f>
        <v/>
      </c>
      <c r="L266" s="10">
        <f>Q265</f>
        <v/>
      </c>
      <c r="M266" s="10" t="n">
        <v>85</v>
      </c>
      <c r="N266" s="10" t="n">
        <v>6</v>
      </c>
      <c r="O266" s="10">
        <f>J266/160</f>
        <v/>
      </c>
      <c r="P266" s="10" t="n">
        <v>70</v>
      </c>
      <c r="Q266" s="10">
        <f>L266+M266+N266+O266-P266</f>
        <v/>
      </c>
      <c r="R266" s="11">
        <f>T265</f>
        <v/>
      </c>
      <c r="S266" s="11">
        <f>N(V266) + N(X266) + N(Z266)</f>
        <v/>
      </c>
      <c r="T266" s="11">
        <f>R266+P266-S266</f>
        <v/>
      </c>
      <c r="U266" s="11" t="inlineStr">
        <is>
          <t>是</t>
        </is>
      </c>
      <c r="V266" s="11" t="n">
        <v>52</v>
      </c>
      <c r="W266" s="11" t="inlineStr">
        <is>
          <t>是</t>
        </is>
      </c>
      <c r="X266" s="11" t="n">
        <v>31</v>
      </c>
      <c r="Y266" s="11" t="inlineStr">
        <is>
          <t>-</t>
        </is>
      </c>
      <c r="Z266" s="11" t="n">
        <v>0</v>
      </c>
      <c r="AA266" s="11" t="inlineStr">
        <is>
          <t>无</t>
        </is>
      </c>
      <c r="AB266" s="12">
        <f>AE265</f>
        <v/>
      </c>
      <c r="AC266" s="12" t="n">
        <v>4</v>
      </c>
      <c r="AD266" s="12" t="n">
        <v>0</v>
      </c>
      <c r="AE266" s="12">
        <f>AB266+AC266+AD266</f>
        <v/>
      </c>
      <c r="AF266" s="13">
        <f>AI265</f>
        <v/>
      </c>
      <c r="AG266" s="13" t="n">
        <v>0</v>
      </c>
      <c r="AH266" s="13" t="n">
        <v>0</v>
      </c>
      <c r="AI266" s="13">
        <f>AF266+AG266+AH266</f>
        <v/>
      </c>
      <c r="AJ266" s="14" t="n">
        <v>30</v>
      </c>
      <c r="AK266" s="14" t="n">
        <v>50</v>
      </c>
      <c r="AL266" s="14" t="n">
        <v>0</v>
      </c>
      <c r="AM266" s="14">
        <f>AJ266+AK266+AL266</f>
        <v/>
      </c>
      <c r="AN266" s="14">
        <f>AN265+AM266</f>
        <v/>
      </c>
    </row>
    <row r="267">
      <c r="A267" s="8" t="n">
        <v>11</v>
      </c>
      <c r="B267" s="8" t="n">
        <v>3</v>
      </c>
      <c r="C267" s="8" t="n">
        <v>2</v>
      </c>
      <c r="D267" s="8" t="inlineStr">
        <is>
          <t>月卡收益</t>
        </is>
      </c>
      <c r="E267" s="9">
        <f>K266</f>
        <v/>
      </c>
      <c r="F267" s="9" t="n">
        <v>1540</v>
      </c>
      <c r="G267" s="9" t="n">
        <v>0</v>
      </c>
      <c r="H267" s="9" t="n">
        <v>0</v>
      </c>
      <c r="I267" s="9" t="n">
        <v>0</v>
      </c>
      <c r="J267" s="9" t="n">
        <v>0</v>
      </c>
      <c r="K267" s="9">
        <f>E267+F267+G267+H267+I267-J267</f>
        <v/>
      </c>
      <c r="L267" s="10">
        <f>Q266</f>
        <v/>
      </c>
      <c r="M267" s="10" t="n">
        <v>0</v>
      </c>
      <c r="N267" s="10" t="n">
        <v>1</v>
      </c>
      <c r="O267" s="10">
        <f>J267/160</f>
        <v/>
      </c>
      <c r="P267" s="10" t="n">
        <v>20</v>
      </c>
      <c r="Q267" s="10">
        <f>L267+M267+N267+O267-P267</f>
        <v/>
      </c>
      <c r="R267" s="11">
        <f>T266</f>
        <v/>
      </c>
      <c r="S267" s="11">
        <f>N(V267) + N(X267) + N(Z267)</f>
        <v/>
      </c>
      <c r="T267" s="11">
        <f>R267+P267-S267</f>
        <v/>
      </c>
      <c r="U267" s="11" t="inlineStr">
        <is>
          <t>是</t>
        </is>
      </c>
      <c r="V267" s="11" t="n">
        <v>17</v>
      </c>
      <c r="W267" s="11" t="inlineStr">
        <is>
          <t>否</t>
        </is>
      </c>
      <c r="X267" s="11" t="inlineStr">
        <is>
          <t>-</t>
        </is>
      </c>
      <c r="Y267" s="11" t="inlineStr">
        <is>
          <t>-</t>
        </is>
      </c>
      <c r="Z267" s="11" t="n">
        <v>0</v>
      </c>
      <c r="AA267" s="11" t="inlineStr">
        <is>
          <t>无</t>
        </is>
      </c>
      <c r="AB267" s="12">
        <f>AE266</f>
        <v/>
      </c>
      <c r="AC267" s="12" t="n">
        <v>0</v>
      </c>
      <c r="AD267" s="12" t="n">
        <v>0</v>
      </c>
      <c r="AE267" s="12">
        <f>AB267+AC267+AD267</f>
        <v/>
      </c>
      <c r="AF267" s="13">
        <f>AI266</f>
        <v/>
      </c>
      <c r="AG267" s="13" t="n">
        <v>0</v>
      </c>
      <c r="AH267" s="13" t="n">
        <v>0</v>
      </c>
      <c r="AI267" s="13">
        <f>AF267+AG267+AH267</f>
        <v/>
      </c>
      <c r="AJ267" s="14" t="n">
        <v>0</v>
      </c>
      <c r="AK267" s="14" t="n">
        <v>0</v>
      </c>
      <c r="AL267" s="14" t="n">
        <v>0</v>
      </c>
      <c r="AM267" s="14">
        <f>AJ267+AK267+AL267</f>
        <v/>
      </c>
      <c r="AN267" s="14">
        <f>AN266+AM267</f>
        <v/>
      </c>
    </row>
    <row r="268">
      <c r="A268" s="8" t="n">
        <v>11</v>
      </c>
      <c r="B268" s="8" t="n">
        <v>4</v>
      </c>
      <c r="C268" s="8" t="n">
        <v>1</v>
      </c>
      <c r="D268" s="8" t="inlineStr">
        <is>
          <t>版本免费+义相逢 + 月卡收益 [月卡续费-30元]</t>
        </is>
      </c>
      <c r="E268" s="9">
        <f>K267</f>
        <v/>
      </c>
      <c r="F268" s="9" t="n">
        <v>1540</v>
      </c>
      <c r="G268" s="9" t="n">
        <v>4800</v>
      </c>
      <c r="H268" s="9" t="n">
        <v>0</v>
      </c>
      <c r="I268" s="9" t="n">
        <v>0</v>
      </c>
      <c r="J268" s="9" t="n">
        <v>0</v>
      </c>
      <c r="K268" s="9">
        <f>E268+F268+G268+H268+I268-J268</f>
        <v/>
      </c>
      <c r="L268" s="10">
        <f>Q267</f>
        <v/>
      </c>
      <c r="M268" s="10" t="n">
        <v>85</v>
      </c>
      <c r="N268" s="10" t="n">
        <v>6</v>
      </c>
      <c r="O268" s="10">
        <f>J268/160</f>
        <v/>
      </c>
      <c r="P268" s="10" t="n">
        <v>70</v>
      </c>
      <c r="Q268" s="10">
        <f>L268+M268+N268+O268-P268</f>
        <v/>
      </c>
      <c r="R268" s="11">
        <f>T267</f>
        <v/>
      </c>
      <c r="S268" s="11">
        <f>N(V268) + N(X268) + N(Z268)</f>
        <v/>
      </c>
      <c r="T268" s="11">
        <f>R268+P268-S268</f>
        <v/>
      </c>
      <c r="U268" s="11" t="inlineStr">
        <is>
          <t>是</t>
        </is>
      </c>
      <c r="V268" s="11" t="n">
        <v>47</v>
      </c>
      <c r="W268" s="11" t="inlineStr">
        <is>
          <t>是</t>
        </is>
      </c>
      <c r="X268" s="11" t="n">
        <v>30</v>
      </c>
      <c r="Y268" s="11" t="inlineStr">
        <is>
          <t>-</t>
        </is>
      </c>
      <c r="Z268" s="11" t="n">
        <v>0</v>
      </c>
      <c r="AA268" s="11" t="inlineStr">
        <is>
          <t>无</t>
        </is>
      </c>
      <c r="AB268" s="12">
        <f>AE267</f>
        <v/>
      </c>
      <c r="AC268" s="12" t="n">
        <v>4</v>
      </c>
      <c r="AD268" s="12" t="n">
        <v>0</v>
      </c>
      <c r="AE268" s="12">
        <f>AB268+AC268+AD268</f>
        <v/>
      </c>
      <c r="AF268" s="13">
        <f>AI267</f>
        <v/>
      </c>
      <c r="AG268" s="13" t="n">
        <v>0</v>
      </c>
      <c r="AH268" s="13" t="n">
        <v>0</v>
      </c>
      <c r="AI268" s="13">
        <f>AF268+AG268+AH268</f>
        <v/>
      </c>
      <c r="AJ268" s="14" t="n">
        <v>30</v>
      </c>
      <c r="AK268" s="14" t="n">
        <v>50</v>
      </c>
      <c r="AL268" s="14" t="n">
        <v>0</v>
      </c>
      <c r="AM268" s="14">
        <f>AJ268+AK268+AL268</f>
        <v/>
      </c>
      <c r="AN268" s="14">
        <f>AN267+AM268</f>
        <v/>
      </c>
    </row>
    <row r="269">
      <c r="A269" s="8" t="n">
        <v>11</v>
      </c>
      <c r="B269" s="8" t="n">
        <v>4</v>
      </c>
      <c r="C269" s="8" t="n">
        <v>2</v>
      </c>
      <c r="D269" s="8" t="inlineStr">
        <is>
          <t>月卡收益</t>
        </is>
      </c>
      <c r="E269" s="9">
        <f>K268</f>
        <v/>
      </c>
      <c r="F269" s="9" t="n">
        <v>1540</v>
      </c>
      <c r="G269" s="9" t="n">
        <v>0</v>
      </c>
      <c r="H269" s="9" t="n">
        <v>0</v>
      </c>
      <c r="I269" s="9" t="n">
        <v>0</v>
      </c>
      <c r="J269" s="9" t="n">
        <v>10080</v>
      </c>
      <c r="K269" s="9">
        <f>E269+F269+G269+H269+I269-J269</f>
        <v/>
      </c>
      <c r="L269" s="10">
        <f>Q268</f>
        <v/>
      </c>
      <c r="M269" s="10" t="n">
        <v>0</v>
      </c>
      <c r="N269" s="10" t="n">
        <v>11</v>
      </c>
      <c r="O269" s="10">
        <f>J269/160</f>
        <v/>
      </c>
      <c r="P269" s="10" t="n">
        <v>100</v>
      </c>
      <c r="Q269" s="10">
        <f>L269+M269+N269+O269-P269</f>
        <v/>
      </c>
      <c r="R269" s="11">
        <f>T268</f>
        <v/>
      </c>
      <c r="S269" s="11">
        <f>N(V269) + N(X269) + N(Z269)</f>
        <v/>
      </c>
      <c r="T269" s="11">
        <f>R269+P269-S269</f>
        <v/>
      </c>
      <c r="U269" s="11" t="inlineStr">
        <is>
          <t>是</t>
        </is>
      </c>
      <c r="V269" s="11" t="n">
        <v>50</v>
      </c>
      <c r="W269" s="11" t="inlineStr">
        <is>
          <t>是</t>
        </is>
      </c>
      <c r="X269" s="11" t="n">
        <v>51</v>
      </c>
      <c r="Y269" s="11" t="inlineStr">
        <is>
          <t>-</t>
        </is>
      </c>
      <c r="Z269" s="11" t="n">
        <v>0</v>
      </c>
      <c r="AA269" s="11" t="inlineStr">
        <is>
          <t>无</t>
        </is>
      </c>
      <c r="AB269" s="12">
        <f>AE268</f>
        <v/>
      </c>
      <c r="AC269" s="12" t="n">
        <v>0</v>
      </c>
      <c r="AD269" s="12" t="n">
        <v>0</v>
      </c>
      <c r="AE269" s="12">
        <f>AB269+AC269+AD269</f>
        <v/>
      </c>
      <c r="AF269" s="13">
        <f>AI268</f>
        <v/>
      </c>
      <c r="AG269" s="13" t="n">
        <v>0</v>
      </c>
      <c r="AH269" s="13" t="n">
        <v>0</v>
      </c>
      <c r="AI269" s="13">
        <f>AF269+AG269+AH269</f>
        <v/>
      </c>
      <c r="AJ269" s="14" t="n">
        <v>0</v>
      </c>
      <c r="AK269" s="14" t="n">
        <v>0</v>
      </c>
      <c r="AL269" s="14" t="n">
        <v>0</v>
      </c>
      <c r="AM269" s="14">
        <f>AJ269+AK269+AL269</f>
        <v/>
      </c>
      <c r="AN269" s="14">
        <f>AN268+AM269</f>
        <v/>
      </c>
    </row>
    <row r="270">
      <c r="A270" s="8" t="n">
        <v>11</v>
      </c>
      <c r="B270" s="8" t="n">
        <v>5</v>
      </c>
      <c r="C270" s="8" t="n">
        <v>1</v>
      </c>
      <c r="D270" s="8" t="inlineStr">
        <is>
          <t>版本免费+义相逢 + 月卡收益 [月卡续费-30元]</t>
        </is>
      </c>
      <c r="E270" s="9">
        <f>K269</f>
        <v/>
      </c>
      <c r="F270" s="9" t="n">
        <v>1540</v>
      </c>
      <c r="G270" s="9" t="n">
        <v>4800</v>
      </c>
      <c r="H270" s="9" t="n">
        <v>0</v>
      </c>
      <c r="I270" s="9" t="n">
        <v>0</v>
      </c>
      <c r="J270" s="9" t="n">
        <v>0</v>
      </c>
      <c r="K270" s="9">
        <f>E270+F270+G270+H270+I270-J270</f>
        <v/>
      </c>
      <c r="L270" s="10">
        <f>Q269</f>
        <v/>
      </c>
      <c r="M270" s="10" t="n">
        <v>85</v>
      </c>
      <c r="N270" s="10" t="n">
        <v>6</v>
      </c>
      <c r="O270" s="10">
        <f>J270/160</f>
        <v/>
      </c>
      <c r="P270" s="10" t="n">
        <v>60</v>
      </c>
      <c r="Q270" s="10">
        <f>L270+M270+N270+O270-P270</f>
        <v/>
      </c>
      <c r="R270" s="11">
        <f>T269</f>
        <v/>
      </c>
      <c r="S270" s="11">
        <f>N(V270) + N(X270) + N(Z270)</f>
        <v/>
      </c>
      <c r="T270" s="11">
        <f>R270+P270-S270</f>
        <v/>
      </c>
      <c r="U270" s="11" t="inlineStr">
        <is>
          <t>是</t>
        </is>
      </c>
      <c r="V270" s="11" t="n">
        <v>47</v>
      </c>
      <c r="W270" s="11" t="inlineStr">
        <is>
          <t>否</t>
        </is>
      </c>
      <c r="X270" s="11" t="inlineStr">
        <is>
          <t>-</t>
        </is>
      </c>
      <c r="Y270" s="11" t="inlineStr">
        <is>
          <t>-</t>
        </is>
      </c>
      <c r="Z270" s="11" t="n">
        <v>0</v>
      </c>
      <c r="AA270" s="11" t="inlineStr">
        <is>
          <t>垫到60抽</t>
        </is>
      </c>
      <c r="AB270" s="12">
        <f>AE269</f>
        <v/>
      </c>
      <c r="AC270" s="12" t="n">
        <v>4</v>
      </c>
      <c r="AD270" s="12" t="n">
        <v>0</v>
      </c>
      <c r="AE270" s="12">
        <f>AB270+AC270+AD270</f>
        <v/>
      </c>
      <c r="AF270" s="13">
        <f>AI269</f>
        <v/>
      </c>
      <c r="AG270" s="13" t="n">
        <v>0</v>
      </c>
      <c r="AH270" s="13" t="n">
        <v>0</v>
      </c>
      <c r="AI270" s="13">
        <f>AF270+AG270+AH270</f>
        <v/>
      </c>
      <c r="AJ270" s="14" t="n">
        <v>30</v>
      </c>
      <c r="AK270" s="14" t="n">
        <v>50</v>
      </c>
      <c r="AL270" s="14" t="n">
        <v>0</v>
      </c>
      <c r="AM270" s="14">
        <f>AJ270+AK270+AL270</f>
        <v/>
      </c>
      <c r="AN270" s="14">
        <f>AN269+AM270</f>
        <v/>
      </c>
    </row>
    <row r="271">
      <c r="A271" s="8" t="n">
        <v>11</v>
      </c>
      <c r="B271" s="8" t="n">
        <v>5</v>
      </c>
      <c r="C271" s="8" t="n">
        <v>2</v>
      </c>
      <c r="D271" s="8" t="inlineStr">
        <is>
          <t>月卡收益</t>
        </is>
      </c>
      <c r="E271" s="9">
        <f>K270</f>
        <v/>
      </c>
      <c r="F271" s="9" t="n">
        <v>1540</v>
      </c>
      <c r="G271" s="9" t="n">
        <v>0</v>
      </c>
      <c r="H271" s="9" t="n">
        <v>0</v>
      </c>
      <c r="I271" s="9" t="n">
        <v>0</v>
      </c>
      <c r="J271" s="9" t="n">
        <v>8480</v>
      </c>
      <c r="K271" s="9">
        <f>E271+F271+G271+H271+I271-J271</f>
        <v/>
      </c>
      <c r="L271" s="10">
        <f>Q270</f>
        <v/>
      </c>
      <c r="M271" s="10" t="n">
        <v>0</v>
      </c>
      <c r="N271" s="10" t="n">
        <v>11</v>
      </c>
      <c r="O271" s="10">
        <f>J271/160</f>
        <v/>
      </c>
      <c r="P271" s="10" t="n">
        <v>90</v>
      </c>
      <c r="Q271" s="10">
        <f>L271+M271+N271+O271-P271</f>
        <v/>
      </c>
      <c r="R271" s="11">
        <f>T270</f>
        <v/>
      </c>
      <c r="S271" s="11">
        <f>N(V271) + N(X271) + N(Z271)</f>
        <v/>
      </c>
      <c r="T271" s="11">
        <f>R271+P271-S271</f>
        <v/>
      </c>
      <c r="U271" s="11" t="inlineStr">
        <is>
          <t>是</t>
        </is>
      </c>
      <c r="V271" s="11" t="n">
        <v>50</v>
      </c>
      <c r="W271" s="11" t="inlineStr">
        <is>
          <t>是</t>
        </is>
      </c>
      <c r="X271" s="11" t="n">
        <v>48</v>
      </c>
      <c r="Y271" s="11" t="inlineStr">
        <is>
          <t>-</t>
        </is>
      </c>
      <c r="Z271" s="11" t="n">
        <v>0</v>
      </c>
      <c r="AA271" s="11" t="inlineStr">
        <is>
          <t>无</t>
        </is>
      </c>
      <c r="AB271" s="12">
        <f>AE270</f>
        <v/>
      </c>
      <c r="AC271" s="12" t="n">
        <v>0</v>
      </c>
      <c r="AD271" s="12" t="n">
        <v>0</v>
      </c>
      <c r="AE271" s="12">
        <f>AB271+AC271+AD271</f>
        <v/>
      </c>
      <c r="AF271" s="13">
        <f>AI270</f>
        <v/>
      </c>
      <c r="AG271" s="13" t="n">
        <v>0</v>
      </c>
      <c r="AH271" s="13" t="n">
        <v>0</v>
      </c>
      <c r="AI271" s="13">
        <f>AF271+AG271+AH271</f>
        <v/>
      </c>
      <c r="AJ271" s="14" t="n">
        <v>0</v>
      </c>
      <c r="AK271" s="14" t="n">
        <v>0</v>
      </c>
      <c r="AL271" s="14" t="n">
        <v>0</v>
      </c>
      <c r="AM271" s="14">
        <f>AJ271+AK271+AL271</f>
        <v/>
      </c>
      <c r="AN271" s="14">
        <f>AN270+AM271</f>
        <v/>
      </c>
    </row>
    <row r="272">
      <c r="A272" s="8" t="n">
        <v>11</v>
      </c>
      <c r="B272" s="8" t="n">
        <v>6</v>
      </c>
      <c r="C272" s="8" t="n">
        <v>1</v>
      </c>
      <c r="D272" s="8" t="inlineStr">
        <is>
          <t>版本免费+义相逢 + 月卡收益</t>
        </is>
      </c>
      <c r="E272" s="9">
        <f>K271</f>
        <v/>
      </c>
      <c r="F272" s="9" t="n">
        <v>1540</v>
      </c>
      <c r="G272" s="9" t="n">
        <v>4800</v>
      </c>
      <c r="H272" s="9" t="n">
        <v>0</v>
      </c>
      <c r="I272" s="9" t="n">
        <v>0</v>
      </c>
      <c r="J272" s="9" t="n">
        <v>0</v>
      </c>
      <c r="K272" s="9">
        <f>E272+F272+G272+H272+I272-J272</f>
        <v/>
      </c>
      <c r="L272" s="10">
        <f>Q271</f>
        <v/>
      </c>
      <c r="M272" s="10" t="n">
        <v>85</v>
      </c>
      <c r="N272" s="10" t="n">
        <v>11</v>
      </c>
      <c r="O272" s="10">
        <f>J272/160</f>
        <v/>
      </c>
      <c r="P272" s="10" t="n">
        <v>100</v>
      </c>
      <c r="Q272" s="10">
        <f>L272+M272+N272+O272-P272</f>
        <v/>
      </c>
      <c r="R272" s="11">
        <f>T271</f>
        <v/>
      </c>
      <c r="S272" s="11">
        <f>N(V272) + N(X272) + N(Z272)</f>
        <v/>
      </c>
      <c r="T272" s="11">
        <f>R272+P272-S272</f>
        <v/>
      </c>
      <c r="U272" s="11" t="inlineStr">
        <is>
          <t>是</t>
        </is>
      </c>
      <c r="V272" s="11" t="n">
        <v>49</v>
      </c>
      <c r="W272" s="11" t="inlineStr">
        <is>
          <t>是</t>
        </is>
      </c>
      <c r="X272" s="11" t="n">
        <v>48</v>
      </c>
      <c r="Y272" s="11" t="inlineStr">
        <is>
          <t>-</t>
        </is>
      </c>
      <c r="Z272" s="11" t="n">
        <v>0</v>
      </c>
      <c r="AA272" s="11" t="inlineStr">
        <is>
          <t>无</t>
        </is>
      </c>
      <c r="AB272" s="12">
        <f>AE271</f>
        <v/>
      </c>
      <c r="AC272" s="12" t="n">
        <v>4</v>
      </c>
      <c r="AD272" s="12" t="n">
        <v>0</v>
      </c>
      <c r="AE272" s="12">
        <f>AB272+AC272+AD272</f>
        <v/>
      </c>
      <c r="AF272" s="13">
        <f>AI271</f>
        <v/>
      </c>
      <c r="AG272" s="13" t="n">
        <v>0</v>
      </c>
      <c r="AH272" s="13" t="n">
        <v>0</v>
      </c>
      <c r="AI272" s="13">
        <f>AF272+AG272+AH272</f>
        <v/>
      </c>
      <c r="AJ272" s="14" t="n">
        <v>0</v>
      </c>
      <c r="AK272" s="14" t="n">
        <v>50</v>
      </c>
      <c r="AL272" s="14" t="n">
        <v>0</v>
      </c>
      <c r="AM272" s="14">
        <f>AJ272+AK272+AL272</f>
        <v/>
      </c>
      <c r="AN272" s="14">
        <f>AN271+AM272</f>
        <v/>
      </c>
    </row>
    <row r="273">
      <c r="A273" s="8" t="n">
        <v>11</v>
      </c>
      <c r="B273" s="8" t="n">
        <v>6</v>
      </c>
      <c r="C273" s="8" t="n">
        <v>2</v>
      </c>
      <c r="D273" s="8" t="inlineStr">
        <is>
          <t>月卡收益 [月卡续费-30元]</t>
        </is>
      </c>
      <c r="E273" s="9">
        <f>K272</f>
        <v/>
      </c>
      <c r="F273" s="9" t="n">
        <v>1540</v>
      </c>
      <c r="G273" s="9" t="n">
        <v>0</v>
      </c>
      <c r="H273" s="9" t="n">
        <v>0</v>
      </c>
      <c r="I273" s="9" t="n">
        <v>0</v>
      </c>
      <c r="J273" s="9" t="n">
        <v>5760</v>
      </c>
      <c r="K273" s="9">
        <f>E273+F273+G273+H273+I273-J273</f>
        <v/>
      </c>
      <c r="L273" s="10">
        <f>Q272</f>
        <v/>
      </c>
      <c r="M273" s="10" t="n">
        <v>0</v>
      </c>
      <c r="N273" s="10" t="n">
        <v>3</v>
      </c>
      <c r="O273" s="10">
        <f>J273/160</f>
        <v/>
      </c>
      <c r="P273" s="10" t="n">
        <v>40</v>
      </c>
      <c r="Q273" s="10">
        <f>L273+M273+N273+O273-P273</f>
        <v/>
      </c>
      <c r="R273" s="11">
        <f>T272</f>
        <v/>
      </c>
      <c r="S273" s="11">
        <f>N(V273) + N(X273) + N(Z273)</f>
        <v/>
      </c>
      <c r="T273" s="11">
        <f>R273+P273-S273</f>
        <v/>
      </c>
      <c r="U273" s="11" t="inlineStr">
        <is>
          <t>是</t>
        </is>
      </c>
      <c r="V273" s="11" t="n">
        <v>49</v>
      </c>
      <c r="W273" s="11" t="inlineStr">
        <is>
          <t>否</t>
        </is>
      </c>
      <c r="X273" s="11" t="inlineStr">
        <is>
          <t>-</t>
        </is>
      </c>
      <c r="Y273" s="11" t="inlineStr">
        <is>
          <t>-</t>
        </is>
      </c>
      <c r="Z273" s="11" t="n">
        <v>0</v>
      </c>
      <c r="AA273" s="11" t="inlineStr">
        <is>
          <t>无</t>
        </is>
      </c>
      <c r="AB273" s="12">
        <f>AE272</f>
        <v/>
      </c>
      <c r="AC273" s="12" t="n">
        <v>0</v>
      </c>
      <c r="AD273" s="12" t="n">
        <v>0</v>
      </c>
      <c r="AE273" s="12">
        <f>AB273+AC273+AD273</f>
        <v/>
      </c>
      <c r="AF273" s="13">
        <f>AI272</f>
        <v/>
      </c>
      <c r="AG273" s="13" t="n">
        <v>0</v>
      </c>
      <c r="AH273" s="13" t="n">
        <v>0</v>
      </c>
      <c r="AI273" s="13">
        <f>AF273+AG273+AH273</f>
        <v/>
      </c>
      <c r="AJ273" s="14" t="n">
        <v>30</v>
      </c>
      <c r="AK273" s="14" t="n">
        <v>0</v>
      </c>
      <c r="AL273" s="14" t="n">
        <v>0</v>
      </c>
      <c r="AM273" s="14">
        <f>AJ273+AK273+AL273</f>
        <v/>
      </c>
      <c r="AN273" s="14">
        <f>AN272+AM273</f>
        <v/>
      </c>
    </row>
    <row r="274">
      <c r="A274" s="8" t="n">
        <v>11</v>
      </c>
      <c r="B274" s="8" t="n">
        <v>7</v>
      </c>
      <c r="C274" s="8" t="n">
        <v>1</v>
      </c>
      <c r="D274" s="8" t="inlineStr">
        <is>
          <t>版本免费+义相逢 + 月卡收益</t>
        </is>
      </c>
      <c r="E274" s="9">
        <f>K273</f>
        <v/>
      </c>
      <c r="F274" s="9" t="n">
        <v>1540</v>
      </c>
      <c r="G274" s="9" t="n">
        <v>4800</v>
      </c>
      <c r="H274" s="9" t="n">
        <v>0</v>
      </c>
      <c r="I274" s="9" t="n">
        <v>0</v>
      </c>
      <c r="J274" s="9" t="n">
        <v>0</v>
      </c>
      <c r="K274" s="9">
        <f>E274+F274+G274+H274+I274-J274</f>
        <v/>
      </c>
      <c r="L274" s="10">
        <f>Q273</f>
        <v/>
      </c>
      <c r="M274" s="10" t="n">
        <v>85</v>
      </c>
      <c r="N274" s="10" t="n">
        <v>6</v>
      </c>
      <c r="O274" s="10">
        <f>J274/160</f>
        <v/>
      </c>
      <c r="P274" s="10" t="n">
        <v>60</v>
      </c>
      <c r="Q274" s="10">
        <f>L274+M274+N274+O274-P274</f>
        <v/>
      </c>
      <c r="R274" s="11">
        <f>T273</f>
        <v/>
      </c>
      <c r="S274" s="11">
        <f>N(V274) + N(X274) + N(Z274)</f>
        <v/>
      </c>
      <c r="T274" s="11">
        <f>R274+P274-S274</f>
        <v/>
      </c>
      <c r="U274" s="11" t="inlineStr">
        <is>
          <t>是</t>
        </is>
      </c>
      <c r="V274" s="11" t="n">
        <v>53</v>
      </c>
      <c r="W274" s="11" t="inlineStr">
        <is>
          <t>是</t>
        </is>
      </c>
      <c r="X274" s="11" t="n">
        <v>7</v>
      </c>
      <c r="Y274" s="11" t="inlineStr">
        <is>
          <t>-</t>
        </is>
      </c>
      <c r="Z274" s="11" t="n">
        <v>0</v>
      </c>
      <c r="AA274" s="11" t="inlineStr">
        <is>
          <t>无</t>
        </is>
      </c>
      <c r="AB274" s="12">
        <f>AE273</f>
        <v/>
      </c>
      <c r="AC274" s="12" t="n">
        <v>4</v>
      </c>
      <c r="AD274" s="12" t="n">
        <v>0</v>
      </c>
      <c r="AE274" s="12">
        <f>AB274+AC274+AD274</f>
        <v/>
      </c>
      <c r="AF274" s="13">
        <f>AI273</f>
        <v/>
      </c>
      <c r="AG274" s="13" t="n">
        <v>0</v>
      </c>
      <c r="AH274" s="13" t="n">
        <v>0</v>
      </c>
      <c r="AI274" s="13">
        <f>AF274+AG274+AH274</f>
        <v/>
      </c>
      <c r="AJ274" s="14" t="n">
        <v>0</v>
      </c>
      <c r="AK274" s="14" t="n">
        <v>50</v>
      </c>
      <c r="AL274" s="14" t="n">
        <v>0</v>
      </c>
      <c r="AM274" s="14">
        <f>AJ274+AK274+AL274</f>
        <v/>
      </c>
      <c r="AN274" s="14">
        <f>AN273+AM274</f>
        <v/>
      </c>
    </row>
    <row r="275">
      <c r="A275" s="8" t="n">
        <v>11</v>
      </c>
      <c r="B275" s="8" t="n">
        <v>7</v>
      </c>
      <c r="C275" s="8" t="n">
        <v>2</v>
      </c>
      <c r="D275" s="8" t="inlineStr">
        <is>
          <t>月卡收益 [月卡续费-30元]</t>
        </is>
      </c>
      <c r="E275" s="9">
        <f>K274</f>
        <v/>
      </c>
      <c r="F275" s="9" t="n">
        <v>1540</v>
      </c>
      <c r="G275" s="9" t="n">
        <v>0</v>
      </c>
      <c r="H275" s="9" t="n">
        <v>0</v>
      </c>
      <c r="I275" s="9" t="n">
        <v>0</v>
      </c>
      <c r="J275" s="9" t="n">
        <v>4160</v>
      </c>
      <c r="K275" s="9">
        <f>E275+F275+G275+H275+I275-J275</f>
        <v/>
      </c>
      <c r="L275" s="10">
        <f>Q274</f>
        <v/>
      </c>
      <c r="M275" s="10" t="n">
        <v>0</v>
      </c>
      <c r="N275" s="10" t="n">
        <v>6</v>
      </c>
      <c r="O275" s="10">
        <f>J275/160</f>
        <v/>
      </c>
      <c r="P275" s="10" t="n">
        <v>60</v>
      </c>
      <c r="Q275" s="10">
        <f>L275+M275+N275+O275-P275</f>
        <v/>
      </c>
      <c r="R275" s="11">
        <f>T274</f>
        <v/>
      </c>
      <c r="S275" s="11">
        <f>N(V275) + N(X275) + N(Z275)</f>
        <v/>
      </c>
      <c r="T275" s="11">
        <f>R275+P275-S275</f>
        <v/>
      </c>
      <c r="U275" s="11" t="inlineStr">
        <is>
          <t>是</t>
        </is>
      </c>
      <c r="V275" s="11" t="n">
        <v>52</v>
      </c>
      <c r="W275" s="11" t="inlineStr">
        <is>
          <t>否</t>
        </is>
      </c>
      <c r="X275" s="11" t="inlineStr">
        <is>
          <t>-</t>
        </is>
      </c>
      <c r="Y275" s="11" t="inlineStr">
        <is>
          <t>-</t>
        </is>
      </c>
      <c r="Z275" s="11" t="n">
        <v>0</v>
      </c>
      <c r="AA275" s="11" t="inlineStr">
        <is>
          <t>无</t>
        </is>
      </c>
      <c r="AB275" s="12">
        <f>AE274</f>
        <v/>
      </c>
      <c r="AC275" s="12" t="n">
        <v>0</v>
      </c>
      <c r="AD275" s="12" t="n">
        <v>0</v>
      </c>
      <c r="AE275" s="12">
        <f>AB275+AC275+AD275</f>
        <v/>
      </c>
      <c r="AF275" s="13">
        <f>AI274</f>
        <v/>
      </c>
      <c r="AG275" s="13" t="n">
        <v>0</v>
      </c>
      <c r="AH275" s="13" t="n">
        <v>0</v>
      </c>
      <c r="AI275" s="13">
        <f>AF275+AG275+AH275</f>
        <v/>
      </c>
      <c r="AJ275" s="14" t="n">
        <v>30</v>
      </c>
      <c r="AK275" s="14" t="n">
        <v>0</v>
      </c>
      <c r="AL275" s="14" t="n">
        <v>0</v>
      </c>
      <c r="AM275" s="14">
        <f>AJ275+AK275+AL275</f>
        <v/>
      </c>
      <c r="AN275" s="14">
        <f>AN274+AM275</f>
        <v/>
      </c>
    </row>
    <row r="276">
      <c r="A276" s="8" t="n">
        <v>11</v>
      </c>
      <c r="B276" s="8" t="n">
        <v>8</v>
      </c>
      <c r="C276" s="8" t="n">
        <v>1</v>
      </c>
      <c r="D276" s="8" t="inlineStr">
        <is>
          <t>版本免费+义相逢 + 月卡收益</t>
        </is>
      </c>
      <c r="E276" s="9">
        <f>K275</f>
        <v/>
      </c>
      <c r="F276" s="9" t="n">
        <v>1540</v>
      </c>
      <c r="G276" s="9" t="n">
        <v>4800</v>
      </c>
      <c r="H276" s="9" t="n">
        <v>0</v>
      </c>
      <c r="I276" s="9" t="n">
        <v>0</v>
      </c>
      <c r="J276" s="9" t="n">
        <v>160</v>
      </c>
      <c r="K276" s="9">
        <f>E276+F276+G276+H276+I276-J276</f>
        <v/>
      </c>
      <c r="L276" s="10">
        <f>Q275</f>
        <v/>
      </c>
      <c r="M276" s="10" t="n">
        <v>85</v>
      </c>
      <c r="N276" s="10" t="n">
        <v>11</v>
      </c>
      <c r="O276" s="10">
        <f>J276/160</f>
        <v/>
      </c>
      <c r="P276" s="10" t="n">
        <v>100</v>
      </c>
      <c r="Q276" s="10">
        <f>L276+M276+N276+O276-P276</f>
        <v/>
      </c>
      <c r="R276" s="11">
        <f>T275</f>
        <v/>
      </c>
      <c r="S276" s="11">
        <f>N(V276) + N(X276) + N(Z276)</f>
        <v/>
      </c>
      <c r="T276" s="11">
        <f>R276+P276-S276</f>
        <v/>
      </c>
      <c r="U276" s="11" t="inlineStr">
        <is>
          <t>是</t>
        </is>
      </c>
      <c r="V276" s="11" t="n">
        <v>48</v>
      </c>
      <c r="W276" s="11" t="inlineStr">
        <is>
          <t>是</t>
        </is>
      </c>
      <c r="X276" s="11" t="n">
        <v>52</v>
      </c>
      <c r="Y276" s="11" t="inlineStr">
        <is>
          <t>-</t>
        </is>
      </c>
      <c r="Z276" s="11" t="n">
        <v>0</v>
      </c>
      <c r="AA276" s="11" t="inlineStr">
        <is>
          <t>无</t>
        </is>
      </c>
      <c r="AB276" s="12">
        <f>AE275</f>
        <v/>
      </c>
      <c r="AC276" s="12" t="n">
        <v>4</v>
      </c>
      <c r="AD276" s="12" t="n">
        <v>0</v>
      </c>
      <c r="AE276" s="12">
        <f>AB276+AC276+AD276</f>
        <v/>
      </c>
      <c r="AF276" s="13">
        <f>AI275</f>
        <v/>
      </c>
      <c r="AG276" s="13" t="n">
        <v>0</v>
      </c>
      <c r="AH276" s="13" t="n">
        <v>0</v>
      </c>
      <c r="AI276" s="13">
        <f>AF276+AG276+AH276</f>
        <v/>
      </c>
      <c r="AJ276" s="14" t="n">
        <v>0</v>
      </c>
      <c r="AK276" s="14" t="n">
        <v>50</v>
      </c>
      <c r="AL276" s="14" t="n">
        <v>0</v>
      </c>
      <c r="AM276" s="14">
        <f>AJ276+AK276+AL276</f>
        <v/>
      </c>
      <c r="AN276" s="14">
        <f>AN275+AM276</f>
        <v/>
      </c>
    </row>
    <row r="277">
      <c r="A277" s="8" t="n">
        <v>11</v>
      </c>
      <c r="B277" s="8" t="n">
        <v>8</v>
      </c>
      <c r="C277" s="8" t="n">
        <v>2</v>
      </c>
      <c r="D277" s="8" t="inlineStr">
        <is>
          <t>月卡收益 [月卡续费-30元]</t>
        </is>
      </c>
      <c r="E277" s="9">
        <f>K276</f>
        <v/>
      </c>
      <c r="F277" s="9" t="n">
        <v>1540</v>
      </c>
      <c r="G277" s="9" t="n">
        <v>0</v>
      </c>
      <c r="H277" s="9" t="n">
        <v>0</v>
      </c>
      <c r="I277" s="9" t="n">
        <v>0</v>
      </c>
      <c r="J277" s="9" t="n">
        <v>9120</v>
      </c>
      <c r="K277" s="9">
        <f>E277+F277+G277+H277+I277-J277</f>
        <v/>
      </c>
      <c r="L277" s="10">
        <f>Q276</f>
        <v/>
      </c>
      <c r="M277" s="10" t="n">
        <v>0</v>
      </c>
      <c r="N277" s="10" t="n">
        <v>6</v>
      </c>
      <c r="O277" s="10">
        <f>J277/160</f>
        <v/>
      </c>
      <c r="P277" s="10" t="n">
        <v>60</v>
      </c>
      <c r="Q277" s="10">
        <f>L277+M277+N277+O277-P277</f>
        <v/>
      </c>
      <c r="R277" s="11">
        <f>T276</f>
        <v/>
      </c>
      <c r="S277" s="11">
        <f>N(V277) + N(X277) + N(Z277)</f>
        <v/>
      </c>
      <c r="T277" s="11">
        <f>R277+P277-S277</f>
        <v/>
      </c>
      <c r="U277" s="11" t="inlineStr">
        <is>
          <t>是</t>
        </is>
      </c>
      <c r="V277" s="11" t="n">
        <v>58</v>
      </c>
      <c r="W277" s="11" t="inlineStr">
        <is>
          <t>否</t>
        </is>
      </c>
      <c r="X277" s="11" t="inlineStr">
        <is>
          <t>-</t>
        </is>
      </c>
      <c r="Y277" s="11" t="inlineStr">
        <is>
          <t>-</t>
        </is>
      </c>
      <c r="Z277" s="11" t="n">
        <v>0</v>
      </c>
      <c r="AA277" s="11" t="inlineStr">
        <is>
          <t>垫到60抽</t>
        </is>
      </c>
      <c r="AB277" s="12">
        <f>AE276</f>
        <v/>
      </c>
      <c r="AC277" s="12" t="n">
        <v>0</v>
      </c>
      <c r="AD277" s="12" t="n">
        <v>0</v>
      </c>
      <c r="AE277" s="12">
        <f>AB277+AC277+AD277</f>
        <v/>
      </c>
      <c r="AF277" s="13">
        <f>AI276</f>
        <v/>
      </c>
      <c r="AG277" s="13" t="n">
        <v>0</v>
      </c>
      <c r="AH277" s="13" t="n">
        <v>0</v>
      </c>
      <c r="AI277" s="13">
        <f>AF277+AG277+AH277</f>
        <v/>
      </c>
      <c r="AJ277" s="14" t="n">
        <v>30</v>
      </c>
      <c r="AK277" s="14" t="n">
        <v>0</v>
      </c>
      <c r="AL277" s="14" t="n">
        <v>0</v>
      </c>
      <c r="AM277" s="14">
        <f>AJ277+AK277+AL277</f>
        <v/>
      </c>
      <c r="AN277" s="14">
        <f>AN276+AM277</f>
        <v/>
      </c>
    </row>
    <row r="278">
      <c r="A278" s="8" t="n">
        <v>11</v>
      </c>
      <c r="B278" s="8" t="n">
        <v>9</v>
      </c>
      <c r="C278" s="8" t="n">
        <v>1</v>
      </c>
      <c r="D278" s="8" t="inlineStr">
        <is>
          <t>版本免费+义相逢 + 月卡收益</t>
        </is>
      </c>
      <c r="E278" s="9">
        <f>K277</f>
        <v/>
      </c>
      <c r="F278" s="9" t="n">
        <v>1540</v>
      </c>
      <c r="G278" s="9" t="n">
        <v>4800</v>
      </c>
      <c r="H278" s="9" t="n">
        <v>0</v>
      </c>
      <c r="I278" s="9" t="n">
        <v>0</v>
      </c>
      <c r="J278" s="9" t="n">
        <v>0</v>
      </c>
      <c r="K278" s="9">
        <f>E278+F278+G278+H278+I278-J278</f>
        <v/>
      </c>
      <c r="L278" s="10">
        <f>Q277</f>
        <v/>
      </c>
      <c r="M278" s="10" t="n">
        <v>85</v>
      </c>
      <c r="N278" s="10" t="n">
        <v>6</v>
      </c>
      <c r="O278" s="10">
        <f>J278/160</f>
        <v/>
      </c>
      <c r="P278" s="10" t="n">
        <v>60</v>
      </c>
      <c r="Q278" s="10">
        <f>L278+M278+N278+O278-P278</f>
        <v/>
      </c>
      <c r="R278" s="11">
        <f>T277</f>
        <v/>
      </c>
      <c r="S278" s="11">
        <f>N(V278) + N(X278) + N(Z278)</f>
        <v/>
      </c>
      <c r="T278" s="11">
        <f>R278+P278-S278</f>
        <v/>
      </c>
      <c r="U278" s="11" t="inlineStr">
        <is>
          <t>是</t>
        </is>
      </c>
      <c r="V278" s="11" t="n">
        <v>52</v>
      </c>
      <c r="W278" s="11" t="inlineStr">
        <is>
          <t>否</t>
        </is>
      </c>
      <c r="X278" s="11" t="inlineStr">
        <is>
          <t>-</t>
        </is>
      </c>
      <c r="Y278" s="11" t="inlineStr">
        <is>
          <t>-</t>
        </is>
      </c>
      <c r="Z278" s="11" t="n">
        <v>0</v>
      </c>
      <c r="AA278" s="11" t="inlineStr">
        <is>
          <t>垫到60抽</t>
        </is>
      </c>
      <c r="AB278" s="12">
        <f>AE277</f>
        <v/>
      </c>
      <c r="AC278" s="12" t="n">
        <v>4</v>
      </c>
      <c r="AD278" s="12" t="n">
        <v>0</v>
      </c>
      <c r="AE278" s="12">
        <f>AB278+AC278+AD278</f>
        <v/>
      </c>
      <c r="AF278" s="13">
        <f>AI277</f>
        <v/>
      </c>
      <c r="AG278" s="13" t="n">
        <v>0</v>
      </c>
      <c r="AH278" s="13" t="n">
        <v>0</v>
      </c>
      <c r="AI278" s="13">
        <f>AF278+AG278+AH278</f>
        <v/>
      </c>
      <c r="AJ278" s="14" t="n">
        <v>0</v>
      </c>
      <c r="AK278" s="14" t="n">
        <v>50</v>
      </c>
      <c r="AL278" s="14" t="n">
        <v>0</v>
      </c>
      <c r="AM278" s="14">
        <f>AJ278+AK278+AL278</f>
        <v/>
      </c>
      <c r="AN278" s="14">
        <f>AN277+AM278</f>
        <v/>
      </c>
    </row>
    <row r="279">
      <c r="A279" s="8" t="n">
        <v>11</v>
      </c>
      <c r="B279" s="8" t="n">
        <v>9</v>
      </c>
      <c r="C279" s="8" t="n">
        <v>2</v>
      </c>
      <c r="D279" s="8" t="inlineStr">
        <is>
          <t>月卡收益 [月卡续费-30元]</t>
        </is>
      </c>
      <c r="E279" s="9">
        <f>K278</f>
        <v/>
      </c>
      <c r="F279" s="9" t="n">
        <v>1540</v>
      </c>
      <c r="G279" s="9" t="n">
        <v>0</v>
      </c>
      <c r="H279" s="9" t="n">
        <v>0</v>
      </c>
      <c r="I279" s="9" t="n">
        <v>0</v>
      </c>
      <c r="J279" s="9" t="n">
        <v>480</v>
      </c>
      <c r="K279" s="9">
        <f>E279+F279+G279+H279+I279-J279</f>
        <v/>
      </c>
      <c r="L279" s="10">
        <f>Q278</f>
        <v/>
      </c>
      <c r="M279" s="10" t="n">
        <v>0</v>
      </c>
      <c r="N279" s="10" t="n">
        <v>3</v>
      </c>
      <c r="O279" s="10">
        <f>J279/160</f>
        <v/>
      </c>
      <c r="P279" s="10" t="n">
        <v>40</v>
      </c>
      <c r="Q279" s="10">
        <f>L279+M279+N279+O279-P279</f>
        <v/>
      </c>
      <c r="R279" s="11">
        <f>T278</f>
        <v/>
      </c>
      <c r="S279" s="11">
        <f>N(V279) + N(X279) + N(Z279)</f>
        <v/>
      </c>
      <c r="T279" s="11">
        <f>R279+P279-S279</f>
        <v/>
      </c>
      <c r="U279" s="11" t="inlineStr">
        <is>
          <t>是</t>
        </is>
      </c>
      <c r="V279" s="11" t="n">
        <v>49</v>
      </c>
      <c r="W279" s="11" t="inlineStr">
        <is>
          <t>否</t>
        </is>
      </c>
      <c r="X279" s="11" t="inlineStr">
        <is>
          <t>-</t>
        </is>
      </c>
      <c r="Y279" s="11" t="inlineStr">
        <is>
          <t>-</t>
        </is>
      </c>
      <c r="Z279" s="11" t="n">
        <v>0</v>
      </c>
      <c r="AA279" s="11" t="inlineStr">
        <is>
          <t>无</t>
        </is>
      </c>
      <c r="AB279" s="12">
        <f>AE278</f>
        <v/>
      </c>
      <c r="AC279" s="12" t="n">
        <v>0</v>
      </c>
      <c r="AD279" s="12" t="n">
        <v>0</v>
      </c>
      <c r="AE279" s="12">
        <f>AB279+AC279+AD279</f>
        <v/>
      </c>
      <c r="AF279" s="13">
        <f>AI278</f>
        <v/>
      </c>
      <c r="AG279" s="13" t="n">
        <v>0</v>
      </c>
      <c r="AH279" s="13" t="n">
        <v>0</v>
      </c>
      <c r="AI279" s="13">
        <f>AF279+AG279+AH279</f>
        <v/>
      </c>
      <c r="AJ279" s="14" t="n">
        <v>30</v>
      </c>
      <c r="AK279" s="14" t="n">
        <v>0</v>
      </c>
      <c r="AL279" s="14" t="n">
        <v>0</v>
      </c>
      <c r="AM279" s="14">
        <f>AJ279+AK279+AL279</f>
        <v/>
      </c>
      <c r="AN279" s="14">
        <f>AN278+AM279</f>
        <v/>
      </c>
    </row>
    <row r="280">
      <c r="A280" s="8" t="n">
        <v>11</v>
      </c>
      <c r="B280" s="8" t="n">
        <v>10</v>
      </c>
      <c r="C280" s="8" t="n">
        <v>1</v>
      </c>
      <c r="D280" s="8" t="inlineStr">
        <is>
          <t>版本免费+义相逢 + 月卡收益</t>
        </is>
      </c>
      <c r="E280" s="9">
        <f>K279</f>
        <v/>
      </c>
      <c r="F280" s="9" t="n">
        <v>1540</v>
      </c>
      <c r="G280" s="9" t="n">
        <v>4800</v>
      </c>
      <c r="H280" s="9" t="n">
        <v>0</v>
      </c>
      <c r="I280" s="9" t="n">
        <v>0</v>
      </c>
      <c r="J280" s="9" t="n">
        <v>640</v>
      </c>
      <c r="K280" s="9">
        <f>E280+F280+G280+H280+I280-J280</f>
        <v/>
      </c>
      <c r="L280" s="10">
        <f>Q279</f>
        <v/>
      </c>
      <c r="M280" s="10" t="n">
        <v>85</v>
      </c>
      <c r="N280" s="10" t="n">
        <v>11</v>
      </c>
      <c r="O280" s="10">
        <f>J280/160</f>
        <v/>
      </c>
      <c r="P280" s="10" t="n">
        <v>100</v>
      </c>
      <c r="Q280" s="10">
        <f>L280+M280+N280+O280-P280</f>
        <v/>
      </c>
      <c r="R280" s="11">
        <f>T279</f>
        <v/>
      </c>
      <c r="S280" s="11">
        <f>N(V280) + N(X280) + N(Z280)</f>
        <v/>
      </c>
      <c r="T280" s="11">
        <f>R280+P280-S280</f>
        <v/>
      </c>
      <c r="U280" s="11" t="inlineStr">
        <is>
          <t>是</t>
        </is>
      </c>
      <c r="V280" s="11" t="n">
        <v>50</v>
      </c>
      <c r="W280" s="11" t="inlineStr">
        <is>
          <t>是</t>
        </is>
      </c>
      <c r="X280" s="11" t="n">
        <v>50</v>
      </c>
      <c r="Y280" s="11" t="inlineStr">
        <is>
          <t>-</t>
        </is>
      </c>
      <c r="Z280" s="11" t="n">
        <v>0</v>
      </c>
      <c r="AA280" s="11" t="inlineStr">
        <is>
          <t>无</t>
        </is>
      </c>
      <c r="AB280" s="12">
        <f>AE279</f>
        <v/>
      </c>
      <c r="AC280" s="12" t="n">
        <v>4</v>
      </c>
      <c r="AD280" s="12" t="n">
        <v>0</v>
      </c>
      <c r="AE280" s="12">
        <f>AB280+AC280+AD280</f>
        <v/>
      </c>
      <c r="AF280" s="13">
        <f>AI279</f>
        <v/>
      </c>
      <c r="AG280" s="13" t="n">
        <v>0</v>
      </c>
      <c r="AH280" s="13" t="n">
        <v>0</v>
      </c>
      <c r="AI280" s="13">
        <f>AF280+AG280+AH280</f>
        <v/>
      </c>
      <c r="AJ280" s="14" t="n">
        <v>0</v>
      </c>
      <c r="AK280" s="14" t="n">
        <v>50</v>
      </c>
      <c r="AL280" s="14" t="n">
        <v>0</v>
      </c>
      <c r="AM280" s="14">
        <f>AJ280+AK280+AL280</f>
        <v/>
      </c>
      <c r="AN280" s="14">
        <f>AN279+AM280</f>
        <v/>
      </c>
    </row>
    <row r="281">
      <c r="A281" s="8" t="n">
        <v>11</v>
      </c>
      <c r="B281" s="8" t="n">
        <v>10</v>
      </c>
      <c r="C281" s="8" t="n">
        <v>2</v>
      </c>
      <c r="D281" s="8" t="inlineStr">
        <is>
          <t>月卡收益 [月卡续费-30元]</t>
        </is>
      </c>
      <c r="E281" s="9">
        <f>K280</f>
        <v/>
      </c>
      <c r="F281" s="9" t="n">
        <v>1540</v>
      </c>
      <c r="G281" s="9" t="n">
        <v>0</v>
      </c>
      <c r="H281" s="9" t="n">
        <v>0</v>
      </c>
      <c r="I281" s="9" t="n">
        <v>0</v>
      </c>
      <c r="J281" s="9" t="n">
        <v>14240</v>
      </c>
      <c r="K281" s="9">
        <f>E281+F281+G281+H281+I281-J281</f>
        <v/>
      </c>
      <c r="L281" s="10">
        <f>Q280</f>
        <v/>
      </c>
      <c r="M281" s="10" t="n">
        <v>0</v>
      </c>
      <c r="N281" s="10" t="n">
        <v>11</v>
      </c>
      <c r="O281" s="10">
        <f>J281/160</f>
        <v/>
      </c>
      <c r="P281" s="10" t="n">
        <v>100</v>
      </c>
      <c r="Q281" s="10">
        <f>L281+M281+N281+O281-P281</f>
        <v/>
      </c>
      <c r="R281" s="11">
        <f>T280</f>
        <v/>
      </c>
      <c r="S281" s="11">
        <f>N(V281) + N(X281) + N(Z281)</f>
        <v/>
      </c>
      <c r="T281" s="11">
        <f>R281+P281-S281</f>
        <v/>
      </c>
      <c r="U281" s="11" t="inlineStr">
        <is>
          <t>是</t>
        </is>
      </c>
      <c r="V281" s="11" t="n">
        <v>51</v>
      </c>
      <c r="W281" s="11" t="inlineStr">
        <is>
          <t>是</t>
        </is>
      </c>
      <c r="X281" s="11" t="n">
        <v>49</v>
      </c>
      <c r="Y281" s="11" t="inlineStr">
        <is>
          <t>-</t>
        </is>
      </c>
      <c r="Z281" s="11" t="n">
        <v>0</v>
      </c>
      <c r="AA281" s="11" t="inlineStr">
        <is>
          <t>无</t>
        </is>
      </c>
      <c r="AB281" s="12">
        <f>AE280</f>
        <v/>
      </c>
      <c r="AC281" s="12" t="n">
        <v>0</v>
      </c>
      <c r="AD281" s="12" t="n">
        <v>0</v>
      </c>
      <c r="AE281" s="12">
        <f>AB281+AC281+AD281</f>
        <v/>
      </c>
      <c r="AF281" s="13">
        <f>AI280</f>
        <v/>
      </c>
      <c r="AG281" s="13" t="n">
        <v>0</v>
      </c>
      <c r="AH281" s="13" t="n">
        <v>0</v>
      </c>
      <c r="AI281" s="13">
        <f>AF281+AG281+AH281</f>
        <v/>
      </c>
      <c r="AJ281" s="14" t="n">
        <v>30</v>
      </c>
      <c r="AK281" s="14" t="n">
        <v>0</v>
      </c>
      <c r="AL281" s="14" t="n">
        <v>0</v>
      </c>
      <c r="AM281" s="14">
        <f>AJ281+AK281+AL281</f>
        <v/>
      </c>
      <c r="AN281" s="14">
        <f>AN280+AM281</f>
        <v/>
      </c>
    </row>
    <row r="282">
      <c r="A282" s="8" t="n">
        <v>11</v>
      </c>
      <c r="B282" s="8" t="n">
        <v>11</v>
      </c>
      <c r="C282" s="8" t="n">
        <v>1</v>
      </c>
      <c r="D282" s="8" t="inlineStr">
        <is>
          <t>版本免费+义相逢 + 月卡收益</t>
        </is>
      </c>
      <c r="E282" s="9">
        <f>K281</f>
        <v/>
      </c>
      <c r="F282" s="9" t="n">
        <v>1540</v>
      </c>
      <c r="G282" s="9" t="n">
        <v>4800</v>
      </c>
      <c r="H282" s="9" t="n">
        <v>0</v>
      </c>
      <c r="I282" s="9" t="n">
        <v>0</v>
      </c>
      <c r="J282" s="9" t="n">
        <v>640</v>
      </c>
      <c r="K282" s="9">
        <f>E282+F282+G282+H282+I282-J282</f>
        <v/>
      </c>
      <c r="L282" s="10">
        <f>Q281</f>
        <v/>
      </c>
      <c r="M282" s="10" t="n">
        <v>85</v>
      </c>
      <c r="N282" s="10" t="n">
        <v>11</v>
      </c>
      <c r="O282" s="10">
        <f>J282/160</f>
        <v/>
      </c>
      <c r="P282" s="10" t="n">
        <v>100</v>
      </c>
      <c r="Q282" s="10">
        <f>L282+M282+N282+O282-P282</f>
        <v/>
      </c>
      <c r="R282" s="11">
        <f>T281</f>
        <v/>
      </c>
      <c r="S282" s="11">
        <f>N(V282) + N(X282) + N(Z282)</f>
        <v/>
      </c>
      <c r="T282" s="11">
        <f>R282+P282-S282</f>
        <v/>
      </c>
      <c r="U282" s="11" t="inlineStr">
        <is>
          <t>是</t>
        </is>
      </c>
      <c r="V282" s="11" t="n">
        <v>47</v>
      </c>
      <c r="W282" s="11" t="inlineStr">
        <is>
          <t>是</t>
        </is>
      </c>
      <c r="X282" s="11" t="n">
        <v>53</v>
      </c>
      <c r="Y282" s="11" t="inlineStr">
        <is>
          <t>-</t>
        </is>
      </c>
      <c r="Z282" s="11" t="n">
        <v>0</v>
      </c>
      <c r="AA282" s="11" t="inlineStr">
        <is>
          <t>无</t>
        </is>
      </c>
      <c r="AB282" s="12">
        <f>AE281</f>
        <v/>
      </c>
      <c r="AC282" s="12" t="n">
        <v>4</v>
      </c>
      <c r="AD282" s="12" t="n">
        <v>0</v>
      </c>
      <c r="AE282" s="12">
        <f>AB282+AC282+AD282</f>
        <v/>
      </c>
      <c r="AF282" s="13">
        <f>AI281</f>
        <v/>
      </c>
      <c r="AG282" s="13" t="n">
        <v>0</v>
      </c>
      <c r="AH282" s="13" t="n">
        <v>0</v>
      </c>
      <c r="AI282" s="13">
        <f>AF282+AG282+AH282</f>
        <v/>
      </c>
      <c r="AJ282" s="14" t="n">
        <v>0</v>
      </c>
      <c r="AK282" s="14" t="n">
        <v>50</v>
      </c>
      <c r="AL282" s="14" t="n">
        <v>0</v>
      </c>
      <c r="AM282" s="14">
        <f>AJ282+AK282+AL282</f>
        <v/>
      </c>
      <c r="AN282" s="14">
        <f>AN281+AM282</f>
        <v/>
      </c>
    </row>
    <row r="283">
      <c r="A283" s="8" t="n">
        <v>11</v>
      </c>
      <c r="B283" s="8" t="n">
        <v>11</v>
      </c>
      <c r="C283" s="8" t="n">
        <v>2</v>
      </c>
      <c r="D283" s="8" t="inlineStr">
        <is>
          <t>月卡收益 [月卡续费-30元]</t>
        </is>
      </c>
      <c r="E283" s="9">
        <f>K282</f>
        <v/>
      </c>
      <c r="F283" s="9" t="n">
        <v>1540</v>
      </c>
      <c r="G283" s="9" t="n">
        <v>0</v>
      </c>
      <c r="H283" s="9" t="n">
        <v>0</v>
      </c>
      <c r="I283" s="9" t="n">
        <v>0</v>
      </c>
      <c r="J283" s="9" t="n">
        <v>13440</v>
      </c>
      <c r="K283" s="9">
        <f>E283+F283+G283+H283+I283-J283</f>
        <v/>
      </c>
      <c r="L283" s="10">
        <f>Q282</f>
        <v/>
      </c>
      <c r="M283" s="10" t="n">
        <v>0</v>
      </c>
      <c r="N283" s="10" t="n">
        <v>11</v>
      </c>
      <c r="O283" s="10">
        <f>J283/160</f>
        <v/>
      </c>
      <c r="P283" s="10" t="n">
        <v>90</v>
      </c>
      <c r="Q283" s="10">
        <f>L283+M283+N283+O283-P283</f>
        <v/>
      </c>
      <c r="R283" s="11">
        <f>T282</f>
        <v/>
      </c>
      <c r="S283" s="11">
        <f>N(V283) + N(X283) + N(Z283)</f>
        <v/>
      </c>
      <c r="T283" s="11">
        <f>R283+P283-S283</f>
        <v/>
      </c>
      <c r="U283" s="11" t="inlineStr">
        <is>
          <t>是</t>
        </is>
      </c>
      <c r="V283" s="11" t="n">
        <v>46</v>
      </c>
      <c r="W283" s="11" t="inlineStr">
        <is>
          <t>是</t>
        </is>
      </c>
      <c r="X283" s="11" t="n">
        <v>47</v>
      </c>
      <c r="Y283" s="11" t="inlineStr">
        <is>
          <t>-</t>
        </is>
      </c>
      <c r="Z283" s="11" t="n">
        <v>0</v>
      </c>
      <c r="AA283" s="11" t="inlineStr">
        <is>
          <t>无</t>
        </is>
      </c>
      <c r="AB283" s="12">
        <f>AE282</f>
        <v/>
      </c>
      <c r="AC283" s="12" t="n">
        <v>0</v>
      </c>
      <c r="AD283" s="12" t="n">
        <v>0</v>
      </c>
      <c r="AE283" s="12">
        <f>AB283+AC283+AD283</f>
        <v/>
      </c>
      <c r="AF283" s="13">
        <f>AI282</f>
        <v/>
      </c>
      <c r="AG283" s="13" t="n">
        <v>0</v>
      </c>
      <c r="AH283" s="13" t="n">
        <v>0</v>
      </c>
      <c r="AI283" s="13">
        <f>AF283+AG283+AH283</f>
        <v/>
      </c>
      <c r="AJ283" s="14" t="n">
        <v>30</v>
      </c>
      <c r="AK283" s="14" t="n">
        <v>0</v>
      </c>
      <c r="AL283" s="14" t="n">
        <v>0</v>
      </c>
      <c r="AM283" s="14">
        <f>AJ283+AK283+AL283</f>
        <v/>
      </c>
      <c r="AN283" s="14">
        <f>AN282+AM283</f>
        <v/>
      </c>
    </row>
    <row r="284">
      <c r="A284" s="8" t="n">
        <v>11</v>
      </c>
      <c r="B284" s="8" t="n">
        <v>12</v>
      </c>
      <c r="C284" s="8" t="n">
        <v>1</v>
      </c>
      <c r="D284" s="8" t="inlineStr">
        <is>
          <t>版本免费+义相逢 + 月卡收益</t>
        </is>
      </c>
      <c r="E284" s="9">
        <f>K283</f>
        <v/>
      </c>
      <c r="F284" s="9" t="n">
        <v>1540</v>
      </c>
      <c r="G284" s="9" t="n">
        <v>4800</v>
      </c>
      <c r="H284" s="9" t="n">
        <v>0</v>
      </c>
      <c r="I284" s="9" t="n">
        <v>0</v>
      </c>
      <c r="J284" s="9" t="n">
        <v>0</v>
      </c>
      <c r="K284" s="9">
        <f>E284+F284+G284+H284+I284-J284</f>
        <v/>
      </c>
      <c r="L284" s="10">
        <f>Q283</f>
        <v/>
      </c>
      <c r="M284" s="10" t="n">
        <v>85</v>
      </c>
      <c r="N284" s="10" t="n">
        <v>6</v>
      </c>
      <c r="O284" s="10">
        <f>J284/160</f>
        <v/>
      </c>
      <c r="P284" s="10" t="n">
        <v>60</v>
      </c>
      <c r="Q284" s="10">
        <f>L284+M284+N284+O284-P284</f>
        <v/>
      </c>
      <c r="R284" s="11">
        <f>T283</f>
        <v/>
      </c>
      <c r="S284" s="11">
        <f>N(V284) + N(X284) + N(Z284)</f>
        <v/>
      </c>
      <c r="T284" s="11">
        <f>R284+P284-S284</f>
        <v/>
      </c>
      <c r="U284" s="11" t="inlineStr">
        <is>
          <t>是</t>
        </is>
      </c>
      <c r="V284" s="11" t="n">
        <v>50</v>
      </c>
      <c r="W284" s="11" t="inlineStr">
        <is>
          <t>否</t>
        </is>
      </c>
      <c r="X284" s="11" t="inlineStr">
        <is>
          <t>-</t>
        </is>
      </c>
      <c r="Y284" s="11" t="inlineStr">
        <is>
          <t>-</t>
        </is>
      </c>
      <c r="Z284" s="11" t="n">
        <v>0</v>
      </c>
      <c r="AA284" s="11" t="inlineStr">
        <is>
          <t>垫到60抽</t>
        </is>
      </c>
      <c r="AB284" s="12">
        <f>AE283</f>
        <v/>
      </c>
      <c r="AC284" s="12" t="n">
        <v>4</v>
      </c>
      <c r="AD284" s="12" t="n">
        <v>0</v>
      </c>
      <c r="AE284" s="12">
        <f>AB284+AC284+AD284</f>
        <v/>
      </c>
      <c r="AF284" s="13">
        <f>AI283</f>
        <v/>
      </c>
      <c r="AG284" s="13" t="n">
        <v>0</v>
      </c>
      <c r="AH284" s="13" t="n">
        <v>0</v>
      </c>
      <c r="AI284" s="13">
        <f>AF284+AG284+AH284</f>
        <v/>
      </c>
      <c r="AJ284" s="14" t="n">
        <v>0</v>
      </c>
      <c r="AK284" s="14" t="n">
        <v>50</v>
      </c>
      <c r="AL284" s="14" t="n">
        <v>0</v>
      </c>
      <c r="AM284" s="14">
        <f>AJ284+AK284+AL284</f>
        <v/>
      </c>
      <c r="AN284" s="14">
        <f>AN283+AM284</f>
        <v/>
      </c>
    </row>
    <row r="285">
      <c r="A285" s="8" t="n">
        <v>11</v>
      </c>
      <c r="B285" s="8" t="n">
        <v>12</v>
      </c>
      <c r="C285" s="8" t="n">
        <v>2</v>
      </c>
      <c r="D285" s="8" t="inlineStr">
        <is>
          <t>月卡收益 [月卡续费-30元]</t>
        </is>
      </c>
      <c r="E285" s="9">
        <f>K284</f>
        <v/>
      </c>
      <c r="F285" s="9" t="n">
        <v>1540</v>
      </c>
      <c r="G285" s="9" t="n">
        <v>0</v>
      </c>
      <c r="H285" s="9" t="n">
        <v>0</v>
      </c>
      <c r="I285" s="9" t="n">
        <v>0</v>
      </c>
      <c r="J285" s="9" t="n">
        <v>0</v>
      </c>
      <c r="K285" s="9">
        <f>E285+F285+G285+H285+I285-J285</f>
        <v/>
      </c>
      <c r="L285" s="10">
        <f>Q284</f>
        <v/>
      </c>
      <c r="M285" s="10" t="n">
        <v>0</v>
      </c>
      <c r="N285" s="10" t="n">
        <v>3</v>
      </c>
      <c r="O285" s="10">
        <f>J285/160</f>
        <v/>
      </c>
      <c r="P285" s="10" t="n">
        <v>30</v>
      </c>
      <c r="Q285" s="10">
        <f>L285+M285+N285+O285-P285</f>
        <v/>
      </c>
      <c r="R285" s="11">
        <f>T284</f>
        <v/>
      </c>
      <c r="S285" s="11">
        <f>N(V285) + N(X285) + N(Z285)</f>
        <v/>
      </c>
      <c r="T285" s="11">
        <f>R285+P285-S285</f>
        <v/>
      </c>
      <c r="U285" s="11" t="inlineStr">
        <is>
          <t>是</t>
        </is>
      </c>
      <c r="V285" s="11" t="n">
        <v>38</v>
      </c>
      <c r="W285" s="11" t="inlineStr">
        <is>
          <t>否</t>
        </is>
      </c>
      <c r="X285" s="11" t="inlineStr">
        <is>
          <t>-</t>
        </is>
      </c>
      <c r="Y285" s="11" t="inlineStr">
        <is>
          <t>-</t>
        </is>
      </c>
      <c r="Z285" s="11" t="n">
        <v>0</v>
      </c>
      <c r="AA285" s="11" t="inlineStr">
        <is>
          <t>无</t>
        </is>
      </c>
      <c r="AB285" s="12">
        <f>AE284</f>
        <v/>
      </c>
      <c r="AC285" s="12" t="n">
        <v>0</v>
      </c>
      <c r="AD285" s="12" t="n">
        <v>0</v>
      </c>
      <c r="AE285" s="12">
        <f>AB285+AC285+AD285</f>
        <v/>
      </c>
      <c r="AF285" s="13">
        <f>AI284</f>
        <v/>
      </c>
      <c r="AG285" s="13" t="n">
        <v>0</v>
      </c>
      <c r="AH285" s="13" t="n">
        <v>0</v>
      </c>
      <c r="AI285" s="13">
        <f>AF285+AG285+AH285</f>
        <v/>
      </c>
      <c r="AJ285" s="14" t="n">
        <v>30</v>
      </c>
      <c r="AK285" s="14" t="n">
        <v>0</v>
      </c>
      <c r="AL285" s="14" t="n">
        <v>0</v>
      </c>
      <c r="AM285" s="14">
        <f>AJ285+AK285+AL285</f>
        <v/>
      </c>
      <c r="AN285" s="14">
        <f>AN284+AM285</f>
        <v/>
      </c>
    </row>
    <row r="286">
      <c r="A286" s="8" t="n">
        <v>11</v>
      </c>
      <c r="B286" s="8" t="n">
        <v>13</v>
      </c>
      <c r="C286" s="8" t="n">
        <v>1</v>
      </c>
      <c r="D286" s="8" t="inlineStr">
        <is>
          <t>版本免费+义相逢 + 月卡收益</t>
        </is>
      </c>
      <c r="E286" s="9">
        <f>K285</f>
        <v/>
      </c>
      <c r="F286" s="9" t="n">
        <v>1540</v>
      </c>
      <c r="G286" s="9" t="n">
        <v>4800</v>
      </c>
      <c r="H286" s="9" t="n">
        <v>0</v>
      </c>
      <c r="I286" s="9" t="n">
        <v>0</v>
      </c>
      <c r="J286" s="9" t="n">
        <v>0</v>
      </c>
      <c r="K286" s="9">
        <f>E286+F286+G286+H286+I286-J286</f>
        <v/>
      </c>
      <c r="L286" s="10">
        <f>Q285</f>
        <v/>
      </c>
      <c r="M286" s="10" t="n">
        <v>85</v>
      </c>
      <c r="N286" s="10" t="n">
        <v>6</v>
      </c>
      <c r="O286" s="10">
        <f>J286/160</f>
        <v/>
      </c>
      <c r="P286" s="10" t="n">
        <v>60</v>
      </c>
      <c r="Q286" s="10">
        <f>L286+M286+N286+O286-P286</f>
        <v/>
      </c>
      <c r="R286" s="11">
        <f>T285</f>
        <v/>
      </c>
      <c r="S286" s="11">
        <f>N(V286) + N(X286) + N(Z286)</f>
        <v/>
      </c>
      <c r="T286" s="11">
        <f>R286+P286-S286</f>
        <v/>
      </c>
      <c r="U286" s="11" t="inlineStr">
        <is>
          <t>是</t>
        </is>
      </c>
      <c r="V286" s="11" t="n">
        <v>52</v>
      </c>
      <c r="W286" s="11" t="inlineStr">
        <is>
          <t>否</t>
        </is>
      </c>
      <c r="X286" s="11" t="inlineStr">
        <is>
          <t>-</t>
        </is>
      </c>
      <c r="Y286" s="11" t="inlineStr">
        <is>
          <t>-</t>
        </is>
      </c>
      <c r="Z286" s="11" t="n">
        <v>0</v>
      </c>
      <c r="AA286" s="11" t="inlineStr">
        <is>
          <t>垫到60抽</t>
        </is>
      </c>
      <c r="AB286" s="12">
        <f>AE285</f>
        <v/>
      </c>
      <c r="AC286" s="12" t="n">
        <v>4</v>
      </c>
      <c r="AD286" s="12" t="n">
        <v>0</v>
      </c>
      <c r="AE286" s="12">
        <f>AB286+AC286+AD286</f>
        <v/>
      </c>
      <c r="AF286" s="13">
        <f>AI285</f>
        <v/>
      </c>
      <c r="AG286" s="13" t="n">
        <v>0</v>
      </c>
      <c r="AH286" s="13" t="n">
        <v>0</v>
      </c>
      <c r="AI286" s="13">
        <f>AF286+AG286+AH286</f>
        <v/>
      </c>
      <c r="AJ286" s="14" t="n">
        <v>0</v>
      </c>
      <c r="AK286" s="14" t="n">
        <v>50</v>
      </c>
      <c r="AL286" s="14" t="n">
        <v>0</v>
      </c>
      <c r="AM286" s="14">
        <f>AJ286+AK286+AL286</f>
        <v/>
      </c>
      <c r="AN286" s="14">
        <f>AN285+AM286</f>
        <v/>
      </c>
    </row>
    <row r="287">
      <c r="A287" s="8" t="n">
        <v>11</v>
      </c>
      <c r="B287" s="8" t="n">
        <v>13</v>
      </c>
      <c r="C287" s="8" t="n">
        <v>2</v>
      </c>
      <c r="D287" s="8" t="inlineStr">
        <is>
          <t>月卡收益</t>
        </is>
      </c>
      <c r="E287" s="9">
        <f>K286</f>
        <v/>
      </c>
      <c r="F287" s="9" t="n">
        <v>1540</v>
      </c>
      <c r="G287" s="9" t="n">
        <v>0</v>
      </c>
      <c r="H287" s="9" t="n">
        <v>0</v>
      </c>
      <c r="I287" s="9" t="n">
        <v>0</v>
      </c>
      <c r="J287" s="9" t="n">
        <v>7040</v>
      </c>
      <c r="K287" s="9">
        <f>E287+F287+G287+H287+I287-J287</f>
        <v/>
      </c>
      <c r="L287" s="10">
        <f>Q286</f>
        <v/>
      </c>
      <c r="M287" s="10" t="n">
        <v>0</v>
      </c>
      <c r="N287" s="10" t="n">
        <v>11</v>
      </c>
      <c r="O287" s="10">
        <f>J287/160</f>
        <v/>
      </c>
      <c r="P287" s="10" t="n">
        <v>90</v>
      </c>
      <c r="Q287" s="10">
        <f>L287+M287+N287+O287-P287</f>
        <v/>
      </c>
      <c r="R287" s="11">
        <f>T286</f>
        <v/>
      </c>
      <c r="S287" s="11">
        <f>N(V287) + N(X287) + N(Z287)</f>
        <v/>
      </c>
      <c r="T287" s="11">
        <f>R287+P287-S287</f>
        <v/>
      </c>
      <c r="U287" s="11" t="inlineStr">
        <is>
          <t>是</t>
        </is>
      </c>
      <c r="V287" s="11" t="n">
        <v>49</v>
      </c>
      <c r="W287" s="11" t="inlineStr">
        <is>
          <t>是</t>
        </is>
      </c>
      <c r="X287" s="11" t="n">
        <v>49</v>
      </c>
      <c r="Y287" s="11" t="inlineStr">
        <is>
          <t>-</t>
        </is>
      </c>
      <c r="Z287" s="11" t="n">
        <v>0</v>
      </c>
      <c r="AA287" s="11" t="inlineStr">
        <is>
          <t>无</t>
        </is>
      </c>
      <c r="AB287" s="12">
        <f>AE286</f>
        <v/>
      </c>
      <c r="AC287" s="12" t="n">
        <v>0</v>
      </c>
      <c r="AD287" s="12" t="n">
        <v>0</v>
      </c>
      <c r="AE287" s="12">
        <f>AB287+AC287+AD287</f>
        <v/>
      </c>
      <c r="AF287" s="13">
        <f>AI286</f>
        <v/>
      </c>
      <c r="AG287" s="13" t="n">
        <v>0</v>
      </c>
      <c r="AH287" s="13" t="n">
        <v>0</v>
      </c>
      <c r="AI287" s="13">
        <f>AF287+AG287+AH287</f>
        <v/>
      </c>
      <c r="AJ287" s="14" t="n">
        <v>0</v>
      </c>
      <c r="AK287" s="14" t="n">
        <v>0</v>
      </c>
      <c r="AL287" s="14" t="n">
        <v>0</v>
      </c>
      <c r="AM287" s="14">
        <f>AJ287+AK287+AL287</f>
        <v/>
      </c>
      <c r="AN287" s="14">
        <f>AN286+AM287</f>
        <v/>
      </c>
    </row>
    <row r="288">
      <c r="A288" s="8" t="n">
        <v>12</v>
      </c>
      <c r="B288" s="8" t="n">
        <v>1</v>
      </c>
      <c r="C288" s="8" t="n">
        <v>1</v>
      </c>
      <c r="D288" s="8" t="inlineStr">
        <is>
          <t>版本免费+义相逢 + 月卡收益 [月卡续费-30元]</t>
        </is>
      </c>
      <c r="E288" s="9" t="n">
        <v>18840</v>
      </c>
      <c r="F288" s="9" t="n">
        <v>1540</v>
      </c>
      <c r="G288" s="9" t="n">
        <v>4800</v>
      </c>
      <c r="H288" s="9" t="n">
        <v>0</v>
      </c>
      <c r="I288" s="9" t="n">
        <v>0</v>
      </c>
      <c r="J288" s="9" t="n">
        <v>0</v>
      </c>
      <c r="K288" s="9">
        <f>E288+F288+G288+H288+I288-J288</f>
        <v/>
      </c>
      <c r="L288" s="10" t="n">
        <v>5</v>
      </c>
      <c r="M288" s="10" t="n">
        <v>85</v>
      </c>
      <c r="N288" s="10" t="n">
        <v>3</v>
      </c>
      <c r="O288" s="10">
        <f>J288/160</f>
        <v/>
      </c>
      <c r="P288" s="10" t="n">
        <v>40</v>
      </c>
      <c r="Q288" s="10">
        <f>L288+M288+N288+O288-P288</f>
        <v/>
      </c>
      <c r="R288" s="11" t="n">
        <v>8</v>
      </c>
      <c r="S288" s="11">
        <f>N(V288) + N(X288) + N(Z288)</f>
        <v/>
      </c>
      <c r="T288" s="11">
        <f>R288+P288-S288</f>
        <v/>
      </c>
      <c r="U288" s="11" t="inlineStr">
        <is>
          <t>是</t>
        </is>
      </c>
      <c r="V288" s="11" t="n">
        <v>48</v>
      </c>
      <c r="W288" s="11" t="inlineStr">
        <is>
          <t>否</t>
        </is>
      </c>
      <c r="X288" s="11" t="inlineStr">
        <is>
          <t>-</t>
        </is>
      </c>
      <c r="Y288" s="11" t="inlineStr">
        <is>
          <t>-</t>
        </is>
      </c>
      <c r="Z288" s="11" t="n">
        <v>0</v>
      </c>
      <c r="AA288" s="11" t="inlineStr">
        <is>
          <t>无</t>
        </is>
      </c>
      <c r="AB288" s="12" t="n">
        <v>587</v>
      </c>
      <c r="AC288" s="12" t="n">
        <v>4</v>
      </c>
      <c r="AD288" s="12" t="n">
        <v>0</v>
      </c>
      <c r="AE288" s="12">
        <f>AB288+AC288+AD288</f>
        <v/>
      </c>
      <c r="AF288" s="13" t="n">
        <v>75000</v>
      </c>
      <c r="AG288" s="13" t="n">
        <v>0</v>
      </c>
      <c r="AH288" s="13" t="n">
        <v>0</v>
      </c>
      <c r="AI288" s="13">
        <f>AF288+AG288+AH288</f>
        <v/>
      </c>
      <c r="AJ288" s="14" t="n">
        <v>30</v>
      </c>
      <c r="AK288" s="14" t="n">
        <v>50</v>
      </c>
      <c r="AL288" s="14" t="n">
        <v>0</v>
      </c>
      <c r="AM288" s="14">
        <f>AJ288+AK288+AL288</f>
        <v/>
      </c>
      <c r="AN288" s="14">
        <f>AM288</f>
        <v/>
      </c>
    </row>
    <row r="289">
      <c r="A289" s="8" t="n">
        <v>12</v>
      </c>
      <c r="B289" s="8" t="n">
        <v>1</v>
      </c>
      <c r="C289" s="8" t="n">
        <v>2</v>
      </c>
      <c r="D289" s="8" t="inlineStr">
        <is>
          <t>月卡收益</t>
        </is>
      </c>
      <c r="E289" s="9">
        <f>K288</f>
        <v/>
      </c>
      <c r="F289" s="9" t="n">
        <v>1540</v>
      </c>
      <c r="G289" s="9" t="n">
        <v>0</v>
      </c>
      <c r="H289" s="9" t="n">
        <v>0</v>
      </c>
      <c r="I289" s="9" t="n">
        <v>0</v>
      </c>
      <c r="J289" s="9" t="n">
        <v>640</v>
      </c>
      <c r="K289" s="9">
        <f>E289+F289+G289+H289+I289-J289</f>
        <v/>
      </c>
      <c r="L289" s="10">
        <f>Q288</f>
        <v/>
      </c>
      <c r="M289" s="10" t="n">
        <v>0</v>
      </c>
      <c r="N289" s="10" t="n">
        <v>6</v>
      </c>
      <c r="O289" s="10">
        <f>J289/160</f>
        <v/>
      </c>
      <c r="P289" s="10" t="n">
        <v>60</v>
      </c>
      <c r="Q289" s="10">
        <f>L289+M289+N289+O289-P289</f>
        <v/>
      </c>
      <c r="R289" s="11">
        <f>T288</f>
        <v/>
      </c>
      <c r="S289" s="11">
        <f>N(V289) + N(X289) + N(Z289)</f>
        <v/>
      </c>
      <c r="T289" s="11">
        <f>R289+P289-S289</f>
        <v/>
      </c>
      <c r="U289" s="11" t="inlineStr">
        <is>
          <t>是</t>
        </is>
      </c>
      <c r="V289" s="11" t="n">
        <v>53</v>
      </c>
      <c r="W289" s="11" t="inlineStr">
        <is>
          <t>否</t>
        </is>
      </c>
      <c r="X289" s="11" t="inlineStr">
        <is>
          <t>-</t>
        </is>
      </c>
      <c r="Y289" s="11" t="inlineStr">
        <is>
          <t>-</t>
        </is>
      </c>
      <c r="Z289" s="11" t="n">
        <v>0</v>
      </c>
      <c r="AA289" s="11" t="inlineStr">
        <is>
          <t>无</t>
        </is>
      </c>
      <c r="AB289" s="12">
        <f>AE288</f>
        <v/>
      </c>
      <c r="AC289" s="12" t="n">
        <v>0</v>
      </c>
      <c r="AD289" s="12" t="n">
        <v>0</v>
      </c>
      <c r="AE289" s="12">
        <f>AB289+AC289+AD289</f>
        <v/>
      </c>
      <c r="AF289" s="13">
        <f>AI288</f>
        <v/>
      </c>
      <c r="AG289" s="13" t="n">
        <v>0</v>
      </c>
      <c r="AH289" s="13" t="n">
        <v>0</v>
      </c>
      <c r="AI289" s="13">
        <f>AF289+AG289+AH289</f>
        <v/>
      </c>
      <c r="AJ289" s="14" t="n">
        <v>0</v>
      </c>
      <c r="AK289" s="14" t="n">
        <v>0</v>
      </c>
      <c r="AL289" s="14" t="n">
        <v>0</v>
      </c>
      <c r="AM289" s="14">
        <f>AJ289+AK289+AL289</f>
        <v/>
      </c>
      <c r="AN289" s="14">
        <f>AN288+AM289</f>
        <v/>
      </c>
    </row>
    <row r="290">
      <c r="A290" s="8" t="n">
        <v>12</v>
      </c>
      <c r="B290" s="8" t="n">
        <v>2</v>
      </c>
      <c r="C290" s="8" t="n">
        <v>1</v>
      </c>
      <c r="D290" s="8" t="inlineStr">
        <is>
          <t>版本免费+义相逢 + 月卡收益 [月卡续费-30元]</t>
        </is>
      </c>
      <c r="E290" s="9">
        <f>K289</f>
        <v/>
      </c>
      <c r="F290" s="9" t="n">
        <v>1540</v>
      </c>
      <c r="G290" s="9" t="n">
        <v>4800</v>
      </c>
      <c r="H290" s="9" t="n">
        <v>0</v>
      </c>
      <c r="I290" s="9" t="n">
        <v>0</v>
      </c>
      <c r="J290" s="9" t="n">
        <v>14560</v>
      </c>
      <c r="K290" s="9">
        <f>E290+F290+G290+H290+I290-J290</f>
        <v/>
      </c>
      <c r="L290" s="10">
        <f>Q289</f>
        <v/>
      </c>
      <c r="M290" s="10" t="n">
        <v>85</v>
      </c>
      <c r="N290" s="10" t="n">
        <v>21</v>
      </c>
      <c r="O290" s="10">
        <f>J290/160</f>
        <v/>
      </c>
      <c r="P290" s="10" t="n">
        <v>200</v>
      </c>
      <c r="Q290" s="10">
        <f>L290+M290+N290+O290-P290</f>
        <v/>
      </c>
      <c r="R290" s="11">
        <f>T289</f>
        <v/>
      </c>
      <c r="S290" s="11">
        <f>N(V290) + N(X290) + N(Z290)</f>
        <v/>
      </c>
      <c r="T290" s="11">
        <f>R290+P290-S290</f>
        <v/>
      </c>
      <c r="U290" s="11" t="inlineStr">
        <is>
          <t>是</t>
        </is>
      </c>
      <c r="V290" s="11" t="n">
        <v>52</v>
      </c>
      <c r="W290" s="11" t="inlineStr">
        <is>
          <t>是</t>
        </is>
      </c>
      <c r="X290" s="11" t="n">
        <v>47</v>
      </c>
      <c r="Y290" s="11" t="inlineStr">
        <is>
          <t>歪(49), UP(52)</t>
        </is>
      </c>
      <c r="Z290" s="11" t="n">
        <v>101</v>
      </c>
      <c r="AA290" s="11" t="inlineStr">
        <is>
          <t>冲刺200(动态100)</t>
        </is>
      </c>
      <c r="AB290" s="12">
        <f>AE289</f>
        <v/>
      </c>
      <c r="AC290" s="12" t="n">
        <v>4</v>
      </c>
      <c r="AD290" s="12" t="n">
        <v>1</v>
      </c>
      <c r="AE290" s="12">
        <f>AB290+AC290+AD290</f>
        <v/>
      </c>
      <c r="AF290" s="13">
        <f>AI289</f>
        <v/>
      </c>
      <c r="AG290" s="13" t="n">
        <v>0</v>
      </c>
      <c r="AH290" s="13" t="n">
        <v>5000</v>
      </c>
      <c r="AI290" s="13">
        <f>AF290+AG290+AH290</f>
        <v/>
      </c>
      <c r="AJ290" s="14" t="n">
        <v>30</v>
      </c>
      <c r="AK290" s="14" t="n">
        <v>50</v>
      </c>
      <c r="AL290" s="14" t="n">
        <v>0</v>
      </c>
      <c r="AM290" s="14">
        <f>AJ290+AK290+AL290</f>
        <v/>
      </c>
      <c r="AN290" s="14">
        <f>AN289+AM290</f>
        <v/>
      </c>
    </row>
    <row r="291">
      <c r="A291" s="8" t="n">
        <v>12</v>
      </c>
      <c r="B291" s="8" t="n">
        <v>2</v>
      </c>
      <c r="C291" s="8" t="n">
        <v>2</v>
      </c>
      <c r="D291" s="8" t="inlineStr">
        <is>
          <t>月卡收益</t>
        </is>
      </c>
      <c r="E291" s="9">
        <f>K290</f>
        <v/>
      </c>
      <c r="F291" s="9" t="n">
        <v>1540</v>
      </c>
      <c r="G291" s="9" t="n">
        <v>0</v>
      </c>
      <c r="H291" s="9" t="n">
        <v>0</v>
      </c>
      <c r="I291" s="9" t="n">
        <v>0</v>
      </c>
      <c r="J291" s="9" t="n">
        <v>1600</v>
      </c>
      <c r="K291" s="9">
        <f>E291+F291+G291+H291+I291-J291</f>
        <v/>
      </c>
      <c r="L291" s="10">
        <f>Q290</f>
        <v/>
      </c>
      <c r="M291" s="10" t="n">
        <v>0</v>
      </c>
      <c r="N291" s="10" t="n">
        <v>1</v>
      </c>
      <c r="O291" s="10">
        <f>J291/160</f>
        <v/>
      </c>
      <c r="P291" s="10" t="n">
        <v>10</v>
      </c>
      <c r="Q291" s="10">
        <f>L291+M291+N291+O291-P291</f>
        <v/>
      </c>
      <c r="R291" s="11">
        <f>T290</f>
        <v/>
      </c>
      <c r="S291" s="11">
        <f>N(V291) + N(X291) + N(Z291)</f>
        <v/>
      </c>
      <c r="T291" s="11">
        <f>R291+P291-S291</f>
        <v/>
      </c>
      <c r="U291" s="11" t="inlineStr">
        <is>
          <t>是</t>
        </is>
      </c>
      <c r="V291" s="11" t="n">
        <v>10</v>
      </c>
      <c r="W291" s="11" t="inlineStr">
        <is>
          <t>否</t>
        </is>
      </c>
      <c r="X291" s="11" t="inlineStr">
        <is>
          <t>-</t>
        </is>
      </c>
      <c r="Y291" s="11" t="inlineStr">
        <is>
          <t>-</t>
        </is>
      </c>
      <c r="Z291" s="11" t="n">
        <v>0</v>
      </c>
      <c r="AA291" s="11" t="inlineStr">
        <is>
          <t>无</t>
        </is>
      </c>
      <c r="AB291" s="12">
        <f>AE290</f>
        <v/>
      </c>
      <c r="AC291" s="12" t="n">
        <v>0</v>
      </c>
      <c r="AD291" s="12" t="n">
        <v>0</v>
      </c>
      <c r="AE291" s="12">
        <f>AB291+AC291+AD291</f>
        <v/>
      </c>
      <c r="AF291" s="13">
        <f>AI290</f>
        <v/>
      </c>
      <c r="AG291" s="13" t="n">
        <v>0</v>
      </c>
      <c r="AH291" s="13" t="n">
        <v>0</v>
      </c>
      <c r="AI291" s="13">
        <f>AF291+AG291+AH291</f>
        <v/>
      </c>
      <c r="AJ291" s="14" t="n">
        <v>0</v>
      </c>
      <c r="AK291" s="14" t="n">
        <v>0</v>
      </c>
      <c r="AL291" s="14" t="n">
        <v>0</v>
      </c>
      <c r="AM291" s="14">
        <f>AJ291+AK291+AL291</f>
        <v/>
      </c>
      <c r="AN291" s="14">
        <f>AN290+AM291</f>
        <v/>
      </c>
    </row>
    <row r="292">
      <c r="A292" s="8" t="n">
        <v>12</v>
      </c>
      <c r="B292" s="8" t="n">
        <v>3</v>
      </c>
      <c r="C292" s="8" t="n">
        <v>1</v>
      </c>
      <c r="D292" s="8" t="inlineStr">
        <is>
          <t>版本免费+义相逢 + 月卡收益 [月卡续费-30元]</t>
        </is>
      </c>
      <c r="E292" s="9">
        <f>K291</f>
        <v/>
      </c>
      <c r="F292" s="9" t="n">
        <v>1540</v>
      </c>
      <c r="G292" s="9" t="n">
        <v>4800</v>
      </c>
      <c r="H292" s="9" t="n">
        <v>0</v>
      </c>
      <c r="I292" s="9" t="n">
        <v>0</v>
      </c>
      <c r="J292" s="9" t="n">
        <v>0</v>
      </c>
      <c r="K292" s="9">
        <f>E292+F292+G292+H292+I292-J292</f>
        <v/>
      </c>
      <c r="L292" s="10">
        <f>Q291</f>
        <v/>
      </c>
      <c r="M292" s="10" t="n">
        <v>85</v>
      </c>
      <c r="N292" s="10" t="n">
        <v>11</v>
      </c>
      <c r="O292" s="10">
        <f>J292/160</f>
        <v/>
      </c>
      <c r="P292" s="10" t="n">
        <v>90</v>
      </c>
      <c r="Q292" s="10">
        <f>L292+M292+N292+O292-P292</f>
        <v/>
      </c>
      <c r="R292" s="11">
        <f>T291</f>
        <v/>
      </c>
      <c r="S292" s="11">
        <f>N(V292) + N(X292) + N(Z292)</f>
        <v/>
      </c>
      <c r="T292" s="11">
        <f>R292+P292-S292</f>
        <v/>
      </c>
      <c r="U292" s="11" t="inlineStr">
        <is>
          <t>是</t>
        </is>
      </c>
      <c r="V292" s="11" t="n">
        <v>47</v>
      </c>
      <c r="W292" s="11" t="inlineStr">
        <is>
          <t>是</t>
        </is>
      </c>
      <c r="X292" s="11" t="n">
        <v>50</v>
      </c>
      <c r="Y292" s="11" t="inlineStr">
        <is>
          <t>-</t>
        </is>
      </c>
      <c r="Z292" s="11" t="n">
        <v>0</v>
      </c>
      <c r="AA292" s="11" t="inlineStr">
        <is>
          <t>无</t>
        </is>
      </c>
      <c r="AB292" s="12">
        <f>AE291</f>
        <v/>
      </c>
      <c r="AC292" s="12" t="n">
        <v>4</v>
      </c>
      <c r="AD292" s="12" t="n">
        <v>0</v>
      </c>
      <c r="AE292" s="12">
        <f>AB292+AC292+AD292</f>
        <v/>
      </c>
      <c r="AF292" s="13">
        <f>AI291</f>
        <v/>
      </c>
      <c r="AG292" s="13" t="n">
        <v>0</v>
      </c>
      <c r="AH292" s="13" t="n">
        <v>0</v>
      </c>
      <c r="AI292" s="13">
        <f>AF292+AG292+AH292</f>
        <v/>
      </c>
      <c r="AJ292" s="14" t="n">
        <v>30</v>
      </c>
      <c r="AK292" s="14" t="n">
        <v>50</v>
      </c>
      <c r="AL292" s="14" t="n">
        <v>0</v>
      </c>
      <c r="AM292" s="14">
        <f>AJ292+AK292+AL292</f>
        <v/>
      </c>
      <c r="AN292" s="14">
        <f>AN291+AM292</f>
        <v/>
      </c>
    </row>
    <row r="293">
      <c r="A293" s="8" t="n">
        <v>12</v>
      </c>
      <c r="B293" s="8" t="n">
        <v>3</v>
      </c>
      <c r="C293" s="8" t="n">
        <v>2</v>
      </c>
      <c r="D293" s="8" t="inlineStr">
        <is>
          <t>月卡收益</t>
        </is>
      </c>
      <c r="E293" s="9">
        <f>K292</f>
        <v/>
      </c>
      <c r="F293" s="9" t="n">
        <v>1540</v>
      </c>
      <c r="G293" s="9" t="n">
        <v>0</v>
      </c>
      <c r="H293" s="9" t="n">
        <v>0</v>
      </c>
      <c r="I293" s="9" t="n">
        <v>0</v>
      </c>
      <c r="J293" s="9" t="n">
        <v>8000</v>
      </c>
      <c r="K293" s="9">
        <f>E293+F293+G293+H293+I293-J293</f>
        <v/>
      </c>
      <c r="L293" s="10">
        <f>Q292</f>
        <v/>
      </c>
      <c r="M293" s="10" t="n">
        <v>0</v>
      </c>
      <c r="N293" s="10" t="n">
        <v>6</v>
      </c>
      <c r="O293" s="10">
        <f>J293/160</f>
        <v/>
      </c>
      <c r="P293" s="10" t="n">
        <v>60</v>
      </c>
      <c r="Q293" s="10">
        <f>L293+M293+N293+O293-P293</f>
        <v/>
      </c>
      <c r="R293" s="11">
        <f>T292</f>
        <v/>
      </c>
      <c r="S293" s="11">
        <f>N(V293) + N(X293) + N(Z293)</f>
        <v/>
      </c>
      <c r="T293" s="11">
        <f>R293+P293-S293</f>
        <v/>
      </c>
      <c r="U293" s="11" t="inlineStr">
        <is>
          <t>是</t>
        </is>
      </c>
      <c r="V293" s="11" t="n">
        <v>52</v>
      </c>
      <c r="W293" s="11" t="inlineStr">
        <is>
          <t>否</t>
        </is>
      </c>
      <c r="X293" s="11" t="inlineStr">
        <is>
          <t>-</t>
        </is>
      </c>
      <c r="Y293" s="11" t="inlineStr">
        <is>
          <t>-</t>
        </is>
      </c>
      <c r="Z293" s="11" t="n">
        <v>0</v>
      </c>
      <c r="AA293" s="11" t="inlineStr">
        <is>
          <t>无</t>
        </is>
      </c>
      <c r="AB293" s="12">
        <f>AE292</f>
        <v/>
      </c>
      <c r="AC293" s="12" t="n">
        <v>0</v>
      </c>
      <c r="AD293" s="12" t="n">
        <v>0</v>
      </c>
      <c r="AE293" s="12">
        <f>AB293+AC293+AD293</f>
        <v/>
      </c>
      <c r="AF293" s="13">
        <f>AI292</f>
        <v/>
      </c>
      <c r="AG293" s="13" t="n">
        <v>0</v>
      </c>
      <c r="AH293" s="13" t="n">
        <v>0</v>
      </c>
      <c r="AI293" s="13">
        <f>AF293+AG293+AH293</f>
        <v/>
      </c>
      <c r="AJ293" s="14" t="n">
        <v>0</v>
      </c>
      <c r="AK293" s="14" t="n">
        <v>0</v>
      </c>
      <c r="AL293" s="14" t="n">
        <v>0</v>
      </c>
      <c r="AM293" s="14">
        <f>AJ293+AK293+AL293</f>
        <v/>
      </c>
      <c r="AN293" s="14">
        <f>AN292+AM293</f>
        <v/>
      </c>
    </row>
    <row r="294">
      <c r="A294" s="8" t="n">
        <v>12</v>
      </c>
      <c r="B294" s="8" t="n">
        <v>4</v>
      </c>
      <c r="C294" s="8" t="n">
        <v>1</v>
      </c>
      <c r="D294" s="8" t="inlineStr">
        <is>
          <t>版本免费+义相逢 + 月卡收益 [月卡续费-30元]</t>
        </is>
      </c>
      <c r="E294" s="9">
        <f>K293</f>
        <v/>
      </c>
      <c r="F294" s="9" t="n">
        <v>1540</v>
      </c>
      <c r="G294" s="9" t="n">
        <v>4800</v>
      </c>
      <c r="H294" s="9" t="n">
        <v>0</v>
      </c>
      <c r="I294" s="9" t="n">
        <v>0</v>
      </c>
      <c r="J294" s="9" t="n">
        <v>0</v>
      </c>
      <c r="K294" s="9">
        <f>E294+F294+G294+H294+I294-J294</f>
        <v/>
      </c>
      <c r="L294" s="10">
        <f>Q293</f>
        <v/>
      </c>
      <c r="M294" s="10" t="n">
        <v>85</v>
      </c>
      <c r="N294" s="10" t="n">
        <v>6</v>
      </c>
      <c r="O294" s="10">
        <f>J294/160</f>
        <v/>
      </c>
      <c r="P294" s="10" t="n">
        <v>60</v>
      </c>
      <c r="Q294" s="10">
        <f>L294+M294+N294+O294-P294</f>
        <v/>
      </c>
      <c r="R294" s="11">
        <f>T293</f>
        <v/>
      </c>
      <c r="S294" s="11">
        <f>N(V294) + N(X294) + N(Z294)</f>
        <v/>
      </c>
      <c r="T294" s="11">
        <f>R294+P294-S294</f>
        <v/>
      </c>
      <c r="U294" s="11" t="inlineStr">
        <is>
          <t>是</t>
        </is>
      </c>
      <c r="V294" s="11" t="n">
        <v>50</v>
      </c>
      <c r="W294" s="11" t="inlineStr">
        <is>
          <t>否</t>
        </is>
      </c>
      <c r="X294" s="11" t="inlineStr">
        <is>
          <t>-</t>
        </is>
      </c>
      <c r="Y294" s="11" t="inlineStr">
        <is>
          <t>-</t>
        </is>
      </c>
      <c r="Z294" s="11" t="n">
        <v>0</v>
      </c>
      <c r="AA294" s="11" t="inlineStr">
        <is>
          <t>垫到60抽</t>
        </is>
      </c>
      <c r="AB294" s="12">
        <f>AE293</f>
        <v/>
      </c>
      <c r="AC294" s="12" t="n">
        <v>4</v>
      </c>
      <c r="AD294" s="12" t="n">
        <v>0</v>
      </c>
      <c r="AE294" s="12">
        <f>AB294+AC294+AD294</f>
        <v/>
      </c>
      <c r="AF294" s="13">
        <f>AI293</f>
        <v/>
      </c>
      <c r="AG294" s="13" t="n">
        <v>0</v>
      </c>
      <c r="AH294" s="13" t="n">
        <v>0</v>
      </c>
      <c r="AI294" s="13">
        <f>AF294+AG294+AH294</f>
        <v/>
      </c>
      <c r="AJ294" s="14" t="n">
        <v>30</v>
      </c>
      <c r="AK294" s="14" t="n">
        <v>50</v>
      </c>
      <c r="AL294" s="14" t="n">
        <v>0</v>
      </c>
      <c r="AM294" s="14">
        <f>AJ294+AK294+AL294</f>
        <v/>
      </c>
      <c r="AN294" s="14">
        <f>AN293+AM294</f>
        <v/>
      </c>
    </row>
    <row r="295">
      <c r="A295" s="8" t="n">
        <v>12</v>
      </c>
      <c r="B295" s="8" t="n">
        <v>4</v>
      </c>
      <c r="C295" s="8" t="n">
        <v>2</v>
      </c>
      <c r="D295" s="8" t="inlineStr">
        <is>
          <t>月卡收益</t>
        </is>
      </c>
      <c r="E295" s="9">
        <f>K294</f>
        <v/>
      </c>
      <c r="F295" s="9" t="n">
        <v>1540</v>
      </c>
      <c r="G295" s="9" t="n">
        <v>0</v>
      </c>
      <c r="H295" s="9" t="n">
        <v>0</v>
      </c>
      <c r="I295" s="9" t="n">
        <v>0</v>
      </c>
      <c r="J295" s="9" t="n">
        <v>0</v>
      </c>
      <c r="K295" s="9">
        <f>E295+F295+G295+H295+I295-J295</f>
        <v/>
      </c>
      <c r="L295" s="10">
        <f>Q294</f>
        <v/>
      </c>
      <c r="M295" s="10" t="n">
        <v>0</v>
      </c>
      <c r="N295" s="10" t="n">
        <v>3</v>
      </c>
      <c r="O295" s="10">
        <f>J295/160</f>
        <v/>
      </c>
      <c r="P295" s="10" t="n">
        <v>30</v>
      </c>
      <c r="Q295" s="10">
        <f>L295+M295+N295+O295-P295</f>
        <v/>
      </c>
      <c r="R295" s="11">
        <f>T294</f>
        <v/>
      </c>
      <c r="S295" s="11">
        <f>N(V295) + N(X295) + N(Z295)</f>
        <v/>
      </c>
      <c r="T295" s="11">
        <f>R295+P295-S295</f>
        <v/>
      </c>
      <c r="U295" s="11" t="inlineStr">
        <is>
          <t>是</t>
        </is>
      </c>
      <c r="V295" s="11" t="n">
        <v>48</v>
      </c>
      <c r="W295" s="11" t="inlineStr">
        <is>
          <t>否</t>
        </is>
      </c>
      <c r="X295" s="11" t="inlineStr">
        <is>
          <t>-</t>
        </is>
      </c>
      <c r="Y295" s="11" t="inlineStr">
        <is>
          <t>-</t>
        </is>
      </c>
      <c r="Z295" s="11" t="n">
        <v>0</v>
      </c>
      <c r="AA295" s="11" t="inlineStr">
        <is>
          <t>无</t>
        </is>
      </c>
      <c r="AB295" s="12">
        <f>AE294</f>
        <v/>
      </c>
      <c r="AC295" s="12" t="n">
        <v>0</v>
      </c>
      <c r="AD295" s="12" t="n">
        <v>0</v>
      </c>
      <c r="AE295" s="12">
        <f>AB295+AC295+AD295</f>
        <v/>
      </c>
      <c r="AF295" s="13">
        <f>AI294</f>
        <v/>
      </c>
      <c r="AG295" s="13" t="n">
        <v>0</v>
      </c>
      <c r="AH295" s="13" t="n">
        <v>0</v>
      </c>
      <c r="AI295" s="13">
        <f>AF295+AG295+AH295</f>
        <v/>
      </c>
      <c r="AJ295" s="14" t="n">
        <v>0</v>
      </c>
      <c r="AK295" s="14" t="n">
        <v>0</v>
      </c>
      <c r="AL295" s="14" t="n">
        <v>0</v>
      </c>
      <c r="AM295" s="14">
        <f>AJ295+AK295+AL295</f>
        <v/>
      </c>
      <c r="AN295" s="14">
        <f>AN294+AM295</f>
        <v/>
      </c>
    </row>
    <row r="296">
      <c r="A296" s="8" t="n">
        <v>12</v>
      </c>
      <c r="B296" s="8" t="n">
        <v>5</v>
      </c>
      <c r="C296" s="8" t="n">
        <v>1</v>
      </c>
      <c r="D296" s="8" t="inlineStr">
        <is>
          <t>版本免费+义相逢 + 月卡收益 [月卡续费-30元]</t>
        </is>
      </c>
      <c r="E296" s="9">
        <f>K295</f>
        <v/>
      </c>
      <c r="F296" s="9" t="n">
        <v>1540</v>
      </c>
      <c r="G296" s="9" t="n">
        <v>4800</v>
      </c>
      <c r="H296" s="9" t="n">
        <v>0</v>
      </c>
      <c r="I296" s="9" t="n">
        <v>0</v>
      </c>
      <c r="J296" s="9" t="n">
        <v>0</v>
      </c>
      <c r="K296" s="9">
        <f>E296+F296+G296+H296+I296-J296</f>
        <v/>
      </c>
      <c r="L296" s="10">
        <f>Q295</f>
        <v/>
      </c>
      <c r="M296" s="10" t="n">
        <v>85</v>
      </c>
      <c r="N296" s="10" t="n">
        <v>6</v>
      </c>
      <c r="O296" s="10">
        <f>J296/160</f>
        <v/>
      </c>
      <c r="P296" s="10" t="n">
        <v>60</v>
      </c>
      <c r="Q296" s="10">
        <f>L296+M296+N296+O296-P296</f>
        <v/>
      </c>
      <c r="R296" s="11">
        <f>T295</f>
        <v/>
      </c>
      <c r="S296" s="11">
        <f>N(V296) + N(X296) + N(Z296)</f>
        <v/>
      </c>
      <c r="T296" s="11">
        <f>R296+P296-S296</f>
        <v/>
      </c>
      <c r="U296" s="11" t="inlineStr">
        <is>
          <t>是</t>
        </is>
      </c>
      <c r="V296" s="11" t="n">
        <v>52</v>
      </c>
      <c r="W296" s="11" t="inlineStr">
        <is>
          <t>否</t>
        </is>
      </c>
      <c r="X296" s="11" t="inlineStr">
        <is>
          <t>-</t>
        </is>
      </c>
      <c r="Y296" s="11" t="inlineStr">
        <is>
          <t>-</t>
        </is>
      </c>
      <c r="Z296" s="11" t="n">
        <v>0</v>
      </c>
      <c r="AA296" s="11" t="inlineStr">
        <is>
          <t>无</t>
        </is>
      </c>
      <c r="AB296" s="12">
        <f>AE295</f>
        <v/>
      </c>
      <c r="AC296" s="12" t="n">
        <v>4</v>
      </c>
      <c r="AD296" s="12" t="n">
        <v>0</v>
      </c>
      <c r="AE296" s="12">
        <f>AB296+AC296+AD296</f>
        <v/>
      </c>
      <c r="AF296" s="13">
        <f>AI295</f>
        <v/>
      </c>
      <c r="AG296" s="13" t="n">
        <v>0</v>
      </c>
      <c r="AH296" s="13" t="n">
        <v>0</v>
      </c>
      <c r="AI296" s="13">
        <f>AF296+AG296+AH296</f>
        <v/>
      </c>
      <c r="AJ296" s="14" t="n">
        <v>30</v>
      </c>
      <c r="AK296" s="14" t="n">
        <v>50</v>
      </c>
      <c r="AL296" s="14" t="n">
        <v>0</v>
      </c>
      <c r="AM296" s="14">
        <f>AJ296+AK296+AL296</f>
        <v/>
      </c>
      <c r="AN296" s="14">
        <f>AN295+AM296</f>
        <v/>
      </c>
    </row>
    <row r="297">
      <c r="A297" s="8" t="n">
        <v>12</v>
      </c>
      <c r="B297" s="8" t="n">
        <v>5</v>
      </c>
      <c r="C297" s="8" t="n">
        <v>2</v>
      </c>
      <c r="D297" s="8" t="inlineStr">
        <is>
          <t>月卡收益</t>
        </is>
      </c>
      <c r="E297" s="9">
        <f>K296</f>
        <v/>
      </c>
      <c r="F297" s="9" t="n">
        <v>1540</v>
      </c>
      <c r="G297" s="9" t="n">
        <v>0</v>
      </c>
      <c r="H297" s="9" t="n">
        <v>0</v>
      </c>
      <c r="I297" s="9" t="n">
        <v>0</v>
      </c>
      <c r="J297" s="9" t="n">
        <v>3040</v>
      </c>
      <c r="K297" s="9">
        <f>E297+F297+G297+H297+I297-J297</f>
        <v/>
      </c>
      <c r="L297" s="10">
        <f>Q296</f>
        <v/>
      </c>
      <c r="M297" s="10" t="n">
        <v>0</v>
      </c>
      <c r="N297" s="10" t="n">
        <v>6</v>
      </c>
      <c r="O297" s="10">
        <f>J297/160</f>
        <v/>
      </c>
      <c r="P297" s="10" t="n">
        <v>60</v>
      </c>
      <c r="Q297" s="10">
        <f>L297+M297+N297+O297-P297</f>
        <v/>
      </c>
      <c r="R297" s="11">
        <f>T296</f>
        <v/>
      </c>
      <c r="S297" s="11">
        <f>N(V297) + N(X297) + N(Z297)</f>
        <v/>
      </c>
      <c r="T297" s="11">
        <f>R297+P297-S297</f>
        <v/>
      </c>
      <c r="U297" s="11" t="inlineStr">
        <is>
          <t>是</t>
        </is>
      </c>
      <c r="V297" s="11" t="n">
        <v>50</v>
      </c>
      <c r="W297" s="11" t="inlineStr">
        <is>
          <t>否</t>
        </is>
      </c>
      <c r="X297" s="11" t="inlineStr">
        <is>
          <t>-</t>
        </is>
      </c>
      <c r="Y297" s="11" t="inlineStr">
        <is>
          <t>-</t>
        </is>
      </c>
      <c r="Z297" s="11" t="n">
        <v>0</v>
      </c>
      <c r="AA297" s="11" t="inlineStr">
        <is>
          <t>垫到60抽</t>
        </is>
      </c>
      <c r="AB297" s="12">
        <f>AE296</f>
        <v/>
      </c>
      <c r="AC297" s="12" t="n">
        <v>0</v>
      </c>
      <c r="AD297" s="12" t="n">
        <v>0</v>
      </c>
      <c r="AE297" s="12">
        <f>AB297+AC297+AD297</f>
        <v/>
      </c>
      <c r="AF297" s="13">
        <f>AI296</f>
        <v/>
      </c>
      <c r="AG297" s="13" t="n">
        <v>0</v>
      </c>
      <c r="AH297" s="13" t="n">
        <v>0</v>
      </c>
      <c r="AI297" s="13">
        <f>AF297+AG297+AH297</f>
        <v/>
      </c>
      <c r="AJ297" s="14" t="n">
        <v>0</v>
      </c>
      <c r="AK297" s="14" t="n">
        <v>0</v>
      </c>
      <c r="AL297" s="14" t="n">
        <v>0</v>
      </c>
      <c r="AM297" s="14">
        <f>AJ297+AK297+AL297</f>
        <v/>
      </c>
      <c r="AN297" s="14">
        <f>AN296+AM297</f>
        <v/>
      </c>
    </row>
    <row r="298">
      <c r="A298" s="8" t="n">
        <v>12</v>
      </c>
      <c r="B298" s="8" t="n">
        <v>6</v>
      </c>
      <c r="C298" s="8" t="n">
        <v>1</v>
      </c>
      <c r="D298" s="8" t="inlineStr">
        <is>
          <t>版本免费+义相逢 + 月卡收益 [月卡续费-30元]</t>
        </is>
      </c>
      <c r="E298" s="9">
        <f>K297</f>
        <v/>
      </c>
      <c r="F298" s="9" t="n">
        <v>1540</v>
      </c>
      <c r="G298" s="9" t="n">
        <v>4800</v>
      </c>
      <c r="H298" s="9" t="n">
        <v>0</v>
      </c>
      <c r="I298" s="9" t="n">
        <v>0</v>
      </c>
      <c r="J298" s="9" t="n">
        <v>0</v>
      </c>
      <c r="K298" s="9">
        <f>E298+F298+G298+H298+I298-J298</f>
        <v/>
      </c>
      <c r="L298" s="10">
        <f>Q297</f>
        <v/>
      </c>
      <c r="M298" s="10" t="n">
        <v>85</v>
      </c>
      <c r="N298" s="10" t="n">
        <v>11</v>
      </c>
      <c r="O298" s="10">
        <f>J298/160</f>
        <v/>
      </c>
      <c r="P298" s="10" t="n">
        <v>90</v>
      </c>
      <c r="Q298" s="10">
        <f>L298+M298+N298+O298-P298</f>
        <v/>
      </c>
      <c r="R298" s="11">
        <f>T297</f>
        <v/>
      </c>
      <c r="S298" s="11">
        <f>N(V298) + N(X298) + N(Z298)</f>
        <v/>
      </c>
      <c r="T298" s="11">
        <f>R298+P298-S298</f>
        <v/>
      </c>
      <c r="U298" s="11" t="inlineStr">
        <is>
          <t>是</t>
        </is>
      </c>
      <c r="V298" s="11" t="n">
        <v>48</v>
      </c>
      <c r="W298" s="11" t="inlineStr">
        <is>
          <t>是</t>
        </is>
      </c>
      <c r="X298" s="11" t="n">
        <v>46</v>
      </c>
      <c r="Y298" s="11" t="inlineStr">
        <is>
          <t>-</t>
        </is>
      </c>
      <c r="Z298" s="11" t="n">
        <v>0</v>
      </c>
      <c r="AA298" s="11" t="inlineStr">
        <is>
          <t>垫到90抽</t>
        </is>
      </c>
      <c r="AB298" s="12">
        <f>AE297</f>
        <v/>
      </c>
      <c r="AC298" s="12" t="n">
        <v>4</v>
      </c>
      <c r="AD298" s="12" t="n">
        <v>0</v>
      </c>
      <c r="AE298" s="12">
        <f>AB298+AC298+AD298</f>
        <v/>
      </c>
      <c r="AF298" s="13">
        <f>AI297</f>
        <v/>
      </c>
      <c r="AG298" s="13" t="n">
        <v>0</v>
      </c>
      <c r="AH298" s="13" t="n">
        <v>0</v>
      </c>
      <c r="AI298" s="13">
        <f>AF298+AG298+AH298</f>
        <v/>
      </c>
      <c r="AJ298" s="14" t="n">
        <v>30</v>
      </c>
      <c r="AK298" s="14" t="n">
        <v>50</v>
      </c>
      <c r="AL298" s="14" t="n">
        <v>0</v>
      </c>
      <c r="AM298" s="14">
        <f>AJ298+AK298+AL298</f>
        <v/>
      </c>
      <c r="AN298" s="14">
        <f>AN297+AM298</f>
        <v/>
      </c>
    </row>
    <row r="299">
      <c r="A299" s="8" t="n">
        <v>12</v>
      </c>
      <c r="B299" s="8" t="n">
        <v>6</v>
      </c>
      <c r="C299" s="8" t="n">
        <v>2</v>
      </c>
      <c r="D299" s="8" t="inlineStr">
        <is>
          <t>月卡收益</t>
        </is>
      </c>
      <c r="E299" s="9">
        <f>K298</f>
        <v/>
      </c>
      <c r="F299" s="9" t="n">
        <v>1540</v>
      </c>
      <c r="G299" s="9" t="n">
        <v>0</v>
      </c>
      <c r="H299" s="9" t="n">
        <v>0</v>
      </c>
      <c r="I299" s="9" t="n">
        <v>0</v>
      </c>
      <c r="J299" s="9" t="n">
        <v>1600</v>
      </c>
      <c r="K299" s="9">
        <f>E299+F299+G299+H299+I299-J299</f>
        <v/>
      </c>
      <c r="L299" s="10">
        <f>Q298</f>
        <v/>
      </c>
      <c r="M299" s="10" t="n">
        <v>0</v>
      </c>
      <c r="N299" s="10" t="n">
        <v>1</v>
      </c>
      <c r="O299" s="10">
        <f>J299/160</f>
        <v/>
      </c>
      <c r="P299" s="10" t="n">
        <v>20</v>
      </c>
      <c r="Q299" s="10">
        <f>L299+M299+N299+O299-P299</f>
        <v/>
      </c>
      <c r="R299" s="11">
        <f>T298</f>
        <v/>
      </c>
      <c r="S299" s="11">
        <f>N(V299) + N(X299) + N(Z299)</f>
        <v/>
      </c>
      <c r="T299" s="11">
        <f>R299+P299-S299</f>
        <v/>
      </c>
      <c r="U299" s="11" t="inlineStr">
        <is>
          <t>是</t>
        </is>
      </c>
      <c r="V299" s="11" t="n">
        <v>29</v>
      </c>
      <c r="W299" s="11" t="inlineStr">
        <is>
          <t>否</t>
        </is>
      </c>
      <c r="X299" s="11" t="inlineStr">
        <is>
          <t>-</t>
        </is>
      </c>
      <c r="Y299" s="11" t="inlineStr">
        <is>
          <t>-</t>
        </is>
      </c>
      <c r="Z299" s="11" t="n">
        <v>0</v>
      </c>
      <c r="AA299" s="11" t="inlineStr">
        <is>
          <t>无</t>
        </is>
      </c>
      <c r="AB299" s="12">
        <f>AE298</f>
        <v/>
      </c>
      <c r="AC299" s="12" t="n">
        <v>0</v>
      </c>
      <c r="AD299" s="12" t="n">
        <v>0</v>
      </c>
      <c r="AE299" s="12">
        <f>AB299+AC299+AD299</f>
        <v/>
      </c>
      <c r="AF299" s="13">
        <f>AI298</f>
        <v/>
      </c>
      <c r="AG299" s="13" t="n">
        <v>0</v>
      </c>
      <c r="AH299" s="13" t="n">
        <v>0</v>
      </c>
      <c r="AI299" s="13">
        <f>AF299+AG299+AH299</f>
        <v/>
      </c>
      <c r="AJ299" s="14" t="n">
        <v>0</v>
      </c>
      <c r="AK299" s="14" t="n">
        <v>0</v>
      </c>
      <c r="AL299" s="14" t="n">
        <v>0</v>
      </c>
      <c r="AM299" s="14">
        <f>AJ299+AK299+AL299</f>
        <v/>
      </c>
      <c r="AN299" s="14">
        <f>AN298+AM299</f>
        <v/>
      </c>
    </row>
    <row r="300">
      <c r="A300" s="8" t="n">
        <v>12</v>
      </c>
      <c r="B300" s="8" t="n">
        <v>7</v>
      </c>
      <c r="C300" s="8" t="n">
        <v>1</v>
      </c>
      <c r="D300" s="8" t="inlineStr">
        <is>
          <t>版本免费+义相逢 + 月卡收益 [月卡续费-30元]</t>
        </is>
      </c>
      <c r="E300" s="9">
        <f>K299</f>
        <v/>
      </c>
      <c r="F300" s="9" t="n">
        <v>1540</v>
      </c>
      <c r="G300" s="9" t="n">
        <v>4800</v>
      </c>
      <c r="H300" s="9" t="n">
        <v>0</v>
      </c>
      <c r="I300" s="9" t="n">
        <v>0</v>
      </c>
      <c r="J300" s="9" t="n">
        <v>0</v>
      </c>
      <c r="K300" s="9">
        <f>E300+F300+G300+H300+I300-J300</f>
        <v/>
      </c>
      <c r="L300" s="10">
        <f>Q299</f>
        <v/>
      </c>
      <c r="M300" s="10" t="n">
        <v>85</v>
      </c>
      <c r="N300" s="10" t="n">
        <v>6</v>
      </c>
      <c r="O300" s="10">
        <f>J300/160</f>
        <v/>
      </c>
      <c r="P300" s="10" t="n">
        <v>60</v>
      </c>
      <c r="Q300" s="10">
        <f>L300+M300+N300+O300-P300</f>
        <v/>
      </c>
      <c r="R300" s="11">
        <f>T299</f>
        <v/>
      </c>
      <c r="S300" s="11">
        <f>N(V300) + N(X300) + N(Z300)</f>
        <v/>
      </c>
      <c r="T300" s="11">
        <f>R300+P300-S300</f>
        <v/>
      </c>
      <c r="U300" s="11" t="inlineStr">
        <is>
          <t>是</t>
        </is>
      </c>
      <c r="V300" s="11" t="n">
        <v>49</v>
      </c>
      <c r="W300" s="11" t="inlineStr">
        <is>
          <t>否</t>
        </is>
      </c>
      <c r="X300" s="11" t="inlineStr">
        <is>
          <t>-</t>
        </is>
      </c>
      <c r="Y300" s="11" t="inlineStr">
        <is>
          <t>-</t>
        </is>
      </c>
      <c r="Z300" s="11" t="n">
        <v>0</v>
      </c>
      <c r="AA300" s="11" t="inlineStr">
        <is>
          <t>垫到60抽</t>
        </is>
      </c>
      <c r="AB300" s="12">
        <f>AE299</f>
        <v/>
      </c>
      <c r="AC300" s="12" t="n">
        <v>4</v>
      </c>
      <c r="AD300" s="12" t="n">
        <v>0</v>
      </c>
      <c r="AE300" s="12">
        <f>AB300+AC300+AD300</f>
        <v/>
      </c>
      <c r="AF300" s="13">
        <f>AI299</f>
        <v/>
      </c>
      <c r="AG300" s="13" t="n">
        <v>0</v>
      </c>
      <c r="AH300" s="13" t="n">
        <v>0</v>
      </c>
      <c r="AI300" s="13">
        <f>AF300+AG300+AH300</f>
        <v/>
      </c>
      <c r="AJ300" s="14" t="n">
        <v>30</v>
      </c>
      <c r="AK300" s="14" t="n">
        <v>50</v>
      </c>
      <c r="AL300" s="14" t="n">
        <v>0</v>
      </c>
      <c r="AM300" s="14">
        <f>AJ300+AK300+AL300</f>
        <v/>
      </c>
      <c r="AN300" s="14">
        <f>AN299+AM300</f>
        <v/>
      </c>
    </row>
    <row r="301">
      <c r="A301" s="8" t="n">
        <v>12</v>
      </c>
      <c r="B301" s="8" t="n">
        <v>7</v>
      </c>
      <c r="C301" s="8" t="n">
        <v>2</v>
      </c>
      <c r="D301" s="8" t="inlineStr">
        <is>
          <t>月卡收益</t>
        </is>
      </c>
      <c r="E301" s="9">
        <f>K300</f>
        <v/>
      </c>
      <c r="F301" s="9" t="n">
        <v>1540</v>
      </c>
      <c r="G301" s="9" t="n">
        <v>0</v>
      </c>
      <c r="H301" s="9" t="n">
        <v>0</v>
      </c>
      <c r="I301" s="9" t="n">
        <v>0</v>
      </c>
      <c r="J301" s="9" t="n">
        <v>0</v>
      </c>
      <c r="K301" s="9">
        <f>E301+F301+G301+H301+I301-J301</f>
        <v/>
      </c>
      <c r="L301" s="10">
        <f>Q300</f>
        <v/>
      </c>
      <c r="M301" s="10" t="n">
        <v>0</v>
      </c>
      <c r="N301" s="10" t="n">
        <v>3</v>
      </c>
      <c r="O301" s="10">
        <f>J301/160</f>
        <v/>
      </c>
      <c r="P301" s="10" t="n">
        <v>30</v>
      </c>
      <c r="Q301" s="10">
        <f>L301+M301+N301+O301-P301</f>
        <v/>
      </c>
      <c r="R301" s="11">
        <f>T300</f>
        <v/>
      </c>
      <c r="S301" s="11">
        <f>N(V301) + N(X301) + N(Z301)</f>
        <v/>
      </c>
      <c r="T301" s="11">
        <f>R301+P301-S301</f>
        <v/>
      </c>
      <c r="U301" s="11" t="inlineStr">
        <is>
          <t>是</t>
        </is>
      </c>
      <c r="V301" s="11" t="n">
        <v>46</v>
      </c>
      <c r="W301" s="11" t="inlineStr">
        <is>
          <t>否</t>
        </is>
      </c>
      <c r="X301" s="11" t="inlineStr">
        <is>
          <t>-</t>
        </is>
      </c>
      <c r="Y301" s="11" t="inlineStr">
        <is>
          <t>-</t>
        </is>
      </c>
      <c r="Z301" s="11" t="n">
        <v>0</v>
      </c>
      <c r="AA301" s="11" t="inlineStr">
        <is>
          <t>无</t>
        </is>
      </c>
      <c r="AB301" s="12">
        <f>AE300</f>
        <v/>
      </c>
      <c r="AC301" s="12" t="n">
        <v>0</v>
      </c>
      <c r="AD301" s="12" t="n">
        <v>0</v>
      </c>
      <c r="AE301" s="12">
        <f>AB301+AC301+AD301</f>
        <v/>
      </c>
      <c r="AF301" s="13">
        <f>AI300</f>
        <v/>
      </c>
      <c r="AG301" s="13" t="n">
        <v>0</v>
      </c>
      <c r="AH301" s="13" t="n">
        <v>0</v>
      </c>
      <c r="AI301" s="13">
        <f>AF301+AG301+AH301</f>
        <v/>
      </c>
      <c r="AJ301" s="14" t="n">
        <v>0</v>
      </c>
      <c r="AK301" s="14" t="n">
        <v>0</v>
      </c>
      <c r="AL301" s="14" t="n">
        <v>0</v>
      </c>
      <c r="AM301" s="14">
        <f>AJ301+AK301+AL301</f>
        <v/>
      </c>
      <c r="AN301" s="14">
        <f>AN300+AM301</f>
        <v/>
      </c>
    </row>
    <row r="302">
      <c r="A302" s="8" t="n">
        <v>12</v>
      </c>
      <c r="B302" s="8" t="n">
        <v>8</v>
      </c>
      <c r="C302" s="8" t="n">
        <v>1</v>
      </c>
      <c r="D302" s="8" t="inlineStr">
        <is>
          <t>版本免费+义相逢 + 月卡收益</t>
        </is>
      </c>
      <c r="E302" s="9">
        <f>K301</f>
        <v/>
      </c>
      <c r="F302" s="9" t="n">
        <v>1540</v>
      </c>
      <c r="G302" s="9" t="n">
        <v>4800</v>
      </c>
      <c r="H302" s="9" t="n">
        <v>0</v>
      </c>
      <c r="I302" s="9" t="n">
        <v>0</v>
      </c>
      <c r="J302" s="9" t="n">
        <v>0</v>
      </c>
      <c r="K302" s="9">
        <f>E302+F302+G302+H302+I302-J302</f>
        <v/>
      </c>
      <c r="L302" s="10">
        <f>Q301</f>
        <v/>
      </c>
      <c r="M302" s="10" t="n">
        <v>85</v>
      </c>
      <c r="N302" s="10" t="n">
        <v>6</v>
      </c>
      <c r="O302" s="10">
        <f>J302/160</f>
        <v/>
      </c>
      <c r="P302" s="10" t="n">
        <v>60</v>
      </c>
      <c r="Q302" s="10">
        <f>L302+M302+N302+O302-P302</f>
        <v/>
      </c>
      <c r="R302" s="11">
        <f>T301</f>
        <v/>
      </c>
      <c r="S302" s="11">
        <f>N(V302) + N(X302) + N(Z302)</f>
        <v/>
      </c>
      <c r="T302" s="11">
        <f>R302+P302-S302</f>
        <v/>
      </c>
      <c r="U302" s="11" t="inlineStr">
        <is>
          <t>是</t>
        </is>
      </c>
      <c r="V302" s="11" t="n">
        <v>49</v>
      </c>
      <c r="W302" s="11" t="inlineStr">
        <is>
          <t>否</t>
        </is>
      </c>
      <c r="X302" s="11" t="inlineStr">
        <is>
          <t>-</t>
        </is>
      </c>
      <c r="Y302" s="11" t="inlineStr">
        <is>
          <t>-</t>
        </is>
      </c>
      <c r="Z302" s="11" t="n">
        <v>0</v>
      </c>
      <c r="AA302" s="11" t="inlineStr">
        <is>
          <t>垫到60抽</t>
        </is>
      </c>
      <c r="AB302" s="12">
        <f>AE301</f>
        <v/>
      </c>
      <c r="AC302" s="12" t="n">
        <v>4</v>
      </c>
      <c r="AD302" s="12" t="n">
        <v>0</v>
      </c>
      <c r="AE302" s="12">
        <f>AB302+AC302+AD302</f>
        <v/>
      </c>
      <c r="AF302" s="13">
        <f>AI301</f>
        <v/>
      </c>
      <c r="AG302" s="13" t="n">
        <v>0</v>
      </c>
      <c r="AH302" s="13" t="n">
        <v>0</v>
      </c>
      <c r="AI302" s="13">
        <f>AF302+AG302+AH302</f>
        <v/>
      </c>
      <c r="AJ302" s="14" t="n">
        <v>0</v>
      </c>
      <c r="AK302" s="14" t="n">
        <v>50</v>
      </c>
      <c r="AL302" s="14" t="n">
        <v>0</v>
      </c>
      <c r="AM302" s="14">
        <f>AJ302+AK302+AL302</f>
        <v/>
      </c>
      <c r="AN302" s="14">
        <f>AN301+AM302</f>
        <v/>
      </c>
    </row>
    <row r="303">
      <c r="A303" s="8" t="n">
        <v>12</v>
      </c>
      <c r="B303" s="8" t="n">
        <v>8</v>
      </c>
      <c r="C303" s="8" t="n">
        <v>2</v>
      </c>
      <c r="D303" s="8" t="inlineStr">
        <is>
          <t>月卡收益 [月卡续费-30元]</t>
        </is>
      </c>
      <c r="E303" s="9">
        <f>K302</f>
        <v/>
      </c>
      <c r="F303" s="9" t="n">
        <v>1540</v>
      </c>
      <c r="G303" s="9" t="n">
        <v>0</v>
      </c>
      <c r="H303" s="9" t="n">
        <v>0</v>
      </c>
      <c r="I303" s="9" t="n">
        <v>0</v>
      </c>
      <c r="J303" s="9" t="n">
        <v>23040</v>
      </c>
      <c r="K303" s="9">
        <f>E303+F303+G303+H303+I303-J303</f>
        <v/>
      </c>
      <c r="L303" s="10">
        <f>Q302</f>
        <v/>
      </c>
      <c r="M303" s="10" t="n">
        <v>0</v>
      </c>
      <c r="N303" s="10" t="n">
        <v>21</v>
      </c>
      <c r="O303" s="10">
        <f>J303/160</f>
        <v/>
      </c>
      <c r="P303" s="10" t="n">
        <v>200</v>
      </c>
      <c r="Q303" s="10">
        <f>L303+M303+N303+O303-P303</f>
        <v/>
      </c>
      <c r="R303" s="11">
        <f>T302</f>
        <v/>
      </c>
      <c r="S303" s="11">
        <f>N(V303) + N(X303) + N(Z303)</f>
        <v/>
      </c>
      <c r="T303" s="11">
        <f>R303+P303-S303</f>
        <v/>
      </c>
      <c r="U303" s="11" t="inlineStr">
        <is>
          <t>是</t>
        </is>
      </c>
      <c r="V303" s="11" t="n">
        <v>50</v>
      </c>
      <c r="W303" s="11" t="inlineStr">
        <is>
          <t>是</t>
        </is>
      </c>
      <c r="X303" s="11" t="n">
        <v>51</v>
      </c>
      <c r="Y303" s="11" t="inlineStr">
        <is>
          <t>UP(48), UP(42)</t>
        </is>
      </c>
      <c r="Z303" s="11" t="n">
        <v>90</v>
      </c>
      <c r="AA303" s="11" t="inlineStr">
        <is>
          <t>冲刺200(动态90)</t>
        </is>
      </c>
      <c r="AB303" s="12">
        <f>AE302</f>
        <v/>
      </c>
      <c r="AC303" s="12" t="n">
        <v>0</v>
      </c>
      <c r="AD303" s="12" t="n">
        <v>1</v>
      </c>
      <c r="AE303" s="12">
        <f>AB303+AC303+AD303</f>
        <v/>
      </c>
      <c r="AF303" s="13">
        <f>AI302</f>
        <v/>
      </c>
      <c r="AG303" s="13" t="n">
        <v>0</v>
      </c>
      <c r="AH303" s="13" t="n">
        <v>5000</v>
      </c>
      <c r="AI303" s="13">
        <f>AF303+AG303+AH303</f>
        <v/>
      </c>
      <c r="AJ303" s="14" t="n">
        <v>30</v>
      </c>
      <c r="AK303" s="14" t="n">
        <v>0</v>
      </c>
      <c r="AL303" s="14" t="n">
        <v>0</v>
      </c>
      <c r="AM303" s="14">
        <f>AJ303+AK303+AL303</f>
        <v/>
      </c>
      <c r="AN303" s="14">
        <f>AN302+AM303</f>
        <v/>
      </c>
    </row>
    <row r="304">
      <c r="A304" s="8" t="n">
        <v>12</v>
      </c>
      <c r="B304" s="8" t="n">
        <v>9</v>
      </c>
      <c r="C304" s="8" t="n">
        <v>1</v>
      </c>
      <c r="D304" s="8" t="inlineStr">
        <is>
          <t>版本免费+义相逢 + 月卡收益</t>
        </is>
      </c>
      <c r="E304" s="9">
        <f>K303</f>
        <v/>
      </c>
      <c r="F304" s="9" t="n">
        <v>1540</v>
      </c>
      <c r="G304" s="9" t="n">
        <v>4800</v>
      </c>
      <c r="H304" s="9" t="n">
        <v>0</v>
      </c>
      <c r="I304" s="9" t="n">
        <v>0</v>
      </c>
      <c r="J304" s="9" t="n">
        <v>0</v>
      </c>
      <c r="K304" s="9">
        <f>E304+F304+G304+H304+I304-J304</f>
        <v/>
      </c>
      <c r="L304" s="10">
        <f>Q303</f>
        <v/>
      </c>
      <c r="M304" s="10" t="n">
        <v>85</v>
      </c>
      <c r="N304" s="10" t="n">
        <v>3</v>
      </c>
      <c r="O304" s="10">
        <f>J304/160</f>
        <v/>
      </c>
      <c r="P304" s="10" t="n">
        <v>40</v>
      </c>
      <c r="Q304" s="10">
        <f>L304+M304+N304+O304-P304</f>
        <v/>
      </c>
      <c r="R304" s="11">
        <f>T303</f>
        <v/>
      </c>
      <c r="S304" s="11">
        <f>N(V304) + N(X304) + N(Z304)</f>
        <v/>
      </c>
      <c r="T304" s="11">
        <f>R304+P304-S304</f>
        <v/>
      </c>
      <c r="U304" s="11" t="inlineStr">
        <is>
          <t>是</t>
        </is>
      </c>
      <c r="V304" s="11" t="n">
        <v>52</v>
      </c>
      <c r="W304" s="11" t="inlineStr">
        <is>
          <t>否</t>
        </is>
      </c>
      <c r="X304" s="11" t="inlineStr">
        <is>
          <t>-</t>
        </is>
      </c>
      <c r="Y304" s="11" t="inlineStr">
        <is>
          <t>-</t>
        </is>
      </c>
      <c r="Z304" s="11" t="n">
        <v>0</v>
      </c>
      <c r="AA304" s="11" t="inlineStr">
        <is>
          <t>无</t>
        </is>
      </c>
      <c r="AB304" s="12">
        <f>AE303</f>
        <v/>
      </c>
      <c r="AC304" s="12" t="n">
        <v>4</v>
      </c>
      <c r="AD304" s="12" t="n">
        <v>0</v>
      </c>
      <c r="AE304" s="12">
        <f>AB304+AC304+AD304</f>
        <v/>
      </c>
      <c r="AF304" s="13">
        <f>AI303</f>
        <v/>
      </c>
      <c r="AG304" s="13" t="n">
        <v>0</v>
      </c>
      <c r="AH304" s="13" t="n">
        <v>0</v>
      </c>
      <c r="AI304" s="13">
        <f>AF304+AG304+AH304</f>
        <v/>
      </c>
      <c r="AJ304" s="14" t="n">
        <v>0</v>
      </c>
      <c r="AK304" s="14" t="n">
        <v>50</v>
      </c>
      <c r="AL304" s="14" t="n">
        <v>0</v>
      </c>
      <c r="AM304" s="14">
        <f>AJ304+AK304+AL304</f>
        <v/>
      </c>
      <c r="AN304" s="14">
        <f>AN303+AM304</f>
        <v/>
      </c>
    </row>
    <row r="305">
      <c r="A305" s="8" t="n">
        <v>12</v>
      </c>
      <c r="B305" s="8" t="n">
        <v>9</v>
      </c>
      <c r="C305" s="8" t="n">
        <v>2</v>
      </c>
      <c r="D305" s="8" t="inlineStr">
        <is>
          <t>月卡收益 [月卡续费-30元]</t>
        </is>
      </c>
      <c r="E305" s="9">
        <f>K304</f>
        <v/>
      </c>
      <c r="F305" s="9" t="n">
        <v>1540</v>
      </c>
      <c r="G305" s="9" t="n">
        <v>0</v>
      </c>
      <c r="H305" s="9" t="n">
        <v>0</v>
      </c>
      <c r="I305" s="9" t="n">
        <v>0</v>
      </c>
      <c r="J305" s="9" t="n">
        <v>0</v>
      </c>
      <c r="K305" s="9">
        <f>E305+F305+G305+H305+I305-J305</f>
        <v/>
      </c>
      <c r="L305" s="10">
        <f>Q304</f>
        <v/>
      </c>
      <c r="M305" s="10" t="n">
        <v>0</v>
      </c>
      <c r="N305" s="10" t="n">
        <v>3</v>
      </c>
      <c r="O305" s="10">
        <f>J305/160</f>
        <v/>
      </c>
      <c r="P305" s="10" t="n">
        <v>40</v>
      </c>
      <c r="Q305" s="10">
        <f>L305+M305+N305+O305-P305</f>
        <v/>
      </c>
      <c r="R305" s="11">
        <f>T304</f>
        <v/>
      </c>
      <c r="S305" s="11">
        <f>N(V305) + N(X305) + N(Z305)</f>
        <v/>
      </c>
      <c r="T305" s="11">
        <f>R305+P305-S305</f>
        <v/>
      </c>
      <c r="U305" s="11" t="inlineStr">
        <is>
          <t>是</t>
        </is>
      </c>
      <c r="V305" s="11" t="n">
        <v>48</v>
      </c>
      <c r="W305" s="11" t="inlineStr">
        <is>
          <t>否</t>
        </is>
      </c>
      <c r="X305" s="11" t="inlineStr">
        <is>
          <t>-</t>
        </is>
      </c>
      <c r="Y305" s="11" t="inlineStr">
        <is>
          <t>-</t>
        </is>
      </c>
      <c r="Z305" s="11" t="n">
        <v>0</v>
      </c>
      <c r="AA305" s="11" t="inlineStr">
        <is>
          <t>无</t>
        </is>
      </c>
      <c r="AB305" s="12">
        <f>AE304</f>
        <v/>
      </c>
      <c r="AC305" s="12" t="n">
        <v>0</v>
      </c>
      <c r="AD305" s="12" t="n">
        <v>0</v>
      </c>
      <c r="AE305" s="12">
        <f>AB305+AC305+AD305</f>
        <v/>
      </c>
      <c r="AF305" s="13">
        <f>AI304</f>
        <v/>
      </c>
      <c r="AG305" s="13" t="n">
        <v>0</v>
      </c>
      <c r="AH305" s="13" t="n">
        <v>0</v>
      </c>
      <c r="AI305" s="13">
        <f>AF305+AG305+AH305</f>
        <v/>
      </c>
      <c r="AJ305" s="14" t="n">
        <v>30</v>
      </c>
      <c r="AK305" s="14" t="n">
        <v>0</v>
      </c>
      <c r="AL305" s="14" t="n">
        <v>0</v>
      </c>
      <c r="AM305" s="14">
        <f>AJ305+AK305+AL305</f>
        <v/>
      </c>
      <c r="AN305" s="14">
        <f>AN304+AM305</f>
        <v/>
      </c>
    </row>
    <row r="306">
      <c r="A306" s="8" t="n">
        <v>12</v>
      </c>
      <c r="B306" s="8" t="n">
        <v>10</v>
      </c>
      <c r="C306" s="8" t="n">
        <v>1</v>
      </c>
      <c r="D306" s="8" t="inlineStr">
        <is>
          <t>版本免费+义相逢 + 月卡收益</t>
        </is>
      </c>
      <c r="E306" s="9">
        <f>K305</f>
        <v/>
      </c>
      <c r="F306" s="9" t="n">
        <v>1540</v>
      </c>
      <c r="G306" s="9" t="n">
        <v>4800</v>
      </c>
      <c r="H306" s="9" t="n">
        <v>0</v>
      </c>
      <c r="I306" s="9" t="n">
        <v>0</v>
      </c>
      <c r="J306" s="9" t="n">
        <v>13280</v>
      </c>
      <c r="K306" s="9">
        <f>E306+F306+G306+H306+I306-J306</f>
        <v/>
      </c>
      <c r="L306" s="10">
        <f>Q305</f>
        <v/>
      </c>
      <c r="M306" s="10" t="n">
        <v>85</v>
      </c>
      <c r="N306" s="10" t="n">
        <v>21</v>
      </c>
      <c r="O306" s="10">
        <f>J306/160</f>
        <v/>
      </c>
      <c r="P306" s="10" t="n">
        <v>200</v>
      </c>
      <c r="Q306" s="10">
        <f>L306+M306+N306+O306-P306</f>
        <v/>
      </c>
      <c r="R306" s="11">
        <f>T305</f>
        <v/>
      </c>
      <c r="S306" s="11">
        <f>N(V306) + N(X306) + N(Z306)</f>
        <v/>
      </c>
      <c r="T306" s="11">
        <f>R306+P306-S306</f>
        <v/>
      </c>
      <c r="U306" s="11" t="inlineStr">
        <is>
          <t>是</t>
        </is>
      </c>
      <c r="V306" s="11" t="n">
        <v>54</v>
      </c>
      <c r="W306" s="11" t="inlineStr">
        <is>
          <t>是</t>
        </is>
      </c>
      <c r="X306" s="11" t="n">
        <v>50</v>
      </c>
      <c r="Y306" s="11" t="inlineStr">
        <is>
          <t>歪(12), UP(48)</t>
        </is>
      </c>
      <c r="Z306" s="11" t="n">
        <v>60</v>
      </c>
      <c r="AA306" s="11" t="inlineStr">
        <is>
          <t>冲刺200(动态90)</t>
        </is>
      </c>
      <c r="AB306" s="12">
        <f>AE305</f>
        <v/>
      </c>
      <c r="AC306" s="12" t="n">
        <v>4</v>
      </c>
      <c r="AD306" s="12" t="n">
        <v>1</v>
      </c>
      <c r="AE306" s="12">
        <f>AB306+AC306+AD306</f>
        <v/>
      </c>
      <c r="AF306" s="13">
        <f>AI305</f>
        <v/>
      </c>
      <c r="AG306" s="13" t="n">
        <v>0</v>
      </c>
      <c r="AH306" s="13" t="n">
        <v>5000</v>
      </c>
      <c r="AI306" s="13">
        <f>AF306+AG306+AH306</f>
        <v/>
      </c>
      <c r="AJ306" s="14" t="n">
        <v>0</v>
      </c>
      <c r="AK306" s="14" t="n">
        <v>50</v>
      </c>
      <c r="AL306" s="14" t="n">
        <v>0</v>
      </c>
      <c r="AM306" s="14">
        <f>AJ306+AK306+AL306</f>
        <v/>
      </c>
      <c r="AN306" s="14">
        <f>AN305+AM306</f>
        <v/>
      </c>
    </row>
    <row r="307">
      <c r="A307" s="8" t="n">
        <v>12</v>
      </c>
      <c r="B307" s="8" t="n">
        <v>10</v>
      </c>
      <c r="C307" s="8" t="n">
        <v>2</v>
      </c>
      <c r="D307" s="8" t="inlineStr">
        <is>
          <t>月卡收益 [月卡续费-30元]</t>
        </is>
      </c>
      <c r="E307" s="9">
        <f>K306</f>
        <v/>
      </c>
      <c r="F307" s="9" t="n">
        <v>1540</v>
      </c>
      <c r="G307" s="9" t="n">
        <v>0</v>
      </c>
      <c r="H307" s="9" t="n">
        <v>0</v>
      </c>
      <c r="I307" s="9" t="n">
        <v>0</v>
      </c>
      <c r="J307" s="9" t="n">
        <v>10240</v>
      </c>
      <c r="K307" s="9">
        <f>E307+F307+G307+H307+I307-J307</f>
        <v/>
      </c>
      <c r="L307" s="10">
        <f>Q306</f>
        <v/>
      </c>
      <c r="M307" s="10" t="n">
        <v>0</v>
      </c>
      <c r="N307" s="10" t="n">
        <v>6</v>
      </c>
      <c r="O307" s="10">
        <f>J307/160</f>
        <v/>
      </c>
      <c r="P307" s="10" t="n">
        <v>70</v>
      </c>
      <c r="Q307" s="10">
        <f>L307+M307+N307+O307-P307</f>
        <v/>
      </c>
      <c r="R307" s="11">
        <f>T306</f>
        <v/>
      </c>
      <c r="S307" s="11">
        <f>N(V307) + N(X307) + N(Z307)</f>
        <v/>
      </c>
      <c r="T307" s="11">
        <f>R307+P307-S307</f>
        <v/>
      </c>
      <c r="U307" s="11" t="inlineStr">
        <is>
          <t>是</t>
        </is>
      </c>
      <c r="V307" s="11" t="n">
        <v>50</v>
      </c>
      <c r="W307" s="11" t="inlineStr">
        <is>
          <t>是</t>
        </is>
      </c>
      <c r="X307" s="11" t="n">
        <v>50</v>
      </c>
      <c r="Y307" s="11" t="inlineStr">
        <is>
          <t>-</t>
        </is>
      </c>
      <c r="Z307" s="11" t="n">
        <v>0</v>
      </c>
      <c r="AA307" s="11" t="inlineStr">
        <is>
          <t>无</t>
        </is>
      </c>
      <c r="AB307" s="12">
        <f>AE306</f>
        <v/>
      </c>
      <c r="AC307" s="12" t="n">
        <v>0</v>
      </c>
      <c r="AD307" s="12" t="n">
        <v>0</v>
      </c>
      <c r="AE307" s="12">
        <f>AB307+AC307+AD307</f>
        <v/>
      </c>
      <c r="AF307" s="13">
        <f>AI306</f>
        <v/>
      </c>
      <c r="AG307" s="13" t="n">
        <v>0</v>
      </c>
      <c r="AH307" s="13" t="n">
        <v>0</v>
      </c>
      <c r="AI307" s="13">
        <f>AF307+AG307+AH307</f>
        <v/>
      </c>
      <c r="AJ307" s="14" t="n">
        <v>30</v>
      </c>
      <c r="AK307" s="14" t="n">
        <v>0</v>
      </c>
      <c r="AL307" s="14" t="n">
        <v>0</v>
      </c>
      <c r="AM307" s="14">
        <f>AJ307+AK307+AL307</f>
        <v/>
      </c>
      <c r="AN307" s="14">
        <f>AN306+AM307</f>
        <v/>
      </c>
    </row>
    <row r="308">
      <c r="A308" s="8" t="n">
        <v>12</v>
      </c>
      <c r="B308" s="8" t="n">
        <v>11</v>
      </c>
      <c r="C308" s="8" t="n">
        <v>1</v>
      </c>
      <c r="D308" s="8" t="inlineStr">
        <is>
          <t>版本免费+义相逢 + 月卡收益</t>
        </is>
      </c>
      <c r="E308" s="9">
        <f>K307</f>
        <v/>
      </c>
      <c r="F308" s="9" t="n">
        <v>1540</v>
      </c>
      <c r="G308" s="9" t="n">
        <v>4800</v>
      </c>
      <c r="H308" s="9" t="n">
        <v>0</v>
      </c>
      <c r="I308" s="9" t="n">
        <v>0</v>
      </c>
      <c r="J308" s="9" t="n">
        <v>0</v>
      </c>
      <c r="K308" s="9">
        <f>E308+F308+G308+H308+I308-J308</f>
        <v/>
      </c>
      <c r="L308" s="10">
        <f>Q307</f>
        <v/>
      </c>
      <c r="M308" s="10" t="n">
        <v>85</v>
      </c>
      <c r="N308" s="10" t="n">
        <v>6</v>
      </c>
      <c r="O308" s="10">
        <f>J308/160</f>
        <v/>
      </c>
      <c r="P308" s="10" t="n">
        <v>60</v>
      </c>
      <c r="Q308" s="10">
        <f>L308+M308+N308+O308-P308</f>
        <v/>
      </c>
      <c r="R308" s="11">
        <f>T307</f>
        <v/>
      </c>
      <c r="S308" s="11">
        <f>N(V308) + N(X308) + N(Z308)</f>
        <v/>
      </c>
      <c r="T308" s="11">
        <f>R308+P308-S308</f>
        <v/>
      </c>
      <c r="U308" s="11" t="inlineStr">
        <is>
          <t>是</t>
        </is>
      </c>
      <c r="V308" s="11" t="n">
        <v>51</v>
      </c>
      <c r="W308" s="11" t="inlineStr">
        <is>
          <t>否</t>
        </is>
      </c>
      <c r="X308" s="11" t="inlineStr">
        <is>
          <t>-</t>
        </is>
      </c>
      <c r="Y308" s="11" t="inlineStr">
        <is>
          <t>-</t>
        </is>
      </c>
      <c r="Z308" s="11" t="n">
        <v>0</v>
      </c>
      <c r="AA308" s="11" t="inlineStr">
        <is>
          <t>垫到60抽</t>
        </is>
      </c>
      <c r="AB308" s="12">
        <f>AE307</f>
        <v/>
      </c>
      <c r="AC308" s="12" t="n">
        <v>4</v>
      </c>
      <c r="AD308" s="12" t="n">
        <v>0</v>
      </c>
      <c r="AE308" s="12">
        <f>AB308+AC308+AD308</f>
        <v/>
      </c>
      <c r="AF308" s="13">
        <f>AI307</f>
        <v/>
      </c>
      <c r="AG308" s="13" t="n">
        <v>0</v>
      </c>
      <c r="AH308" s="13" t="n">
        <v>0</v>
      </c>
      <c r="AI308" s="13">
        <f>AF308+AG308+AH308</f>
        <v/>
      </c>
      <c r="AJ308" s="14" t="n">
        <v>0</v>
      </c>
      <c r="AK308" s="14" t="n">
        <v>50</v>
      </c>
      <c r="AL308" s="14" t="n">
        <v>0</v>
      </c>
      <c r="AM308" s="14">
        <f>AJ308+AK308+AL308</f>
        <v/>
      </c>
      <c r="AN308" s="14">
        <f>AN307+AM308</f>
        <v/>
      </c>
    </row>
    <row r="309">
      <c r="A309" s="8" t="n">
        <v>12</v>
      </c>
      <c r="B309" s="8" t="n">
        <v>11</v>
      </c>
      <c r="C309" s="8" t="n">
        <v>2</v>
      </c>
      <c r="D309" s="8" t="inlineStr">
        <is>
          <t>月卡收益 [月卡续费-30元]</t>
        </is>
      </c>
      <c r="E309" s="9">
        <f>K308</f>
        <v/>
      </c>
      <c r="F309" s="9" t="n">
        <v>1540</v>
      </c>
      <c r="G309" s="9" t="n">
        <v>0</v>
      </c>
      <c r="H309" s="9" t="n">
        <v>0</v>
      </c>
      <c r="I309" s="9" t="n">
        <v>0</v>
      </c>
      <c r="J309" s="9" t="n">
        <v>8480</v>
      </c>
      <c r="K309" s="9">
        <f>E309+F309+G309+H309+I309-J309</f>
        <v/>
      </c>
      <c r="L309" s="10">
        <f>Q308</f>
        <v/>
      </c>
      <c r="M309" s="10" t="n">
        <v>0</v>
      </c>
      <c r="N309" s="10" t="n">
        <v>11</v>
      </c>
      <c r="O309" s="10">
        <f>J309/160</f>
        <v/>
      </c>
      <c r="P309" s="10" t="n">
        <v>90</v>
      </c>
      <c r="Q309" s="10">
        <f>L309+M309+N309+O309-P309</f>
        <v/>
      </c>
      <c r="R309" s="11">
        <f>T308</f>
        <v/>
      </c>
      <c r="S309" s="11">
        <f>N(V309) + N(X309) + N(Z309)</f>
        <v/>
      </c>
      <c r="T309" s="11">
        <f>R309+P309-S309</f>
        <v/>
      </c>
      <c r="U309" s="11" t="inlineStr">
        <is>
          <t>是</t>
        </is>
      </c>
      <c r="V309" s="11" t="n">
        <v>50</v>
      </c>
      <c r="W309" s="11" t="inlineStr">
        <is>
          <t>是</t>
        </is>
      </c>
      <c r="X309" s="11" t="n">
        <v>48</v>
      </c>
      <c r="Y309" s="11" t="inlineStr">
        <is>
          <t>-</t>
        </is>
      </c>
      <c r="Z309" s="11" t="n">
        <v>0</v>
      </c>
      <c r="AA309" s="11" t="inlineStr">
        <is>
          <t>无</t>
        </is>
      </c>
      <c r="AB309" s="12">
        <f>AE308</f>
        <v/>
      </c>
      <c r="AC309" s="12" t="n">
        <v>0</v>
      </c>
      <c r="AD309" s="12" t="n">
        <v>0</v>
      </c>
      <c r="AE309" s="12">
        <f>AB309+AC309+AD309</f>
        <v/>
      </c>
      <c r="AF309" s="13">
        <f>AI308</f>
        <v/>
      </c>
      <c r="AG309" s="13" t="n">
        <v>0</v>
      </c>
      <c r="AH309" s="13" t="n">
        <v>0</v>
      </c>
      <c r="AI309" s="13">
        <f>AF309+AG309+AH309</f>
        <v/>
      </c>
      <c r="AJ309" s="14" t="n">
        <v>30</v>
      </c>
      <c r="AK309" s="14" t="n">
        <v>0</v>
      </c>
      <c r="AL309" s="14" t="n">
        <v>0</v>
      </c>
      <c r="AM309" s="14">
        <f>AJ309+AK309+AL309</f>
        <v/>
      </c>
      <c r="AN309" s="14">
        <f>AN308+AM309</f>
        <v/>
      </c>
    </row>
    <row r="310">
      <c r="A310" s="8" t="n">
        <v>12</v>
      </c>
      <c r="B310" s="8" t="n">
        <v>12</v>
      </c>
      <c r="C310" s="8" t="n">
        <v>1</v>
      </c>
      <c r="D310" s="8" t="inlineStr">
        <is>
          <t>版本免费+义相逢 + 月卡收益</t>
        </is>
      </c>
      <c r="E310" s="9">
        <f>K309</f>
        <v/>
      </c>
      <c r="F310" s="9" t="n">
        <v>1540</v>
      </c>
      <c r="G310" s="9" t="n">
        <v>4800</v>
      </c>
      <c r="H310" s="9" t="n">
        <v>0</v>
      </c>
      <c r="I310" s="9" t="n">
        <v>0</v>
      </c>
      <c r="J310" s="9" t="n">
        <v>0</v>
      </c>
      <c r="K310" s="9">
        <f>E310+F310+G310+H310+I310-J310</f>
        <v/>
      </c>
      <c r="L310" s="10">
        <f>Q309</f>
        <v/>
      </c>
      <c r="M310" s="10" t="n">
        <v>85</v>
      </c>
      <c r="N310" s="10" t="n">
        <v>3</v>
      </c>
      <c r="O310" s="10">
        <f>J310/160</f>
        <v/>
      </c>
      <c r="P310" s="10" t="n">
        <v>40</v>
      </c>
      <c r="Q310" s="10">
        <f>L310+M310+N310+O310-P310</f>
        <v/>
      </c>
      <c r="R310" s="11">
        <f>T309</f>
        <v/>
      </c>
      <c r="S310" s="11">
        <f>N(V310) + N(X310) + N(Z310)</f>
        <v/>
      </c>
      <c r="T310" s="11">
        <f>R310+P310-S310</f>
        <v/>
      </c>
      <c r="U310" s="11" t="inlineStr">
        <is>
          <t>是</t>
        </is>
      </c>
      <c r="V310" s="11" t="n">
        <v>47</v>
      </c>
      <c r="W310" s="11" t="inlineStr">
        <is>
          <t>否</t>
        </is>
      </c>
      <c r="X310" s="11" t="inlineStr">
        <is>
          <t>-</t>
        </is>
      </c>
      <c r="Y310" s="11" t="inlineStr">
        <is>
          <t>-</t>
        </is>
      </c>
      <c r="Z310" s="11" t="n">
        <v>0</v>
      </c>
      <c r="AA310" s="11" t="inlineStr">
        <is>
          <t>无</t>
        </is>
      </c>
      <c r="AB310" s="12">
        <f>AE309</f>
        <v/>
      </c>
      <c r="AC310" s="12" t="n">
        <v>4</v>
      </c>
      <c r="AD310" s="12" t="n">
        <v>0</v>
      </c>
      <c r="AE310" s="12">
        <f>AB310+AC310+AD310</f>
        <v/>
      </c>
      <c r="AF310" s="13">
        <f>AI309</f>
        <v/>
      </c>
      <c r="AG310" s="13" t="n">
        <v>0</v>
      </c>
      <c r="AH310" s="13" t="n">
        <v>0</v>
      </c>
      <c r="AI310" s="13">
        <f>AF310+AG310+AH310</f>
        <v/>
      </c>
      <c r="AJ310" s="14" t="n">
        <v>0</v>
      </c>
      <c r="AK310" s="14" t="n">
        <v>50</v>
      </c>
      <c r="AL310" s="14" t="n">
        <v>0</v>
      </c>
      <c r="AM310" s="14">
        <f>AJ310+AK310+AL310</f>
        <v/>
      </c>
      <c r="AN310" s="14">
        <f>AN309+AM310</f>
        <v/>
      </c>
    </row>
    <row r="311">
      <c r="A311" s="8" t="n">
        <v>12</v>
      </c>
      <c r="B311" s="8" t="n">
        <v>12</v>
      </c>
      <c r="C311" s="8" t="n">
        <v>2</v>
      </c>
      <c r="D311" s="8" t="inlineStr">
        <is>
          <t>月卡收益 [月卡续费-30元]</t>
        </is>
      </c>
      <c r="E311" s="9">
        <f>K310</f>
        <v/>
      </c>
      <c r="F311" s="9" t="n">
        <v>1540</v>
      </c>
      <c r="G311" s="9" t="n">
        <v>0</v>
      </c>
      <c r="H311" s="9" t="n">
        <v>0</v>
      </c>
      <c r="I311" s="9" t="n">
        <v>0</v>
      </c>
      <c r="J311" s="9" t="n">
        <v>640</v>
      </c>
      <c r="K311" s="9">
        <f>E311+F311+G311+H311+I311-J311</f>
        <v/>
      </c>
      <c r="L311" s="10">
        <f>Q310</f>
        <v/>
      </c>
      <c r="M311" s="10" t="n">
        <v>0</v>
      </c>
      <c r="N311" s="10" t="n">
        <v>6</v>
      </c>
      <c r="O311" s="10">
        <f>J311/160</f>
        <v/>
      </c>
      <c r="P311" s="10" t="n">
        <v>60</v>
      </c>
      <c r="Q311" s="10">
        <f>L311+M311+N311+O311-P311</f>
        <v/>
      </c>
      <c r="R311" s="11">
        <f>T310</f>
        <v/>
      </c>
      <c r="S311" s="11">
        <f>N(V311) + N(X311) + N(Z311)</f>
        <v/>
      </c>
      <c r="T311" s="11">
        <f>R311+P311-S311</f>
        <v/>
      </c>
      <c r="U311" s="11" t="inlineStr">
        <is>
          <t>是</t>
        </is>
      </c>
      <c r="V311" s="11" t="n">
        <v>47</v>
      </c>
      <c r="W311" s="11" t="inlineStr">
        <is>
          <t>否</t>
        </is>
      </c>
      <c r="X311" s="11" t="inlineStr">
        <is>
          <t>-</t>
        </is>
      </c>
      <c r="Y311" s="11" t="inlineStr">
        <is>
          <t>-</t>
        </is>
      </c>
      <c r="Z311" s="11" t="n">
        <v>0</v>
      </c>
      <c r="AA311" s="11" t="inlineStr">
        <is>
          <t>垫到60抽</t>
        </is>
      </c>
      <c r="AB311" s="12">
        <f>AE310</f>
        <v/>
      </c>
      <c r="AC311" s="12" t="n">
        <v>0</v>
      </c>
      <c r="AD311" s="12" t="n">
        <v>0</v>
      </c>
      <c r="AE311" s="12">
        <f>AB311+AC311+AD311</f>
        <v/>
      </c>
      <c r="AF311" s="13">
        <f>AI310</f>
        <v/>
      </c>
      <c r="AG311" s="13" t="n">
        <v>0</v>
      </c>
      <c r="AH311" s="13" t="n">
        <v>0</v>
      </c>
      <c r="AI311" s="13">
        <f>AF311+AG311+AH311</f>
        <v/>
      </c>
      <c r="AJ311" s="14" t="n">
        <v>30</v>
      </c>
      <c r="AK311" s="14" t="n">
        <v>0</v>
      </c>
      <c r="AL311" s="14" t="n">
        <v>0</v>
      </c>
      <c r="AM311" s="14">
        <f>AJ311+AK311+AL311</f>
        <v/>
      </c>
      <c r="AN311" s="14">
        <f>AN310+AM311</f>
        <v/>
      </c>
    </row>
    <row r="312">
      <c r="A312" s="8" t="n">
        <v>12</v>
      </c>
      <c r="B312" s="8" t="n">
        <v>13</v>
      </c>
      <c r="C312" s="8" t="n">
        <v>1</v>
      </c>
      <c r="D312" s="8" t="inlineStr">
        <is>
          <t>版本免费+义相逢 + 月卡收益</t>
        </is>
      </c>
      <c r="E312" s="9">
        <f>K311</f>
        <v/>
      </c>
      <c r="F312" s="9" t="n">
        <v>1540</v>
      </c>
      <c r="G312" s="9" t="n">
        <v>4800</v>
      </c>
      <c r="H312" s="9" t="n">
        <v>0</v>
      </c>
      <c r="I312" s="9" t="n">
        <v>0</v>
      </c>
      <c r="J312" s="9" t="n">
        <v>14560</v>
      </c>
      <c r="K312" s="9">
        <f>E312+F312+G312+H312+I312-J312</f>
        <v/>
      </c>
      <c r="L312" s="10">
        <f>Q311</f>
        <v/>
      </c>
      <c r="M312" s="10" t="n">
        <v>85</v>
      </c>
      <c r="N312" s="10" t="n">
        <v>21</v>
      </c>
      <c r="O312" s="10">
        <f>J312/160</f>
        <v/>
      </c>
      <c r="P312" s="10" t="n">
        <v>200</v>
      </c>
      <c r="Q312" s="10">
        <f>L312+M312+N312+O312-P312</f>
        <v/>
      </c>
      <c r="R312" s="11">
        <f>T311</f>
        <v/>
      </c>
      <c r="S312" s="11">
        <f>N(V312) + N(X312) + N(Z312)</f>
        <v/>
      </c>
      <c r="T312" s="11">
        <f>R312+P312-S312</f>
        <v/>
      </c>
      <c r="U312" s="11" t="inlineStr">
        <is>
          <t>是</t>
        </is>
      </c>
      <c r="V312" s="11" t="n">
        <v>51</v>
      </c>
      <c r="W312" s="11" t="inlineStr">
        <is>
          <t>是</t>
        </is>
      </c>
      <c r="X312" s="11" t="n">
        <v>56</v>
      </c>
      <c r="Y312" s="11" t="inlineStr">
        <is>
          <t>UP(52), UP(52)</t>
        </is>
      </c>
      <c r="Z312" s="11" t="n">
        <v>104</v>
      </c>
      <c r="AA312" s="11" t="inlineStr">
        <is>
          <t>冲刺200(动态100)</t>
        </is>
      </c>
      <c r="AB312" s="12">
        <f>AE311</f>
        <v/>
      </c>
      <c r="AC312" s="12" t="n">
        <v>4</v>
      </c>
      <c r="AD312" s="12" t="n">
        <v>1</v>
      </c>
      <c r="AE312" s="12">
        <f>AB312+AC312+AD312</f>
        <v/>
      </c>
      <c r="AF312" s="13">
        <f>AI311</f>
        <v/>
      </c>
      <c r="AG312" s="13" t="n">
        <v>0</v>
      </c>
      <c r="AH312" s="13" t="n">
        <v>5000</v>
      </c>
      <c r="AI312" s="13">
        <f>AF312+AG312+AH312</f>
        <v/>
      </c>
      <c r="AJ312" s="14" t="n">
        <v>0</v>
      </c>
      <c r="AK312" s="14" t="n">
        <v>50</v>
      </c>
      <c r="AL312" s="14" t="n">
        <v>0</v>
      </c>
      <c r="AM312" s="14">
        <f>AJ312+AK312+AL312</f>
        <v/>
      </c>
      <c r="AN312" s="14">
        <f>AN311+AM312</f>
        <v/>
      </c>
    </row>
    <row r="313">
      <c r="A313" s="8" t="n">
        <v>12</v>
      </c>
      <c r="B313" s="8" t="n">
        <v>13</v>
      </c>
      <c r="C313" s="8" t="n">
        <v>2</v>
      </c>
      <c r="D313" s="8" t="inlineStr">
        <is>
          <t>月卡收益 [月卡续费-30元]</t>
        </is>
      </c>
      <c r="E313" s="9">
        <f>K312</f>
        <v/>
      </c>
      <c r="F313" s="9" t="n">
        <v>1540</v>
      </c>
      <c r="G313" s="9" t="n">
        <v>0</v>
      </c>
      <c r="H313" s="9" t="n">
        <v>0</v>
      </c>
      <c r="I313" s="9" t="n">
        <v>0</v>
      </c>
      <c r="J313" s="9" t="n">
        <v>9120</v>
      </c>
      <c r="K313" s="9">
        <f>E313+F313+G313+H313+I313-J313</f>
        <v/>
      </c>
      <c r="L313" s="10">
        <f>Q312</f>
        <v/>
      </c>
      <c r="M313" s="10" t="n">
        <v>0</v>
      </c>
      <c r="N313" s="10" t="n">
        <v>6</v>
      </c>
      <c r="O313" s="10">
        <f>J313/160</f>
        <v/>
      </c>
      <c r="P313" s="10" t="n">
        <v>60</v>
      </c>
      <c r="Q313" s="10">
        <f>L313+M313+N313+O313-P313</f>
        <v/>
      </c>
      <c r="R313" s="11">
        <f>T312</f>
        <v/>
      </c>
      <c r="S313" s="11">
        <f>N(V313) + N(X313) + N(Z313)</f>
        <v/>
      </c>
      <c r="T313" s="11">
        <f>R313+P313-S313</f>
        <v/>
      </c>
      <c r="U313" s="11" t="inlineStr">
        <is>
          <t>是</t>
        </is>
      </c>
      <c r="V313" s="11" t="n">
        <v>48</v>
      </c>
      <c r="W313" s="11" t="inlineStr">
        <is>
          <t>否</t>
        </is>
      </c>
      <c r="X313" s="11" t="inlineStr">
        <is>
          <t>-</t>
        </is>
      </c>
      <c r="Y313" s="11" t="inlineStr">
        <is>
          <t>-</t>
        </is>
      </c>
      <c r="Z313" s="11" t="n">
        <v>0</v>
      </c>
      <c r="AA313" s="11" t="inlineStr">
        <is>
          <t>垫到60抽</t>
        </is>
      </c>
      <c r="AB313" s="12">
        <f>AE312</f>
        <v/>
      </c>
      <c r="AC313" s="12" t="n">
        <v>0</v>
      </c>
      <c r="AD313" s="12" t="n">
        <v>0</v>
      </c>
      <c r="AE313" s="12">
        <f>AB313+AC313+AD313</f>
        <v/>
      </c>
      <c r="AF313" s="13">
        <f>AI312</f>
        <v/>
      </c>
      <c r="AG313" s="13" t="n">
        <v>0</v>
      </c>
      <c r="AH313" s="13" t="n">
        <v>0</v>
      </c>
      <c r="AI313" s="13">
        <f>AF313+AG313+AH313</f>
        <v/>
      </c>
      <c r="AJ313" s="14" t="n">
        <v>30</v>
      </c>
      <c r="AK313" s="14" t="n">
        <v>0</v>
      </c>
      <c r="AL313" s="14" t="n">
        <v>0</v>
      </c>
      <c r="AM313" s="14">
        <f>AJ313+AK313+AL313</f>
        <v/>
      </c>
      <c r="AN313" s="14">
        <f>AN312+AM313</f>
        <v/>
      </c>
    </row>
    <row r="314">
      <c r="A314" s="8" t="n">
        <v>13</v>
      </c>
      <c r="B314" s="8" t="n">
        <v>1</v>
      </c>
      <c r="C314" s="8" t="n">
        <v>1</v>
      </c>
      <c r="D314" s="8" t="inlineStr">
        <is>
          <t>版本免费+义相逢 + 月卡收益</t>
        </is>
      </c>
      <c r="E314" s="9" t="n">
        <v>12480</v>
      </c>
      <c r="F314" s="9" t="n">
        <v>1540</v>
      </c>
      <c r="G314" s="9" t="n">
        <v>4800</v>
      </c>
      <c r="H314" s="9" t="n">
        <v>0</v>
      </c>
      <c r="I314" s="9" t="n">
        <v>0</v>
      </c>
      <c r="J314" s="9" t="n">
        <v>0</v>
      </c>
      <c r="K314" s="9">
        <f>E314+F314+G314+H314+I314-J314</f>
        <v/>
      </c>
      <c r="L314" s="10" t="n">
        <v>3</v>
      </c>
      <c r="M314" s="10" t="n">
        <v>85</v>
      </c>
      <c r="N314" s="10" t="n">
        <v>3</v>
      </c>
      <c r="O314" s="10">
        <f>J314/160</f>
        <v/>
      </c>
      <c r="P314" s="10" t="n">
        <v>40</v>
      </c>
      <c r="Q314" s="10">
        <f>L314+M314+N314+O314-P314</f>
        <v/>
      </c>
      <c r="R314" s="11" t="n">
        <v>14</v>
      </c>
      <c r="S314" s="11">
        <f>N(V314) + N(X314) + N(Z314)</f>
        <v/>
      </c>
      <c r="T314" s="11">
        <f>R314+P314-S314</f>
        <v/>
      </c>
      <c r="U314" s="11" t="inlineStr">
        <is>
          <t>是</t>
        </is>
      </c>
      <c r="V314" s="11" t="n">
        <v>48</v>
      </c>
      <c r="W314" s="11" t="inlineStr">
        <is>
          <t>否</t>
        </is>
      </c>
      <c r="X314" s="11" t="inlineStr">
        <is>
          <t>-</t>
        </is>
      </c>
      <c r="Y314" s="11" t="inlineStr">
        <is>
          <t>-</t>
        </is>
      </c>
      <c r="Z314" s="11" t="n">
        <v>0</v>
      </c>
      <c r="AA314" s="11" t="inlineStr">
        <is>
          <t>无</t>
        </is>
      </c>
      <c r="AB314" s="12" t="n">
        <v>643</v>
      </c>
      <c r="AC314" s="12" t="n">
        <v>4</v>
      </c>
      <c r="AD314" s="12" t="n">
        <v>0</v>
      </c>
      <c r="AE314" s="12">
        <f>AB314+AC314+AD314</f>
        <v/>
      </c>
      <c r="AF314" s="13" t="n">
        <v>95000</v>
      </c>
      <c r="AG314" s="13" t="n">
        <v>0</v>
      </c>
      <c r="AH314" s="13" t="n">
        <v>0</v>
      </c>
      <c r="AI314" s="13">
        <f>AF314+AG314+AH314</f>
        <v/>
      </c>
      <c r="AJ314" s="14" t="n">
        <v>0</v>
      </c>
      <c r="AK314" s="14" t="n">
        <v>50</v>
      </c>
      <c r="AL314" s="14" t="n">
        <v>0</v>
      </c>
      <c r="AM314" s="14">
        <f>AJ314+AK314+AL314</f>
        <v/>
      </c>
      <c r="AN314" s="14">
        <f>AM314</f>
        <v/>
      </c>
    </row>
    <row r="315">
      <c r="A315" s="8" t="n">
        <v>13</v>
      </c>
      <c r="B315" s="8" t="n">
        <v>1</v>
      </c>
      <c r="C315" s="8" t="n">
        <v>2</v>
      </c>
      <c r="D315" s="8" t="inlineStr">
        <is>
          <t>月卡收益 [月卡续费-30元]</t>
        </is>
      </c>
      <c r="E315" s="9">
        <f>K314</f>
        <v/>
      </c>
      <c r="F315" s="9" t="n">
        <v>1540</v>
      </c>
      <c r="G315" s="9" t="n">
        <v>0</v>
      </c>
      <c r="H315" s="9" t="n">
        <v>0</v>
      </c>
      <c r="I315" s="9" t="n">
        <v>0</v>
      </c>
      <c r="J315" s="9" t="n">
        <v>5280</v>
      </c>
      <c r="K315" s="9">
        <f>E315+F315+G315+H315+I315-J315</f>
        <v/>
      </c>
      <c r="L315" s="10">
        <f>Q314</f>
        <v/>
      </c>
      <c r="M315" s="10" t="n">
        <v>0</v>
      </c>
      <c r="N315" s="10" t="n">
        <v>11</v>
      </c>
      <c r="O315" s="10">
        <f>J315/160</f>
        <v/>
      </c>
      <c r="P315" s="10" t="n">
        <v>90</v>
      </c>
      <c r="Q315" s="10">
        <f>L315+M315+N315+O315-P315</f>
        <v/>
      </c>
      <c r="R315" s="11">
        <f>T314</f>
        <v/>
      </c>
      <c r="S315" s="11">
        <f>N(V315) + N(X315) + N(Z315)</f>
        <v/>
      </c>
      <c r="T315" s="11">
        <f>R315+P315-S315</f>
        <v/>
      </c>
      <c r="U315" s="11" t="inlineStr">
        <is>
          <t>是</t>
        </is>
      </c>
      <c r="V315" s="11" t="n">
        <v>50</v>
      </c>
      <c r="W315" s="11" t="inlineStr">
        <is>
          <t>是</t>
        </is>
      </c>
      <c r="X315" s="11" t="n">
        <v>46</v>
      </c>
      <c r="Y315" s="11" t="inlineStr">
        <is>
          <t>-</t>
        </is>
      </c>
      <c r="Z315" s="11" t="n">
        <v>0</v>
      </c>
      <c r="AA315" s="11" t="inlineStr">
        <is>
          <t>无</t>
        </is>
      </c>
      <c r="AB315" s="12">
        <f>AE314</f>
        <v/>
      </c>
      <c r="AC315" s="12" t="n">
        <v>0</v>
      </c>
      <c r="AD315" s="12" t="n">
        <v>0</v>
      </c>
      <c r="AE315" s="12">
        <f>AB315+AC315+AD315</f>
        <v/>
      </c>
      <c r="AF315" s="13">
        <f>AI314</f>
        <v/>
      </c>
      <c r="AG315" s="13" t="n">
        <v>0</v>
      </c>
      <c r="AH315" s="13" t="n">
        <v>0</v>
      </c>
      <c r="AI315" s="13">
        <f>AF315+AG315+AH315</f>
        <v/>
      </c>
      <c r="AJ315" s="14" t="n">
        <v>30</v>
      </c>
      <c r="AK315" s="14" t="n">
        <v>0</v>
      </c>
      <c r="AL315" s="14" t="n">
        <v>0</v>
      </c>
      <c r="AM315" s="14">
        <f>AJ315+AK315+AL315</f>
        <v/>
      </c>
      <c r="AN315" s="14">
        <f>AN314+AM315</f>
        <v/>
      </c>
    </row>
    <row r="316">
      <c r="A316" s="8" t="n">
        <v>13</v>
      </c>
      <c r="B316" s="8" t="n">
        <v>2</v>
      </c>
      <c r="C316" s="8" t="n">
        <v>1</v>
      </c>
      <c r="D316" s="8" t="inlineStr">
        <is>
          <t>版本免费+义相逢 + 月卡收益</t>
        </is>
      </c>
      <c r="E316" s="9">
        <f>K315</f>
        <v/>
      </c>
      <c r="F316" s="9" t="n">
        <v>1540</v>
      </c>
      <c r="G316" s="9" t="n">
        <v>4800</v>
      </c>
      <c r="H316" s="9" t="n">
        <v>0</v>
      </c>
      <c r="I316" s="9" t="n">
        <v>0</v>
      </c>
      <c r="J316" s="9" t="n">
        <v>0</v>
      </c>
      <c r="K316" s="9">
        <f>E316+F316+G316+H316+I316-J316</f>
        <v/>
      </c>
      <c r="L316" s="10">
        <f>Q315</f>
        <v/>
      </c>
      <c r="M316" s="10" t="n">
        <v>85</v>
      </c>
      <c r="N316" s="10" t="n">
        <v>6</v>
      </c>
      <c r="O316" s="10">
        <f>J316/160</f>
        <v/>
      </c>
      <c r="P316" s="10" t="n">
        <v>60</v>
      </c>
      <c r="Q316" s="10">
        <f>L316+M316+N316+O316-P316</f>
        <v/>
      </c>
      <c r="R316" s="11">
        <f>T315</f>
        <v/>
      </c>
      <c r="S316" s="11">
        <f>N(V316) + N(X316) + N(Z316)</f>
        <v/>
      </c>
      <c r="T316" s="11">
        <f>R316+P316-S316</f>
        <v/>
      </c>
      <c r="U316" s="11" t="inlineStr">
        <is>
          <t>是</t>
        </is>
      </c>
      <c r="V316" s="11" t="n">
        <v>48</v>
      </c>
      <c r="W316" s="11" t="inlineStr">
        <is>
          <t>否</t>
        </is>
      </c>
      <c r="X316" s="11" t="inlineStr">
        <is>
          <t>-</t>
        </is>
      </c>
      <c r="Y316" s="11" t="inlineStr">
        <is>
          <t>-</t>
        </is>
      </c>
      <c r="Z316" s="11" t="n">
        <v>0</v>
      </c>
      <c r="AA316" s="11" t="inlineStr">
        <is>
          <t>垫到60抽</t>
        </is>
      </c>
      <c r="AB316" s="12">
        <f>AE315</f>
        <v/>
      </c>
      <c r="AC316" s="12" t="n">
        <v>4</v>
      </c>
      <c r="AD316" s="12" t="n">
        <v>0</v>
      </c>
      <c r="AE316" s="12">
        <f>AB316+AC316+AD316</f>
        <v/>
      </c>
      <c r="AF316" s="13">
        <f>AI315</f>
        <v/>
      </c>
      <c r="AG316" s="13" t="n">
        <v>0</v>
      </c>
      <c r="AH316" s="13" t="n">
        <v>0</v>
      </c>
      <c r="AI316" s="13">
        <f>AF316+AG316+AH316</f>
        <v/>
      </c>
      <c r="AJ316" s="14" t="n">
        <v>0</v>
      </c>
      <c r="AK316" s="14" t="n">
        <v>50</v>
      </c>
      <c r="AL316" s="14" t="n">
        <v>0</v>
      </c>
      <c r="AM316" s="14">
        <f>AJ316+AK316+AL316</f>
        <v/>
      </c>
      <c r="AN316" s="14">
        <f>AN315+AM316</f>
        <v/>
      </c>
    </row>
    <row r="317">
      <c r="A317" s="8" t="n">
        <v>13</v>
      </c>
      <c r="B317" s="8" t="n">
        <v>2</v>
      </c>
      <c r="C317" s="8" t="n">
        <v>2</v>
      </c>
      <c r="D317" s="8" t="inlineStr">
        <is>
          <t>月卡收益</t>
        </is>
      </c>
      <c r="E317" s="9">
        <f>K316</f>
        <v/>
      </c>
      <c r="F317" s="9" t="n">
        <v>1540</v>
      </c>
      <c r="G317" s="9" t="n">
        <v>0</v>
      </c>
      <c r="H317" s="9" t="n">
        <v>0</v>
      </c>
      <c r="I317" s="9" t="n">
        <v>0</v>
      </c>
      <c r="J317" s="9" t="n">
        <v>8480</v>
      </c>
      <c r="K317" s="9">
        <f>E317+F317+G317+H317+I317-J317</f>
        <v/>
      </c>
      <c r="L317" s="10">
        <f>Q316</f>
        <v/>
      </c>
      <c r="M317" s="10" t="n">
        <v>0</v>
      </c>
      <c r="N317" s="10" t="n">
        <v>11</v>
      </c>
      <c r="O317" s="10">
        <f>J317/160</f>
        <v/>
      </c>
      <c r="P317" s="10" t="n">
        <v>100</v>
      </c>
      <c r="Q317" s="10">
        <f>L317+M317+N317+O317-P317</f>
        <v/>
      </c>
      <c r="R317" s="11">
        <f>T316</f>
        <v/>
      </c>
      <c r="S317" s="11">
        <f>N(V317) + N(X317) + N(Z317)</f>
        <v/>
      </c>
      <c r="T317" s="11">
        <f>R317+P317-S317</f>
        <v/>
      </c>
      <c r="U317" s="11" t="inlineStr">
        <is>
          <t>是</t>
        </is>
      </c>
      <c r="V317" s="11" t="n">
        <v>50</v>
      </c>
      <c r="W317" s="11" t="inlineStr">
        <is>
          <t>是</t>
        </is>
      </c>
      <c r="X317" s="11" t="n">
        <v>55</v>
      </c>
      <c r="Y317" s="11" t="inlineStr">
        <is>
          <t>-</t>
        </is>
      </c>
      <c r="Z317" s="11" t="n">
        <v>0</v>
      </c>
      <c r="AA317" s="11" t="inlineStr">
        <is>
          <t>无</t>
        </is>
      </c>
      <c r="AB317" s="12">
        <f>AE316</f>
        <v/>
      </c>
      <c r="AC317" s="12" t="n">
        <v>0</v>
      </c>
      <c r="AD317" s="12" t="n">
        <v>0</v>
      </c>
      <c r="AE317" s="12">
        <f>AB317+AC317+AD317</f>
        <v/>
      </c>
      <c r="AF317" s="13">
        <f>AI316</f>
        <v/>
      </c>
      <c r="AG317" s="13" t="n">
        <v>0</v>
      </c>
      <c r="AH317" s="13" t="n">
        <v>0</v>
      </c>
      <c r="AI317" s="13">
        <f>AF317+AG317+AH317</f>
        <v/>
      </c>
      <c r="AJ317" s="14" t="n">
        <v>0</v>
      </c>
      <c r="AK317" s="14" t="n">
        <v>0</v>
      </c>
      <c r="AL317" s="14" t="n">
        <v>0</v>
      </c>
      <c r="AM317" s="14">
        <f>AJ317+AK317+AL317</f>
        <v/>
      </c>
      <c r="AN317" s="14">
        <f>AN316+AM317</f>
        <v/>
      </c>
    </row>
    <row r="318">
      <c r="A318" s="8" t="n">
        <v>13</v>
      </c>
      <c r="B318" s="8" t="n">
        <v>3</v>
      </c>
      <c r="C318" s="8" t="n">
        <v>1</v>
      </c>
      <c r="D318" s="8" t="inlineStr">
        <is>
          <t>版本免费+义相逢 + 月卡收益 [月卡续费-30元]</t>
        </is>
      </c>
      <c r="E318" s="9">
        <f>K317</f>
        <v/>
      </c>
      <c r="F318" s="9" t="n">
        <v>1540</v>
      </c>
      <c r="G318" s="9" t="n">
        <v>4800</v>
      </c>
      <c r="H318" s="9" t="n">
        <v>0</v>
      </c>
      <c r="I318" s="9" t="n">
        <v>0</v>
      </c>
      <c r="J318" s="9" t="n">
        <v>0</v>
      </c>
      <c r="K318" s="9">
        <f>E318+F318+G318+H318+I318-J318</f>
        <v/>
      </c>
      <c r="L318" s="10">
        <f>Q317</f>
        <v/>
      </c>
      <c r="M318" s="10" t="n">
        <v>85</v>
      </c>
      <c r="N318" s="10" t="n">
        <v>6</v>
      </c>
      <c r="O318" s="10">
        <f>J318/160</f>
        <v/>
      </c>
      <c r="P318" s="10" t="n">
        <v>60</v>
      </c>
      <c r="Q318" s="10">
        <f>L318+M318+N318+O318-P318</f>
        <v/>
      </c>
      <c r="R318" s="11">
        <f>T317</f>
        <v/>
      </c>
      <c r="S318" s="11">
        <f>N(V318) + N(X318) + N(Z318)</f>
        <v/>
      </c>
      <c r="T318" s="11">
        <f>R318+P318-S318</f>
        <v/>
      </c>
      <c r="U318" s="11" t="inlineStr">
        <is>
          <t>是</t>
        </is>
      </c>
      <c r="V318" s="11" t="n">
        <v>53</v>
      </c>
      <c r="W318" s="11" t="inlineStr">
        <is>
          <t>否</t>
        </is>
      </c>
      <c r="X318" s="11" t="inlineStr">
        <is>
          <t>-</t>
        </is>
      </c>
      <c r="Y318" s="11" t="inlineStr">
        <is>
          <t>-</t>
        </is>
      </c>
      <c r="Z318" s="11" t="n">
        <v>0</v>
      </c>
      <c r="AA318" s="11" t="inlineStr">
        <is>
          <t>垫到60抽</t>
        </is>
      </c>
      <c r="AB318" s="12">
        <f>AE317</f>
        <v/>
      </c>
      <c r="AC318" s="12" t="n">
        <v>4</v>
      </c>
      <c r="AD318" s="12" t="n">
        <v>0</v>
      </c>
      <c r="AE318" s="12">
        <f>AB318+AC318+AD318</f>
        <v/>
      </c>
      <c r="AF318" s="13">
        <f>AI317</f>
        <v/>
      </c>
      <c r="AG318" s="13" t="n">
        <v>0</v>
      </c>
      <c r="AH318" s="13" t="n">
        <v>0</v>
      </c>
      <c r="AI318" s="13">
        <f>AF318+AG318+AH318</f>
        <v/>
      </c>
      <c r="AJ318" s="14" t="n">
        <v>30</v>
      </c>
      <c r="AK318" s="14" t="n">
        <v>50</v>
      </c>
      <c r="AL318" s="14" t="n">
        <v>0</v>
      </c>
      <c r="AM318" s="14">
        <f>AJ318+AK318+AL318</f>
        <v/>
      </c>
      <c r="AN318" s="14">
        <f>AN317+AM318</f>
        <v/>
      </c>
    </row>
    <row r="319">
      <c r="A319" s="8" t="n">
        <v>13</v>
      </c>
      <c r="B319" s="8" t="n">
        <v>3</v>
      </c>
      <c r="C319" s="8" t="n">
        <v>2</v>
      </c>
      <c r="D319" s="8" t="inlineStr">
        <is>
          <t>月卡收益</t>
        </is>
      </c>
      <c r="E319" s="9">
        <f>K318</f>
        <v/>
      </c>
      <c r="F319" s="9" t="n">
        <v>1540</v>
      </c>
      <c r="G319" s="9" t="n">
        <v>0</v>
      </c>
      <c r="H319" s="9" t="n">
        <v>0</v>
      </c>
      <c r="I319" s="9" t="n">
        <v>0</v>
      </c>
      <c r="J319" s="9" t="n">
        <v>8480</v>
      </c>
      <c r="K319" s="9">
        <f>E319+F319+G319+H319+I319-J319</f>
        <v/>
      </c>
      <c r="L319" s="10">
        <f>Q318</f>
        <v/>
      </c>
      <c r="M319" s="10" t="n">
        <v>0</v>
      </c>
      <c r="N319" s="10" t="n">
        <v>11</v>
      </c>
      <c r="O319" s="10">
        <f>J319/160</f>
        <v/>
      </c>
      <c r="P319" s="10" t="n">
        <v>90</v>
      </c>
      <c r="Q319" s="10">
        <f>L319+M319+N319+O319-P319</f>
        <v/>
      </c>
      <c r="R319" s="11">
        <f>T318</f>
        <v/>
      </c>
      <c r="S319" s="11">
        <f>N(V319) + N(X319) + N(Z319)</f>
        <v/>
      </c>
      <c r="T319" s="11">
        <f>R319+P319-S319</f>
        <v/>
      </c>
      <c r="U319" s="11" t="inlineStr">
        <is>
          <t>是</t>
        </is>
      </c>
      <c r="V319" s="11" t="n">
        <v>48</v>
      </c>
      <c r="W319" s="11" t="inlineStr">
        <is>
          <t>是</t>
        </is>
      </c>
      <c r="X319" s="11" t="n">
        <v>52</v>
      </c>
      <c r="Y319" s="11" t="inlineStr">
        <is>
          <t>-</t>
        </is>
      </c>
      <c r="Z319" s="11" t="n">
        <v>0</v>
      </c>
      <c r="AA319" s="11" t="inlineStr">
        <is>
          <t>无</t>
        </is>
      </c>
      <c r="AB319" s="12">
        <f>AE318</f>
        <v/>
      </c>
      <c r="AC319" s="12" t="n">
        <v>0</v>
      </c>
      <c r="AD319" s="12" t="n">
        <v>0</v>
      </c>
      <c r="AE319" s="12">
        <f>AB319+AC319+AD319</f>
        <v/>
      </c>
      <c r="AF319" s="13">
        <f>AI318</f>
        <v/>
      </c>
      <c r="AG319" s="13" t="n">
        <v>0</v>
      </c>
      <c r="AH319" s="13" t="n">
        <v>0</v>
      </c>
      <c r="AI319" s="13">
        <f>AF319+AG319+AH319</f>
        <v/>
      </c>
      <c r="AJ319" s="14" t="n">
        <v>0</v>
      </c>
      <c r="AK319" s="14" t="n">
        <v>0</v>
      </c>
      <c r="AL319" s="14" t="n">
        <v>0</v>
      </c>
      <c r="AM319" s="14">
        <f>AJ319+AK319+AL319</f>
        <v/>
      </c>
      <c r="AN319" s="14">
        <f>AN318+AM319</f>
        <v/>
      </c>
    </row>
    <row r="320">
      <c r="A320" s="8" t="n">
        <v>13</v>
      </c>
      <c r="B320" s="8" t="n">
        <v>4</v>
      </c>
      <c r="C320" s="8" t="n">
        <v>1</v>
      </c>
      <c r="D320" s="8" t="inlineStr">
        <is>
          <t>版本免费+义相逢 + 月卡收益 [月卡续费-30元]</t>
        </is>
      </c>
      <c r="E320" s="9">
        <f>K319</f>
        <v/>
      </c>
      <c r="F320" s="9" t="n">
        <v>1540</v>
      </c>
      <c r="G320" s="9" t="n">
        <v>4800</v>
      </c>
      <c r="H320" s="9" t="n">
        <v>0</v>
      </c>
      <c r="I320" s="9" t="n">
        <v>0</v>
      </c>
      <c r="J320" s="9" t="n">
        <v>0</v>
      </c>
      <c r="K320" s="9">
        <f>E320+F320+G320+H320+I320-J320</f>
        <v/>
      </c>
      <c r="L320" s="10">
        <f>Q319</f>
        <v/>
      </c>
      <c r="M320" s="10" t="n">
        <v>85</v>
      </c>
      <c r="N320" s="10" t="n">
        <v>6</v>
      </c>
      <c r="O320" s="10">
        <f>J320/160</f>
        <v/>
      </c>
      <c r="P320" s="10" t="n">
        <v>60</v>
      </c>
      <c r="Q320" s="10">
        <f>L320+M320+N320+O320-P320</f>
        <v/>
      </c>
      <c r="R320" s="11">
        <f>T319</f>
        <v/>
      </c>
      <c r="S320" s="11">
        <f>N(V320) + N(X320) + N(Z320)</f>
        <v/>
      </c>
      <c r="T320" s="11">
        <f>R320+P320-S320</f>
        <v/>
      </c>
      <c r="U320" s="11" t="inlineStr">
        <is>
          <t>是</t>
        </is>
      </c>
      <c r="V320" s="11" t="n">
        <v>48</v>
      </c>
      <c r="W320" s="11" t="inlineStr">
        <is>
          <t>否</t>
        </is>
      </c>
      <c r="X320" s="11" t="inlineStr">
        <is>
          <t>-</t>
        </is>
      </c>
      <c r="Y320" s="11" t="inlineStr">
        <is>
          <t>-</t>
        </is>
      </c>
      <c r="Z320" s="11" t="n">
        <v>0</v>
      </c>
      <c r="AA320" s="11" t="inlineStr">
        <is>
          <t>垫到60抽</t>
        </is>
      </c>
      <c r="AB320" s="12">
        <f>AE319</f>
        <v/>
      </c>
      <c r="AC320" s="12" t="n">
        <v>4</v>
      </c>
      <c r="AD320" s="12" t="n">
        <v>0</v>
      </c>
      <c r="AE320" s="12">
        <f>AB320+AC320+AD320</f>
        <v/>
      </c>
      <c r="AF320" s="13">
        <f>AI319</f>
        <v/>
      </c>
      <c r="AG320" s="13" t="n">
        <v>0</v>
      </c>
      <c r="AH320" s="13" t="n">
        <v>0</v>
      </c>
      <c r="AI320" s="13">
        <f>AF320+AG320+AH320</f>
        <v/>
      </c>
      <c r="AJ320" s="14" t="n">
        <v>30</v>
      </c>
      <c r="AK320" s="14" t="n">
        <v>50</v>
      </c>
      <c r="AL320" s="14" t="n">
        <v>0</v>
      </c>
      <c r="AM320" s="14">
        <f>AJ320+AK320+AL320</f>
        <v/>
      </c>
      <c r="AN320" s="14">
        <f>AN319+AM320</f>
        <v/>
      </c>
    </row>
    <row r="321">
      <c r="A321" s="8" t="n">
        <v>13</v>
      </c>
      <c r="B321" s="8" t="n">
        <v>4</v>
      </c>
      <c r="C321" s="8" t="n">
        <v>2</v>
      </c>
      <c r="D321" s="8" t="inlineStr">
        <is>
          <t>月卡收益</t>
        </is>
      </c>
      <c r="E321" s="9">
        <f>K320</f>
        <v/>
      </c>
      <c r="F321" s="9" t="n">
        <v>1540</v>
      </c>
      <c r="G321" s="9" t="n">
        <v>0</v>
      </c>
      <c r="H321" s="9" t="n">
        <v>0</v>
      </c>
      <c r="I321" s="9" t="n">
        <v>0</v>
      </c>
      <c r="J321" s="9" t="n">
        <v>3360</v>
      </c>
      <c r="K321" s="9">
        <f>E321+F321+G321+H321+I321-J321</f>
        <v/>
      </c>
      <c r="L321" s="10">
        <f>Q320</f>
        <v/>
      </c>
      <c r="M321" s="10" t="n">
        <v>0</v>
      </c>
      <c r="N321" s="10" t="n">
        <v>6</v>
      </c>
      <c r="O321" s="10">
        <f>J321/160</f>
        <v/>
      </c>
      <c r="P321" s="10" t="n">
        <v>60</v>
      </c>
      <c r="Q321" s="10">
        <f>L321+M321+N321+O321-P321</f>
        <v/>
      </c>
      <c r="R321" s="11">
        <f>T320</f>
        <v/>
      </c>
      <c r="S321" s="11">
        <f>N(V321) + N(X321) + N(Z321)</f>
        <v/>
      </c>
      <c r="T321" s="11">
        <f>R321+P321-S321</f>
        <v/>
      </c>
      <c r="U321" s="11" t="inlineStr">
        <is>
          <t>是</t>
        </is>
      </c>
      <c r="V321" s="11" t="n">
        <v>19</v>
      </c>
      <c r="W321" s="11" t="inlineStr">
        <is>
          <t>是</t>
        </is>
      </c>
      <c r="X321" s="11" t="n">
        <v>47</v>
      </c>
      <c r="Y321" s="11" t="inlineStr">
        <is>
          <t>-</t>
        </is>
      </c>
      <c r="Z321" s="11" t="n">
        <v>0</v>
      </c>
      <c r="AA321" s="11" t="inlineStr">
        <is>
          <t>垫到60抽</t>
        </is>
      </c>
      <c r="AB321" s="12">
        <f>AE320</f>
        <v/>
      </c>
      <c r="AC321" s="12" t="n">
        <v>0</v>
      </c>
      <c r="AD321" s="12" t="n">
        <v>0</v>
      </c>
      <c r="AE321" s="12">
        <f>AB321+AC321+AD321</f>
        <v/>
      </c>
      <c r="AF321" s="13">
        <f>AI320</f>
        <v/>
      </c>
      <c r="AG321" s="13" t="n">
        <v>0</v>
      </c>
      <c r="AH321" s="13" t="n">
        <v>0</v>
      </c>
      <c r="AI321" s="13">
        <f>AF321+AG321+AH321</f>
        <v/>
      </c>
      <c r="AJ321" s="14" t="n">
        <v>0</v>
      </c>
      <c r="AK321" s="14" t="n">
        <v>0</v>
      </c>
      <c r="AL321" s="14" t="n">
        <v>0</v>
      </c>
      <c r="AM321" s="14">
        <f>AJ321+AK321+AL321</f>
        <v/>
      </c>
      <c r="AN321" s="14">
        <f>AN320+AM321</f>
        <v/>
      </c>
    </row>
    <row r="322">
      <c r="A322" s="8" t="n">
        <v>13</v>
      </c>
      <c r="B322" s="8" t="n">
        <v>5</v>
      </c>
      <c r="C322" s="8" t="n">
        <v>1</v>
      </c>
      <c r="D322" s="8" t="inlineStr">
        <is>
          <t>版本免费+义相逢 + 月卡收益 [月卡续费-30元]</t>
        </is>
      </c>
      <c r="E322" s="9">
        <f>K321</f>
        <v/>
      </c>
      <c r="F322" s="9" t="n">
        <v>1540</v>
      </c>
      <c r="G322" s="9" t="n">
        <v>4800</v>
      </c>
      <c r="H322" s="9" t="n">
        <v>0</v>
      </c>
      <c r="I322" s="9" t="n">
        <v>0</v>
      </c>
      <c r="J322" s="9" t="n">
        <v>0</v>
      </c>
      <c r="K322" s="9">
        <f>E322+F322+G322+H322+I322-J322</f>
        <v/>
      </c>
      <c r="L322" s="10">
        <f>Q321</f>
        <v/>
      </c>
      <c r="M322" s="10" t="n">
        <v>85</v>
      </c>
      <c r="N322" s="10" t="n">
        <v>6</v>
      </c>
      <c r="O322" s="10">
        <f>J322/160</f>
        <v/>
      </c>
      <c r="P322" s="10" t="n">
        <v>60</v>
      </c>
      <c r="Q322" s="10">
        <f>L322+M322+N322+O322-P322</f>
        <v/>
      </c>
      <c r="R322" s="11">
        <f>T321</f>
        <v/>
      </c>
      <c r="S322" s="11">
        <f>N(V322) + N(X322) + N(Z322)</f>
        <v/>
      </c>
      <c r="T322" s="11">
        <f>R322+P322-S322</f>
        <v/>
      </c>
      <c r="U322" s="11" t="inlineStr">
        <is>
          <t>是</t>
        </is>
      </c>
      <c r="V322" s="11" t="n">
        <v>52</v>
      </c>
      <c r="W322" s="11" t="inlineStr">
        <is>
          <t>否</t>
        </is>
      </c>
      <c r="X322" s="11" t="inlineStr">
        <is>
          <t>-</t>
        </is>
      </c>
      <c r="Y322" s="11" t="inlineStr">
        <is>
          <t>-</t>
        </is>
      </c>
      <c r="Z322" s="11" t="n">
        <v>0</v>
      </c>
      <c r="AA322" s="11" t="inlineStr">
        <is>
          <t>垫到60抽</t>
        </is>
      </c>
      <c r="AB322" s="12">
        <f>AE321</f>
        <v/>
      </c>
      <c r="AC322" s="12" t="n">
        <v>4</v>
      </c>
      <c r="AD322" s="12" t="n">
        <v>0</v>
      </c>
      <c r="AE322" s="12">
        <f>AB322+AC322+AD322</f>
        <v/>
      </c>
      <c r="AF322" s="13">
        <f>AI321</f>
        <v/>
      </c>
      <c r="AG322" s="13" t="n">
        <v>0</v>
      </c>
      <c r="AH322" s="13" t="n">
        <v>0</v>
      </c>
      <c r="AI322" s="13">
        <f>AF322+AG322+AH322</f>
        <v/>
      </c>
      <c r="AJ322" s="14" t="n">
        <v>30</v>
      </c>
      <c r="AK322" s="14" t="n">
        <v>50</v>
      </c>
      <c r="AL322" s="14" t="n">
        <v>0</v>
      </c>
      <c r="AM322" s="14">
        <f>AJ322+AK322+AL322</f>
        <v/>
      </c>
      <c r="AN322" s="14">
        <f>AN321+AM322</f>
        <v/>
      </c>
    </row>
    <row r="323">
      <c r="A323" s="8" t="n">
        <v>13</v>
      </c>
      <c r="B323" s="8" t="n">
        <v>5</v>
      </c>
      <c r="C323" s="8" t="n">
        <v>2</v>
      </c>
      <c r="D323" s="8" t="inlineStr">
        <is>
          <t>月卡收益</t>
        </is>
      </c>
      <c r="E323" s="9">
        <f>K322</f>
        <v/>
      </c>
      <c r="F323" s="9" t="n">
        <v>1540</v>
      </c>
      <c r="G323" s="9" t="n">
        <v>0</v>
      </c>
      <c r="H323" s="9" t="n">
        <v>0</v>
      </c>
      <c r="I323" s="9" t="n">
        <v>0</v>
      </c>
      <c r="J323" s="9" t="n">
        <v>480</v>
      </c>
      <c r="K323" s="9">
        <f>E323+F323+G323+H323+I323-J323</f>
        <v/>
      </c>
      <c r="L323" s="10">
        <f>Q322</f>
        <v/>
      </c>
      <c r="M323" s="10" t="n">
        <v>0</v>
      </c>
      <c r="N323" s="10" t="n">
        <v>3</v>
      </c>
      <c r="O323" s="10">
        <f>J323/160</f>
        <v/>
      </c>
      <c r="P323" s="10" t="n">
        <v>40</v>
      </c>
      <c r="Q323" s="10">
        <f>L323+M323+N323+O323-P323</f>
        <v/>
      </c>
      <c r="R323" s="11">
        <f>T322</f>
        <v/>
      </c>
      <c r="S323" s="11">
        <f>N(V323) + N(X323) + N(Z323)</f>
        <v/>
      </c>
      <c r="T323" s="11">
        <f>R323+P323-S323</f>
        <v/>
      </c>
      <c r="U323" s="11" t="inlineStr">
        <is>
          <t>是</t>
        </is>
      </c>
      <c r="V323" s="11" t="n">
        <v>51</v>
      </c>
      <c r="W323" s="11" t="inlineStr">
        <is>
          <t>否</t>
        </is>
      </c>
      <c r="X323" s="11" t="inlineStr">
        <is>
          <t>-</t>
        </is>
      </c>
      <c r="Y323" s="11" t="inlineStr">
        <is>
          <t>-</t>
        </is>
      </c>
      <c r="Z323" s="11" t="n">
        <v>0</v>
      </c>
      <c r="AA323" s="11" t="inlineStr">
        <is>
          <t>无</t>
        </is>
      </c>
      <c r="AB323" s="12">
        <f>AE322</f>
        <v/>
      </c>
      <c r="AC323" s="12" t="n">
        <v>0</v>
      </c>
      <c r="AD323" s="12" t="n">
        <v>0</v>
      </c>
      <c r="AE323" s="12">
        <f>AB323+AC323+AD323</f>
        <v/>
      </c>
      <c r="AF323" s="13">
        <f>AI322</f>
        <v/>
      </c>
      <c r="AG323" s="13" t="n">
        <v>0</v>
      </c>
      <c r="AH323" s="13" t="n">
        <v>0</v>
      </c>
      <c r="AI323" s="13">
        <f>AF323+AG323+AH323</f>
        <v/>
      </c>
      <c r="AJ323" s="14" t="n">
        <v>0</v>
      </c>
      <c r="AK323" s="14" t="n">
        <v>0</v>
      </c>
      <c r="AL323" s="14" t="n">
        <v>0</v>
      </c>
      <c r="AM323" s="14">
        <f>AJ323+AK323+AL323</f>
        <v/>
      </c>
      <c r="AN323" s="14">
        <f>AN322+AM323</f>
        <v/>
      </c>
    </row>
    <row r="324">
      <c r="A324" s="8" t="n">
        <v>13</v>
      </c>
      <c r="B324" s="8" t="n">
        <v>6</v>
      </c>
      <c r="C324" s="8" t="n">
        <v>1</v>
      </c>
      <c r="D324" s="8" t="inlineStr">
        <is>
          <t>版本免费+义相逢 + 月卡收益 [月卡续费-30元]</t>
        </is>
      </c>
      <c r="E324" s="9">
        <f>K323</f>
        <v/>
      </c>
      <c r="F324" s="9" t="n">
        <v>1540</v>
      </c>
      <c r="G324" s="9" t="n">
        <v>4800</v>
      </c>
      <c r="H324" s="9" t="n">
        <v>0</v>
      </c>
      <c r="I324" s="9" t="n">
        <v>0</v>
      </c>
      <c r="J324" s="9" t="n">
        <v>0</v>
      </c>
      <c r="K324" s="9">
        <f>E324+F324+G324+H324+I324-J324</f>
        <v/>
      </c>
      <c r="L324" s="10">
        <f>Q323</f>
        <v/>
      </c>
      <c r="M324" s="10" t="n">
        <v>85</v>
      </c>
      <c r="N324" s="10" t="n">
        <v>3</v>
      </c>
      <c r="O324" s="10">
        <f>J324/160</f>
        <v/>
      </c>
      <c r="P324" s="10" t="n">
        <v>40</v>
      </c>
      <c r="Q324" s="10">
        <f>L324+M324+N324+O324-P324</f>
        <v/>
      </c>
      <c r="R324" s="11">
        <f>T323</f>
        <v/>
      </c>
      <c r="S324" s="11">
        <f>N(V324) + N(X324) + N(Z324)</f>
        <v/>
      </c>
      <c r="T324" s="11">
        <f>R324+P324-S324</f>
        <v/>
      </c>
      <c r="U324" s="11" t="inlineStr">
        <is>
          <t>是</t>
        </is>
      </c>
      <c r="V324" s="11" t="n">
        <v>47</v>
      </c>
      <c r="W324" s="11" t="inlineStr">
        <is>
          <t>否</t>
        </is>
      </c>
      <c r="X324" s="11" t="inlineStr">
        <is>
          <t>-</t>
        </is>
      </c>
      <c r="Y324" s="11" t="inlineStr">
        <is>
          <t>-</t>
        </is>
      </c>
      <c r="Z324" s="11" t="n">
        <v>0</v>
      </c>
      <c r="AA324" s="11" t="inlineStr">
        <is>
          <t>无</t>
        </is>
      </c>
      <c r="AB324" s="12">
        <f>AE323</f>
        <v/>
      </c>
      <c r="AC324" s="12" t="n">
        <v>4</v>
      </c>
      <c r="AD324" s="12" t="n">
        <v>0</v>
      </c>
      <c r="AE324" s="12">
        <f>AB324+AC324+AD324</f>
        <v/>
      </c>
      <c r="AF324" s="13">
        <f>AI323</f>
        <v/>
      </c>
      <c r="AG324" s="13" t="n">
        <v>0</v>
      </c>
      <c r="AH324" s="13" t="n">
        <v>0</v>
      </c>
      <c r="AI324" s="13">
        <f>AF324+AG324+AH324</f>
        <v/>
      </c>
      <c r="AJ324" s="14" t="n">
        <v>30</v>
      </c>
      <c r="AK324" s="14" t="n">
        <v>50</v>
      </c>
      <c r="AL324" s="14" t="n">
        <v>0</v>
      </c>
      <c r="AM324" s="14">
        <f>AJ324+AK324+AL324</f>
        <v/>
      </c>
      <c r="AN324" s="14">
        <f>AN323+AM324</f>
        <v/>
      </c>
    </row>
    <row r="325">
      <c r="A325" s="8" t="n">
        <v>13</v>
      </c>
      <c r="B325" s="8" t="n">
        <v>6</v>
      </c>
      <c r="C325" s="8" t="n">
        <v>2</v>
      </c>
      <c r="D325" s="8" t="inlineStr">
        <is>
          <t>月卡收益</t>
        </is>
      </c>
      <c r="E325" s="9">
        <f>K324</f>
        <v/>
      </c>
      <c r="F325" s="9" t="n">
        <v>1540</v>
      </c>
      <c r="G325" s="9" t="n">
        <v>0</v>
      </c>
      <c r="H325" s="9" t="n">
        <v>0</v>
      </c>
      <c r="I325" s="9" t="n">
        <v>0</v>
      </c>
      <c r="J325" s="9" t="n">
        <v>8160</v>
      </c>
      <c r="K325" s="9">
        <f>E325+F325+G325+H325+I325-J325</f>
        <v/>
      </c>
      <c r="L325" s="10">
        <f>Q324</f>
        <v/>
      </c>
      <c r="M325" s="10" t="n">
        <v>0</v>
      </c>
      <c r="N325" s="10" t="n">
        <v>11</v>
      </c>
      <c r="O325" s="10">
        <f>J325/160</f>
        <v/>
      </c>
      <c r="P325" s="10" t="n">
        <v>110</v>
      </c>
      <c r="Q325" s="10">
        <f>L325+M325+N325+O325-P325</f>
        <v/>
      </c>
      <c r="R325" s="11">
        <f>T324</f>
        <v/>
      </c>
      <c r="S325" s="11">
        <f>N(V325) + N(X325) + N(Z325)</f>
        <v/>
      </c>
      <c r="T325" s="11">
        <f>R325+P325-S325</f>
        <v/>
      </c>
      <c r="U325" s="11" t="inlineStr">
        <is>
          <t>是</t>
        </is>
      </c>
      <c r="V325" s="11" t="n">
        <v>53</v>
      </c>
      <c r="W325" s="11" t="inlineStr">
        <is>
          <t>是</t>
        </is>
      </c>
      <c r="X325" s="11" t="n">
        <v>50</v>
      </c>
      <c r="Y325" s="11" t="inlineStr">
        <is>
          <t>-</t>
        </is>
      </c>
      <c r="Z325" s="11" t="n">
        <v>0</v>
      </c>
      <c r="AA325" s="11" t="inlineStr">
        <is>
          <t>无</t>
        </is>
      </c>
      <c r="AB325" s="12">
        <f>AE324</f>
        <v/>
      </c>
      <c r="AC325" s="12" t="n">
        <v>0</v>
      </c>
      <c r="AD325" s="12" t="n">
        <v>0</v>
      </c>
      <c r="AE325" s="12">
        <f>AB325+AC325+AD325</f>
        <v/>
      </c>
      <c r="AF325" s="13">
        <f>AI324</f>
        <v/>
      </c>
      <c r="AG325" s="13" t="n">
        <v>0</v>
      </c>
      <c r="AH325" s="13" t="n">
        <v>0</v>
      </c>
      <c r="AI325" s="13">
        <f>AF325+AG325+AH325</f>
        <v/>
      </c>
      <c r="AJ325" s="14" t="n">
        <v>0</v>
      </c>
      <c r="AK325" s="14" t="n">
        <v>0</v>
      </c>
      <c r="AL325" s="14" t="n">
        <v>0</v>
      </c>
      <c r="AM325" s="14">
        <f>AJ325+AK325+AL325</f>
        <v/>
      </c>
      <c r="AN325" s="14">
        <f>AN324+AM325</f>
        <v/>
      </c>
    </row>
    <row r="326">
      <c r="A326" s="8" t="n">
        <v>13</v>
      </c>
      <c r="B326" s="8" t="n">
        <v>7</v>
      </c>
      <c r="C326" s="8" t="n">
        <v>1</v>
      </c>
      <c r="D326" s="8" t="inlineStr">
        <is>
          <t>版本免费+义相逢 + 月卡收益 [月卡续费-30元]</t>
        </is>
      </c>
      <c r="E326" s="9">
        <f>K325</f>
        <v/>
      </c>
      <c r="F326" s="9" t="n">
        <v>1540</v>
      </c>
      <c r="G326" s="9" t="n">
        <v>4800</v>
      </c>
      <c r="H326" s="9" t="n">
        <v>0</v>
      </c>
      <c r="I326" s="9" t="n">
        <v>0</v>
      </c>
      <c r="J326" s="9" t="n">
        <v>0</v>
      </c>
      <c r="K326" s="9">
        <f>E326+F326+G326+H326+I326-J326</f>
        <v/>
      </c>
      <c r="L326" s="10">
        <f>Q325</f>
        <v/>
      </c>
      <c r="M326" s="10" t="n">
        <v>85</v>
      </c>
      <c r="N326" s="10" t="n">
        <v>3</v>
      </c>
      <c r="O326" s="10">
        <f>J326/160</f>
        <v/>
      </c>
      <c r="P326" s="10" t="n">
        <v>40</v>
      </c>
      <c r="Q326" s="10">
        <f>L326+M326+N326+O326-P326</f>
        <v/>
      </c>
      <c r="R326" s="11">
        <f>T325</f>
        <v/>
      </c>
      <c r="S326" s="11">
        <f>N(V326) + N(X326) + N(Z326)</f>
        <v/>
      </c>
      <c r="T326" s="11">
        <f>R326+P326-S326</f>
        <v/>
      </c>
      <c r="U326" s="11" t="inlineStr">
        <is>
          <t>是</t>
        </is>
      </c>
      <c r="V326" s="11" t="n">
        <v>47</v>
      </c>
      <c r="W326" s="11" t="inlineStr">
        <is>
          <t>否</t>
        </is>
      </c>
      <c r="X326" s="11" t="inlineStr">
        <is>
          <t>-</t>
        </is>
      </c>
      <c r="Y326" s="11" t="inlineStr">
        <is>
          <t>-</t>
        </is>
      </c>
      <c r="Z326" s="11" t="n">
        <v>0</v>
      </c>
      <c r="AA326" s="11" t="inlineStr">
        <is>
          <t>无</t>
        </is>
      </c>
      <c r="AB326" s="12">
        <f>AE325</f>
        <v/>
      </c>
      <c r="AC326" s="12" t="n">
        <v>4</v>
      </c>
      <c r="AD326" s="12" t="n">
        <v>0</v>
      </c>
      <c r="AE326" s="12">
        <f>AB326+AC326+AD326</f>
        <v/>
      </c>
      <c r="AF326" s="13">
        <f>AI325</f>
        <v/>
      </c>
      <c r="AG326" s="13" t="n">
        <v>0</v>
      </c>
      <c r="AH326" s="13" t="n">
        <v>0</v>
      </c>
      <c r="AI326" s="13">
        <f>AF326+AG326+AH326</f>
        <v/>
      </c>
      <c r="AJ326" s="14" t="n">
        <v>30</v>
      </c>
      <c r="AK326" s="14" t="n">
        <v>50</v>
      </c>
      <c r="AL326" s="14" t="n">
        <v>0</v>
      </c>
      <c r="AM326" s="14">
        <f>AJ326+AK326+AL326</f>
        <v/>
      </c>
      <c r="AN326" s="14">
        <f>AN325+AM326</f>
        <v/>
      </c>
    </row>
    <row r="327">
      <c r="A327" s="8" t="n">
        <v>13</v>
      </c>
      <c r="B327" s="8" t="n">
        <v>7</v>
      </c>
      <c r="C327" s="8" t="n">
        <v>2</v>
      </c>
      <c r="D327" s="8" t="inlineStr">
        <is>
          <t>月卡收益</t>
        </is>
      </c>
      <c r="E327" s="9">
        <f>K326</f>
        <v/>
      </c>
      <c r="F327" s="9" t="n">
        <v>1540</v>
      </c>
      <c r="G327" s="9" t="n">
        <v>0</v>
      </c>
      <c r="H327" s="9" t="n">
        <v>0</v>
      </c>
      <c r="I327" s="9" t="n">
        <v>0</v>
      </c>
      <c r="J327" s="9" t="n">
        <v>6560</v>
      </c>
      <c r="K327" s="9">
        <f>E327+F327+G327+H327+I327-J327</f>
        <v/>
      </c>
      <c r="L327" s="10">
        <f>Q326</f>
        <v/>
      </c>
      <c r="M327" s="10" t="n">
        <v>0</v>
      </c>
      <c r="N327" s="10" t="n">
        <v>11</v>
      </c>
      <c r="O327" s="10">
        <f>J327/160</f>
        <v/>
      </c>
      <c r="P327" s="10" t="n">
        <v>100</v>
      </c>
      <c r="Q327" s="10">
        <f>L327+M327+N327+O327-P327</f>
        <v/>
      </c>
      <c r="R327" s="11">
        <f>T326</f>
        <v/>
      </c>
      <c r="S327" s="11">
        <f>N(V327) + N(X327) + N(Z327)</f>
        <v/>
      </c>
      <c r="T327" s="11">
        <f>R327+P327-S327</f>
        <v/>
      </c>
      <c r="U327" s="11" t="inlineStr">
        <is>
          <t>是</t>
        </is>
      </c>
      <c r="V327" s="11" t="n">
        <v>48</v>
      </c>
      <c r="W327" s="11" t="inlineStr">
        <is>
          <t>是</t>
        </is>
      </c>
      <c r="X327" s="11" t="n">
        <v>46</v>
      </c>
      <c r="Y327" s="11" t="inlineStr">
        <is>
          <t>-</t>
        </is>
      </c>
      <c r="Z327" s="11" t="n">
        <v>0</v>
      </c>
      <c r="AA327" s="11" t="inlineStr">
        <is>
          <t>无</t>
        </is>
      </c>
      <c r="AB327" s="12">
        <f>AE326</f>
        <v/>
      </c>
      <c r="AC327" s="12" t="n">
        <v>0</v>
      </c>
      <c r="AD327" s="12" t="n">
        <v>0</v>
      </c>
      <c r="AE327" s="12">
        <f>AB327+AC327+AD327</f>
        <v/>
      </c>
      <c r="AF327" s="13">
        <f>AI326</f>
        <v/>
      </c>
      <c r="AG327" s="13" t="n">
        <v>0</v>
      </c>
      <c r="AH327" s="13" t="n">
        <v>0</v>
      </c>
      <c r="AI327" s="13">
        <f>AF327+AG327+AH327</f>
        <v/>
      </c>
      <c r="AJ327" s="14" t="n">
        <v>0</v>
      </c>
      <c r="AK327" s="14" t="n">
        <v>0</v>
      </c>
      <c r="AL327" s="14" t="n">
        <v>0</v>
      </c>
      <c r="AM327" s="14">
        <f>AJ327+AK327+AL327</f>
        <v/>
      </c>
      <c r="AN327" s="14">
        <f>AN326+AM327</f>
        <v/>
      </c>
    </row>
    <row r="328">
      <c r="A328" s="8" t="n">
        <v>13</v>
      </c>
      <c r="B328" s="8" t="n">
        <v>8</v>
      </c>
      <c r="C328" s="8" t="n">
        <v>1</v>
      </c>
      <c r="D328" s="8" t="inlineStr">
        <is>
          <t>版本免费+义相逢 + 月卡收益 [月卡续费-30元]</t>
        </is>
      </c>
      <c r="E328" s="9">
        <f>K327</f>
        <v/>
      </c>
      <c r="F328" s="9" t="n">
        <v>1540</v>
      </c>
      <c r="G328" s="9" t="n">
        <v>4800</v>
      </c>
      <c r="H328" s="9" t="n">
        <v>0</v>
      </c>
      <c r="I328" s="9" t="n">
        <v>0</v>
      </c>
      <c r="J328" s="9" t="n">
        <v>15040</v>
      </c>
      <c r="K328" s="9">
        <f>E328+F328+G328+H328+I328-J328</f>
        <v/>
      </c>
      <c r="L328" s="10">
        <f>Q327</f>
        <v/>
      </c>
      <c r="M328" s="10" t="n">
        <v>85</v>
      </c>
      <c r="N328" s="10" t="n">
        <v>21</v>
      </c>
      <c r="O328" s="10">
        <f>J328/160</f>
        <v/>
      </c>
      <c r="P328" s="10" t="n">
        <v>200</v>
      </c>
      <c r="Q328" s="10">
        <f>L328+M328+N328+O328-P328</f>
        <v/>
      </c>
      <c r="R328" s="11">
        <f>T327</f>
        <v/>
      </c>
      <c r="S328" s="11">
        <f>N(V328) + N(X328) + N(Z328)</f>
        <v/>
      </c>
      <c r="T328" s="11">
        <f>R328+P328-S328</f>
        <v/>
      </c>
      <c r="U328" s="11" t="inlineStr">
        <is>
          <t>是</t>
        </is>
      </c>
      <c r="V328" s="11" t="n">
        <v>52</v>
      </c>
      <c r="W328" s="11" t="inlineStr">
        <is>
          <t>是</t>
        </is>
      </c>
      <c r="X328" s="11" t="n">
        <v>48</v>
      </c>
      <c r="Y328" s="11" t="inlineStr">
        <is>
          <t>UP(50), UP(48)</t>
        </is>
      </c>
      <c r="Z328" s="11" t="n">
        <v>98</v>
      </c>
      <c r="AA328" s="11" t="inlineStr">
        <is>
          <t>冲刺200(动态100)</t>
        </is>
      </c>
      <c r="AB328" s="12">
        <f>AE327</f>
        <v/>
      </c>
      <c r="AC328" s="12" t="n">
        <v>4</v>
      </c>
      <c r="AD328" s="12" t="n">
        <v>1</v>
      </c>
      <c r="AE328" s="12">
        <f>AB328+AC328+AD328</f>
        <v/>
      </c>
      <c r="AF328" s="13">
        <f>AI327</f>
        <v/>
      </c>
      <c r="AG328" s="13" t="n">
        <v>0</v>
      </c>
      <c r="AH328" s="13" t="n">
        <v>5000</v>
      </c>
      <c r="AI328" s="13">
        <f>AF328+AG328+AH328</f>
        <v/>
      </c>
      <c r="AJ328" s="14" t="n">
        <v>30</v>
      </c>
      <c r="AK328" s="14" t="n">
        <v>50</v>
      </c>
      <c r="AL328" s="14" t="n">
        <v>0</v>
      </c>
      <c r="AM328" s="14">
        <f>AJ328+AK328+AL328</f>
        <v/>
      </c>
      <c r="AN328" s="14">
        <f>AN327+AM328</f>
        <v/>
      </c>
    </row>
    <row r="329">
      <c r="A329" s="8" t="n">
        <v>13</v>
      </c>
      <c r="B329" s="8" t="n">
        <v>8</v>
      </c>
      <c r="C329" s="8" t="n">
        <v>2</v>
      </c>
      <c r="D329" s="8" t="inlineStr">
        <is>
          <t>月卡收益</t>
        </is>
      </c>
      <c r="E329" s="9">
        <f>K328</f>
        <v/>
      </c>
      <c r="F329" s="9" t="n">
        <v>1540</v>
      </c>
      <c r="G329" s="9" t="n">
        <v>0</v>
      </c>
      <c r="H329" s="9" t="n">
        <v>0</v>
      </c>
      <c r="I329" s="9" t="n">
        <v>0</v>
      </c>
      <c r="J329" s="9" t="n">
        <v>13440</v>
      </c>
      <c r="K329" s="9">
        <f>E329+F329+G329+H329+I329-J329</f>
        <v/>
      </c>
      <c r="L329" s="10">
        <f>Q328</f>
        <v/>
      </c>
      <c r="M329" s="10" t="n">
        <v>0</v>
      </c>
      <c r="N329" s="10" t="n">
        <v>11</v>
      </c>
      <c r="O329" s="10">
        <f>J329/160</f>
        <v/>
      </c>
      <c r="P329" s="10" t="n">
        <v>90</v>
      </c>
      <c r="Q329" s="10">
        <f>L329+M329+N329+O329-P329</f>
        <v/>
      </c>
      <c r="R329" s="11">
        <f>T328</f>
        <v/>
      </c>
      <c r="S329" s="11">
        <f>N(V329) + N(X329) + N(Z329)</f>
        <v/>
      </c>
      <c r="T329" s="11">
        <f>R329+P329-S329</f>
        <v/>
      </c>
      <c r="U329" s="11" t="inlineStr">
        <is>
          <t>是</t>
        </is>
      </c>
      <c r="V329" s="11" t="n">
        <v>48</v>
      </c>
      <c r="W329" s="11" t="inlineStr">
        <is>
          <t>是</t>
        </is>
      </c>
      <c r="X329" s="11" t="n">
        <v>48</v>
      </c>
      <c r="Y329" s="11" t="inlineStr">
        <is>
          <t>-</t>
        </is>
      </c>
      <c r="Z329" s="11" t="n">
        <v>0</v>
      </c>
      <c r="AA329" s="11" t="inlineStr">
        <is>
          <t>无</t>
        </is>
      </c>
      <c r="AB329" s="12">
        <f>AE328</f>
        <v/>
      </c>
      <c r="AC329" s="12" t="n">
        <v>0</v>
      </c>
      <c r="AD329" s="12" t="n">
        <v>0</v>
      </c>
      <c r="AE329" s="12">
        <f>AB329+AC329+AD329</f>
        <v/>
      </c>
      <c r="AF329" s="13">
        <f>AI328</f>
        <v/>
      </c>
      <c r="AG329" s="13" t="n">
        <v>0</v>
      </c>
      <c r="AH329" s="13" t="n">
        <v>0</v>
      </c>
      <c r="AI329" s="13">
        <f>AF329+AG329+AH329</f>
        <v/>
      </c>
      <c r="AJ329" s="14" t="n">
        <v>0</v>
      </c>
      <c r="AK329" s="14" t="n">
        <v>0</v>
      </c>
      <c r="AL329" s="14" t="n">
        <v>0</v>
      </c>
      <c r="AM329" s="14">
        <f>AJ329+AK329+AL329</f>
        <v/>
      </c>
      <c r="AN329" s="14">
        <f>AN328+AM329</f>
        <v/>
      </c>
    </row>
    <row r="330">
      <c r="A330" s="8" t="n">
        <v>13</v>
      </c>
      <c r="B330" s="8" t="n">
        <v>9</v>
      </c>
      <c r="C330" s="8" t="n">
        <v>1</v>
      </c>
      <c r="D330" s="8" t="inlineStr">
        <is>
          <t>版本免费+义相逢 + 月卡收益 [月卡续费-30元]</t>
        </is>
      </c>
      <c r="E330" s="9">
        <f>K329</f>
        <v/>
      </c>
      <c r="F330" s="9" t="n">
        <v>1540</v>
      </c>
      <c r="G330" s="9" t="n">
        <v>4800</v>
      </c>
      <c r="H330" s="9" t="n">
        <v>0</v>
      </c>
      <c r="I330" s="9" t="n">
        <v>0</v>
      </c>
      <c r="J330" s="9" t="n">
        <v>0</v>
      </c>
      <c r="K330" s="9">
        <f>E330+F330+G330+H330+I330-J330</f>
        <v/>
      </c>
      <c r="L330" s="10">
        <f>Q329</f>
        <v/>
      </c>
      <c r="M330" s="10" t="n">
        <v>85</v>
      </c>
      <c r="N330" s="10" t="n">
        <v>6</v>
      </c>
      <c r="O330" s="10">
        <f>J330/160</f>
        <v/>
      </c>
      <c r="P330" s="10" t="n">
        <v>60</v>
      </c>
      <c r="Q330" s="10">
        <f>L330+M330+N330+O330-P330</f>
        <v/>
      </c>
      <c r="R330" s="11">
        <f>T329</f>
        <v/>
      </c>
      <c r="S330" s="11">
        <f>N(V330) + N(X330) + N(Z330)</f>
        <v/>
      </c>
      <c r="T330" s="11">
        <f>R330+P330-S330</f>
        <v/>
      </c>
      <c r="U330" s="11" t="inlineStr">
        <is>
          <t>是</t>
        </is>
      </c>
      <c r="V330" s="11" t="n">
        <v>52</v>
      </c>
      <c r="W330" s="11" t="inlineStr">
        <is>
          <t>否</t>
        </is>
      </c>
      <c r="X330" s="11" t="inlineStr">
        <is>
          <t>-</t>
        </is>
      </c>
      <c r="Y330" s="11" t="inlineStr">
        <is>
          <t>-</t>
        </is>
      </c>
      <c r="Z330" s="11" t="n">
        <v>0</v>
      </c>
      <c r="AA330" s="11" t="inlineStr">
        <is>
          <t>垫到60抽</t>
        </is>
      </c>
      <c r="AB330" s="12">
        <f>AE329</f>
        <v/>
      </c>
      <c r="AC330" s="12" t="n">
        <v>4</v>
      </c>
      <c r="AD330" s="12" t="n">
        <v>0</v>
      </c>
      <c r="AE330" s="12">
        <f>AB330+AC330+AD330</f>
        <v/>
      </c>
      <c r="AF330" s="13">
        <f>AI329</f>
        <v/>
      </c>
      <c r="AG330" s="13" t="n">
        <v>0</v>
      </c>
      <c r="AH330" s="13" t="n">
        <v>0</v>
      </c>
      <c r="AI330" s="13">
        <f>AF330+AG330+AH330</f>
        <v/>
      </c>
      <c r="AJ330" s="14" t="n">
        <v>30</v>
      </c>
      <c r="AK330" s="14" t="n">
        <v>50</v>
      </c>
      <c r="AL330" s="14" t="n">
        <v>0</v>
      </c>
      <c r="AM330" s="14">
        <f>AJ330+AK330+AL330</f>
        <v/>
      </c>
      <c r="AN330" s="14">
        <f>AN329+AM330</f>
        <v/>
      </c>
    </row>
    <row r="331">
      <c r="A331" s="8" t="n">
        <v>13</v>
      </c>
      <c r="B331" s="8" t="n">
        <v>9</v>
      </c>
      <c r="C331" s="8" t="n">
        <v>2</v>
      </c>
      <c r="D331" s="8" t="inlineStr">
        <is>
          <t>月卡收益</t>
        </is>
      </c>
      <c r="E331" s="9">
        <f>K330</f>
        <v/>
      </c>
      <c r="F331" s="9" t="n">
        <v>1540</v>
      </c>
      <c r="G331" s="9" t="n">
        <v>0</v>
      </c>
      <c r="H331" s="9" t="n">
        <v>0</v>
      </c>
      <c r="I331" s="9" t="n">
        <v>0</v>
      </c>
      <c r="J331" s="9" t="n">
        <v>160</v>
      </c>
      <c r="K331" s="9">
        <f>E331+F331+G331+H331+I331-J331</f>
        <v/>
      </c>
      <c r="L331" s="10">
        <f>Q330</f>
        <v/>
      </c>
      <c r="M331" s="10" t="n">
        <v>0</v>
      </c>
      <c r="N331" s="10" t="n">
        <v>3</v>
      </c>
      <c r="O331" s="10">
        <f>J331/160</f>
        <v/>
      </c>
      <c r="P331" s="10" t="n">
        <v>40</v>
      </c>
      <c r="Q331" s="10">
        <f>L331+M331+N331+O331-P331</f>
        <v/>
      </c>
      <c r="R331" s="11">
        <f>T330</f>
        <v/>
      </c>
      <c r="S331" s="11">
        <f>N(V331) + N(X331) + N(Z331)</f>
        <v/>
      </c>
      <c r="T331" s="11">
        <f>R331+P331-S331</f>
        <v/>
      </c>
      <c r="U331" s="11" t="inlineStr">
        <is>
          <t>是</t>
        </is>
      </c>
      <c r="V331" s="11" t="n">
        <v>41</v>
      </c>
      <c r="W331" s="11" t="inlineStr">
        <is>
          <t>否</t>
        </is>
      </c>
      <c r="X331" s="11" t="inlineStr">
        <is>
          <t>-</t>
        </is>
      </c>
      <c r="Y331" s="11" t="inlineStr">
        <is>
          <t>-</t>
        </is>
      </c>
      <c r="Z331" s="11" t="n">
        <v>0</v>
      </c>
      <c r="AA331" s="11" t="inlineStr">
        <is>
          <t>无</t>
        </is>
      </c>
      <c r="AB331" s="12">
        <f>AE330</f>
        <v/>
      </c>
      <c r="AC331" s="12" t="n">
        <v>0</v>
      </c>
      <c r="AD331" s="12" t="n">
        <v>0</v>
      </c>
      <c r="AE331" s="12">
        <f>AB331+AC331+AD331</f>
        <v/>
      </c>
      <c r="AF331" s="13">
        <f>AI330</f>
        <v/>
      </c>
      <c r="AG331" s="13" t="n">
        <v>0</v>
      </c>
      <c r="AH331" s="13" t="n">
        <v>0</v>
      </c>
      <c r="AI331" s="13">
        <f>AF331+AG331+AH331</f>
        <v/>
      </c>
      <c r="AJ331" s="14" t="n">
        <v>0</v>
      </c>
      <c r="AK331" s="14" t="n">
        <v>0</v>
      </c>
      <c r="AL331" s="14" t="n">
        <v>0</v>
      </c>
      <c r="AM331" s="14">
        <f>AJ331+AK331+AL331</f>
        <v/>
      </c>
      <c r="AN331" s="14">
        <f>AN330+AM331</f>
        <v/>
      </c>
    </row>
    <row r="332">
      <c r="A332" s="8" t="n">
        <v>13</v>
      </c>
      <c r="B332" s="8" t="n">
        <v>10</v>
      </c>
      <c r="C332" s="8" t="n">
        <v>1</v>
      </c>
      <c r="D332" s="8" t="inlineStr">
        <is>
          <t>版本免费+义相逢 + 月卡收益</t>
        </is>
      </c>
      <c r="E332" s="9">
        <f>K331</f>
        <v/>
      </c>
      <c r="F332" s="9" t="n">
        <v>1540</v>
      </c>
      <c r="G332" s="9" t="n">
        <v>4800</v>
      </c>
      <c r="H332" s="9" t="n">
        <v>0</v>
      </c>
      <c r="I332" s="9" t="n">
        <v>0</v>
      </c>
      <c r="J332" s="9" t="n">
        <v>0</v>
      </c>
      <c r="K332" s="9">
        <f>E332+F332+G332+H332+I332-J332</f>
        <v/>
      </c>
      <c r="L332" s="10">
        <f>Q331</f>
        <v/>
      </c>
      <c r="M332" s="10" t="n">
        <v>85</v>
      </c>
      <c r="N332" s="10" t="n">
        <v>3</v>
      </c>
      <c r="O332" s="10">
        <f>J332/160</f>
        <v/>
      </c>
      <c r="P332" s="10" t="n">
        <v>40</v>
      </c>
      <c r="Q332" s="10">
        <f>L332+M332+N332+O332-P332</f>
        <v/>
      </c>
      <c r="R332" s="11">
        <f>T331</f>
        <v/>
      </c>
      <c r="S332" s="11">
        <f>N(V332) + N(X332) + N(Z332)</f>
        <v/>
      </c>
      <c r="T332" s="11">
        <f>R332+P332-S332</f>
        <v/>
      </c>
      <c r="U332" s="11" t="inlineStr">
        <is>
          <t>是</t>
        </is>
      </c>
      <c r="V332" s="11" t="n">
        <v>49</v>
      </c>
      <c r="W332" s="11" t="inlineStr">
        <is>
          <t>否</t>
        </is>
      </c>
      <c r="X332" s="11" t="inlineStr">
        <is>
          <t>-</t>
        </is>
      </c>
      <c r="Y332" s="11" t="inlineStr">
        <is>
          <t>-</t>
        </is>
      </c>
      <c r="Z332" s="11" t="n">
        <v>0</v>
      </c>
      <c r="AA332" s="11" t="inlineStr">
        <is>
          <t>无</t>
        </is>
      </c>
      <c r="AB332" s="12">
        <f>AE331</f>
        <v/>
      </c>
      <c r="AC332" s="12" t="n">
        <v>4</v>
      </c>
      <c r="AD332" s="12" t="n">
        <v>0</v>
      </c>
      <c r="AE332" s="12">
        <f>AB332+AC332+AD332</f>
        <v/>
      </c>
      <c r="AF332" s="13">
        <f>AI331</f>
        <v/>
      </c>
      <c r="AG332" s="13" t="n">
        <v>0</v>
      </c>
      <c r="AH332" s="13" t="n">
        <v>0</v>
      </c>
      <c r="AI332" s="13">
        <f>AF332+AG332+AH332</f>
        <v/>
      </c>
      <c r="AJ332" s="14" t="n">
        <v>0</v>
      </c>
      <c r="AK332" s="14" t="n">
        <v>50</v>
      </c>
      <c r="AL332" s="14" t="n">
        <v>0</v>
      </c>
      <c r="AM332" s="14">
        <f>AJ332+AK332+AL332</f>
        <v/>
      </c>
      <c r="AN332" s="14">
        <f>AN331+AM332</f>
        <v/>
      </c>
    </row>
    <row r="333">
      <c r="A333" s="8" t="n">
        <v>13</v>
      </c>
      <c r="B333" s="8" t="n">
        <v>10</v>
      </c>
      <c r="C333" s="8" t="n">
        <v>2</v>
      </c>
      <c r="D333" s="8" t="inlineStr">
        <is>
          <t>月卡收益 [月卡续费-30元]</t>
        </is>
      </c>
      <c r="E333" s="9">
        <f>K332</f>
        <v/>
      </c>
      <c r="F333" s="9" t="n">
        <v>1540</v>
      </c>
      <c r="G333" s="9" t="n">
        <v>0</v>
      </c>
      <c r="H333" s="9" t="n">
        <v>0</v>
      </c>
      <c r="I333" s="9" t="n">
        <v>0</v>
      </c>
      <c r="J333" s="9" t="n">
        <v>5760</v>
      </c>
      <c r="K333" s="9">
        <f>E333+F333+G333+H333+I333-J333</f>
        <v/>
      </c>
      <c r="L333" s="10">
        <f>Q332</f>
        <v/>
      </c>
      <c r="M333" s="10" t="n">
        <v>0</v>
      </c>
      <c r="N333" s="10" t="n">
        <v>11</v>
      </c>
      <c r="O333" s="10">
        <f>J333/160</f>
        <v/>
      </c>
      <c r="P333" s="10" t="n">
        <v>90</v>
      </c>
      <c r="Q333" s="10">
        <f>L333+M333+N333+O333-P333</f>
        <v/>
      </c>
      <c r="R333" s="11">
        <f>T332</f>
        <v/>
      </c>
      <c r="S333" s="11">
        <f>N(V333) + N(X333) + N(Z333)</f>
        <v/>
      </c>
      <c r="T333" s="11">
        <f>R333+P333-S333</f>
        <v/>
      </c>
      <c r="U333" s="11" t="inlineStr">
        <is>
          <t>是</t>
        </is>
      </c>
      <c r="V333" s="11" t="n">
        <v>35</v>
      </c>
      <c r="W333" s="11" t="inlineStr">
        <is>
          <t>是</t>
        </is>
      </c>
      <c r="X333" s="11" t="n">
        <v>48</v>
      </c>
      <c r="Y333" s="11" t="inlineStr">
        <is>
          <t>-</t>
        </is>
      </c>
      <c r="Z333" s="11" t="n">
        <v>0</v>
      </c>
      <c r="AA333" s="11" t="inlineStr">
        <is>
          <t>无</t>
        </is>
      </c>
      <c r="AB333" s="12">
        <f>AE332</f>
        <v/>
      </c>
      <c r="AC333" s="12" t="n">
        <v>0</v>
      </c>
      <c r="AD333" s="12" t="n">
        <v>0</v>
      </c>
      <c r="AE333" s="12">
        <f>AB333+AC333+AD333</f>
        <v/>
      </c>
      <c r="AF333" s="13">
        <f>AI332</f>
        <v/>
      </c>
      <c r="AG333" s="13" t="n">
        <v>0</v>
      </c>
      <c r="AH333" s="13" t="n">
        <v>0</v>
      </c>
      <c r="AI333" s="13">
        <f>AF333+AG333+AH333</f>
        <v/>
      </c>
      <c r="AJ333" s="14" t="n">
        <v>30</v>
      </c>
      <c r="AK333" s="14" t="n">
        <v>0</v>
      </c>
      <c r="AL333" s="14" t="n">
        <v>0</v>
      </c>
      <c r="AM333" s="14">
        <f>AJ333+AK333+AL333</f>
        <v/>
      </c>
      <c r="AN333" s="14">
        <f>AN332+AM333</f>
        <v/>
      </c>
    </row>
    <row r="334">
      <c r="A334" s="8" t="n">
        <v>13</v>
      </c>
      <c r="B334" s="8" t="n">
        <v>11</v>
      </c>
      <c r="C334" s="8" t="n">
        <v>1</v>
      </c>
      <c r="D334" s="8" t="inlineStr">
        <is>
          <t>版本免费+义相逢 + 月卡收益</t>
        </is>
      </c>
      <c r="E334" s="9">
        <f>K333</f>
        <v/>
      </c>
      <c r="F334" s="9" t="n">
        <v>1540</v>
      </c>
      <c r="G334" s="9" t="n">
        <v>4800</v>
      </c>
      <c r="H334" s="9" t="n">
        <v>0</v>
      </c>
      <c r="I334" s="9" t="n">
        <v>0</v>
      </c>
      <c r="J334" s="9" t="n">
        <v>0</v>
      </c>
      <c r="K334" s="9">
        <f>E334+F334+G334+H334+I334-J334</f>
        <v/>
      </c>
      <c r="L334" s="10">
        <f>Q333</f>
        <v/>
      </c>
      <c r="M334" s="10" t="n">
        <v>85</v>
      </c>
      <c r="N334" s="10" t="n">
        <v>11</v>
      </c>
      <c r="O334" s="10">
        <f>J334/160</f>
        <v/>
      </c>
      <c r="P334" s="10" t="n">
        <v>90</v>
      </c>
      <c r="Q334" s="10">
        <f>L334+M334+N334+O334-P334</f>
        <v/>
      </c>
      <c r="R334" s="11">
        <f>T333</f>
        <v/>
      </c>
      <c r="S334" s="11">
        <f>N(V334) + N(X334) + N(Z334)</f>
        <v/>
      </c>
      <c r="T334" s="11">
        <f>R334+P334-S334</f>
        <v/>
      </c>
      <c r="U334" s="11" t="inlineStr">
        <is>
          <t>是</t>
        </is>
      </c>
      <c r="V334" s="11" t="n">
        <v>49</v>
      </c>
      <c r="W334" s="11" t="inlineStr">
        <is>
          <t>是</t>
        </is>
      </c>
      <c r="X334" s="11" t="n">
        <v>46</v>
      </c>
      <c r="Y334" s="11" t="inlineStr">
        <is>
          <t>-</t>
        </is>
      </c>
      <c r="Z334" s="11" t="n">
        <v>0</v>
      </c>
      <c r="AA334" s="11" t="inlineStr">
        <is>
          <t>无</t>
        </is>
      </c>
      <c r="AB334" s="12">
        <f>AE333</f>
        <v/>
      </c>
      <c r="AC334" s="12" t="n">
        <v>4</v>
      </c>
      <c r="AD334" s="12" t="n">
        <v>0</v>
      </c>
      <c r="AE334" s="12">
        <f>AB334+AC334+AD334</f>
        <v/>
      </c>
      <c r="AF334" s="13">
        <f>AI333</f>
        <v/>
      </c>
      <c r="AG334" s="13" t="n">
        <v>0</v>
      </c>
      <c r="AH334" s="13" t="n">
        <v>0</v>
      </c>
      <c r="AI334" s="13">
        <f>AF334+AG334+AH334</f>
        <v/>
      </c>
      <c r="AJ334" s="14" t="n">
        <v>0</v>
      </c>
      <c r="AK334" s="14" t="n">
        <v>50</v>
      </c>
      <c r="AL334" s="14" t="n">
        <v>0</v>
      </c>
      <c r="AM334" s="14">
        <f>AJ334+AK334+AL334</f>
        <v/>
      </c>
      <c r="AN334" s="14">
        <f>AN333+AM334</f>
        <v/>
      </c>
    </row>
    <row r="335">
      <c r="A335" s="8" t="n">
        <v>13</v>
      </c>
      <c r="B335" s="8" t="n">
        <v>11</v>
      </c>
      <c r="C335" s="8" t="n">
        <v>2</v>
      </c>
      <c r="D335" s="8" t="inlineStr">
        <is>
          <t>月卡收益 [月卡续费-30元]</t>
        </is>
      </c>
      <c r="E335" s="9">
        <f>K334</f>
        <v/>
      </c>
      <c r="F335" s="9" t="n">
        <v>1540</v>
      </c>
      <c r="G335" s="9" t="n">
        <v>0</v>
      </c>
      <c r="H335" s="9" t="n">
        <v>0</v>
      </c>
      <c r="I335" s="9" t="n">
        <v>0</v>
      </c>
      <c r="J335" s="9" t="n">
        <v>12480</v>
      </c>
      <c r="K335" s="9">
        <f>E335+F335+G335+H335+I335-J335</f>
        <v/>
      </c>
      <c r="L335" s="10">
        <f>Q334</f>
        <v/>
      </c>
      <c r="M335" s="10" t="n">
        <v>0</v>
      </c>
      <c r="N335" s="10" t="n">
        <v>11</v>
      </c>
      <c r="O335" s="10">
        <f>J335/160</f>
        <v/>
      </c>
      <c r="P335" s="10" t="n">
        <v>100</v>
      </c>
      <c r="Q335" s="10">
        <f>L335+M335+N335+O335-P335</f>
        <v/>
      </c>
      <c r="R335" s="11">
        <f>T334</f>
        <v/>
      </c>
      <c r="S335" s="11">
        <f>N(V335) + N(X335) + N(Z335)</f>
        <v/>
      </c>
      <c r="T335" s="11">
        <f>R335+P335-S335</f>
        <v/>
      </c>
      <c r="U335" s="11" t="inlineStr">
        <is>
          <t>是</t>
        </is>
      </c>
      <c r="V335" s="11" t="n">
        <v>50</v>
      </c>
      <c r="W335" s="11" t="inlineStr">
        <is>
          <t>是</t>
        </is>
      </c>
      <c r="X335" s="11" t="n">
        <v>52</v>
      </c>
      <c r="Y335" s="11" t="inlineStr">
        <is>
          <t>-</t>
        </is>
      </c>
      <c r="Z335" s="11" t="n">
        <v>0</v>
      </c>
      <c r="AA335" s="11" t="inlineStr">
        <is>
          <t>无</t>
        </is>
      </c>
      <c r="AB335" s="12">
        <f>AE334</f>
        <v/>
      </c>
      <c r="AC335" s="12" t="n">
        <v>0</v>
      </c>
      <c r="AD335" s="12" t="n">
        <v>0</v>
      </c>
      <c r="AE335" s="12">
        <f>AB335+AC335+AD335</f>
        <v/>
      </c>
      <c r="AF335" s="13">
        <f>AI334</f>
        <v/>
      </c>
      <c r="AG335" s="13" t="n">
        <v>0</v>
      </c>
      <c r="AH335" s="13" t="n">
        <v>0</v>
      </c>
      <c r="AI335" s="13">
        <f>AF335+AG335+AH335</f>
        <v/>
      </c>
      <c r="AJ335" s="14" t="n">
        <v>30</v>
      </c>
      <c r="AK335" s="14" t="n">
        <v>0</v>
      </c>
      <c r="AL335" s="14" t="n">
        <v>0</v>
      </c>
      <c r="AM335" s="14">
        <f>AJ335+AK335+AL335</f>
        <v/>
      </c>
      <c r="AN335" s="14">
        <f>AN334+AM335</f>
        <v/>
      </c>
    </row>
    <row r="336">
      <c r="A336" s="8" t="n">
        <v>13</v>
      </c>
      <c r="B336" s="8" t="n">
        <v>12</v>
      </c>
      <c r="C336" s="8" t="n">
        <v>1</v>
      </c>
      <c r="D336" s="8" t="inlineStr">
        <is>
          <t>版本免费+义相逢 + 月卡收益</t>
        </is>
      </c>
      <c r="E336" s="9">
        <f>K335</f>
        <v/>
      </c>
      <c r="F336" s="9" t="n">
        <v>1540</v>
      </c>
      <c r="G336" s="9" t="n">
        <v>4800</v>
      </c>
      <c r="H336" s="9" t="n">
        <v>0</v>
      </c>
      <c r="I336" s="9" t="n">
        <v>0</v>
      </c>
      <c r="J336" s="9" t="n">
        <v>0</v>
      </c>
      <c r="K336" s="9">
        <f>E336+F336+G336+H336+I336-J336</f>
        <v/>
      </c>
      <c r="L336" s="10">
        <f>Q335</f>
        <v/>
      </c>
      <c r="M336" s="10" t="n">
        <v>85</v>
      </c>
      <c r="N336" s="10" t="n">
        <v>6</v>
      </c>
      <c r="O336" s="10">
        <f>J336/160</f>
        <v/>
      </c>
      <c r="P336" s="10" t="n">
        <v>60</v>
      </c>
      <c r="Q336" s="10">
        <f>L336+M336+N336+O336-P336</f>
        <v/>
      </c>
      <c r="R336" s="11">
        <f>T335</f>
        <v/>
      </c>
      <c r="S336" s="11">
        <f>N(V336) + N(X336) + N(Z336)</f>
        <v/>
      </c>
      <c r="T336" s="11">
        <f>R336+P336-S336</f>
        <v/>
      </c>
      <c r="U336" s="11" t="inlineStr">
        <is>
          <t>是</t>
        </is>
      </c>
      <c r="V336" s="11" t="n">
        <v>50</v>
      </c>
      <c r="W336" s="11" t="inlineStr">
        <is>
          <t>否</t>
        </is>
      </c>
      <c r="X336" s="11" t="inlineStr">
        <is>
          <t>-</t>
        </is>
      </c>
      <c r="Y336" s="11" t="inlineStr">
        <is>
          <t>-</t>
        </is>
      </c>
      <c r="Z336" s="11" t="n">
        <v>0</v>
      </c>
      <c r="AA336" s="11" t="inlineStr">
        <is>
          <t>垫到60抽</t>
        </is>
      </c>
      <c r="AB336" s="12">
        <f>AE335</f>
        <v/>
      </c>
      <c r="AC336" s="12" t="n">
        <v>4</v>
      </c>
      <c r="AD336" s="12" t="n">
        <v>0</v>
      </c>
      <c r="AE336" s="12">
        <f>AB336+AC336+AD336</f>
        <v/>
      </c>
      <c r="AF336" s="13">
        <f>AI335</f>
        <v/>
      </c>
      <c r="AG336" s="13" t="n">
        <v>0</v>
      </c>
      <c r="AH336" s="13" t="n">
        <v>0</v>
      </c>
      <c r="AI336" s="13">
        <f>AF336+AG336+AH336</f>
        <v/>
      </c>
      <c r="AJ336" s="14" t="n">
        <v>0</v>
      </c>
      <c r="AK336" s="14" t="n">
        <v>50</v>
      </c>
      <c r="AL336" s="14" t="n">
        <v>0</v>
      </c>
      <c r="AM336" s="14">
        <f>AJ336+AK336+AL336</f>
        <v/>
      </c>
      <c r="AN336" s="14">
        <f>AN335+AM336</f>
        <v/>
      </c>
    </row>
    <row r="337">
      <c r="A337" s="8" t="n">
        <v>13</v>
      </c>
      <c r="B337" s="8" t="n">
        <v>12</v>
      </c>
      <c r="C337" s="8" t="n">
        <v>2</v>
      </c>
      <c r="D337" s="8" t="inlineStr">
        <is>
          <t>月卡收益 [月卡续费-30元]</t>
        </is>
      </c>
      <c r="E337" s="9">
        <f>K336</f>
        <v/>
      </c>
      <c r="F337" s="9" t="n">
        <v>1540</v>
      </c>
      <c r="G337" s="9" t="n">
        <v>0</v>
      </c>
      <c r="H337" s="9" t="n">
        <v>0</v>
      </c>
      <c r="I337" s="9" t="n">
        <v>0</v>
      </c>
      <c r="J337" s="9" t="n">
        <v>8480</v>
      </c>
      <c r="K337" s="9">
        <f>E337+F337+G337+H337+I337-J337</f>
        <v/>
      </c>
      <c r="L337" s="10">
        <f>Q336</f>
        <v/>
      </c>
      <c r="M337" s="10" t="n">
        <v>0</v>
      </c>
      <c r="N337" s="10" t="n">
        <v>11</v>
      </c>
      <c r="O337" s="10">
        <f>J337/160</f>
        <v/>
      </c>
      <c r="P337" s="10" t="n">
        <v>90</v>
      </c>
      <c r="Q337" s="10">
        <f>L337+M337+N337+O337-P337</f>
        <v/>
      </c>
      <c r="R337" s="11">
        <f>T336</f>
        <v/>
      </c>
      <c r="S337" s="11">
        <f>N(V337) + N(X337) + N(Z337)</f>
        <v/>
      </c>
      <c r="T337" s="11">
        <f>R337+P337-S337</f>
        <v/>
      </c>
      <c r="U337" s="11" t="inlineStr">
        <is>
          <t>是</t>
        </is>
      </c>
      <c r="V337" s="11" t="n">
        <v>50</v>
      </c>
      <c r="W337" s="11" t="inlineStr">
        <is>
          <t>是</t>
        </is>
      </c>
      <c r="X337" s="11" t="n">
        <v>46</v>
      </c>
      <c r="Y337" s="11" t="inlineStr">
        <is>
          <t>-</t>
        </is>
      </c>
      <c r="Z337" s="11" t="n">
        <v>0</v>
      </c>
      <c r="AA337" s="11" t="inlineStr">
        <is>
          <t>无</t>
        </is>
      </c>
      <c r="AB337" s="12">
        <f>AE336</f>
        <v/>
      </c>
      <c r="AC337" s="12" t="n">
        <v>0</v>
      </c>
      <c r="AD337" s="12" t="n">
        <v>0</v>
      </c>
      <c r="AE337" s="12">
        <f>AB337+AC337+AD337</f>
        <v/>
      </c>
      <c r="AF337" s="13">
        <f>AI336</f>
        <v/>
      </c>
      <c r="AG337" s="13" t="n">
        <v>0</v>
      </c>
      <c r="AH337" s="13" t="n">
        <v>0</v>
      </c>
      <c r="AI337" s="13">
        <f>AF337+AG337+AH337</f>
        <v/>
      </c>
      <c r="AJ337" s="14" t="n">
        <v>30</v>
      </c>
      <c r="AK337" s="14" t="n">
        <v>0</v>
      </c>
      <c r="AL337" s="14" t="n">
        <v>0</v>
      </c>
      <c r="AM337" s="14">
        <f>AJ337+AK337+AL337</f>
        <v/>
      </c>
      <c r="AN337" s="14">
        <f>AN336+AM337</f>
        <v/>
      </c>
    </row>
    <row r="338">
      <c r="A338" s="8" t="n">
        <v>13</v>
      </c>
      <c r="B338" s="8" t="n">
        <v>13</v>
      </c>
      <c r="C338" s="8" t="n">
        <v>1</v>
      </c>
      <c r="D338" s="8" t="inlineStr">
        <is>
          <t>版本免费+义相逢 + 月卡收益</t>
        </is>
      </c>
      <c r="E338" s="9">
        <f>K337</f>
        <v/>
      </c>
      <c r="F338" s="9" t="n">
        <v>1540</v>
      </c>
      <c r="G338" s="9" t="n">
        <v>4800</v>
      </c>
      <c r="H338" s="9" t="n">
        <v>0</v>
      </c>
      <c r="I338" s="9" t="n">
        <v>0</v>
      </c>
      <c r="J338" s="9" t="n">
        <v>0</v>
      </c>
      <c r="K338" s="9">
        <f>E338+F338+G338+H338+I338-J338</f>
        <v/>
      </c>
      <c r="L338" s="10">
        <f>Q337</f>
        <v/>
      </c>
      <c r="M338" s="10" t="n">
        <v>85</v>
      </c>
      <c r="N338" s="10" t="n">
        <v>6</v>
      </c>
      <c r="O338" s="10">
        <f>J338/160</f>
        <v/>
      </c>
      <c r="P338" s="10" t="n">
        <v>60</v>
      </c>
      <c r="Q338" s="10">
        <f>L338+M338+N338+O338-P338</f>
        <v/>
      </c>
      <c r="R338" s="11">
        <f>T337</f>
        <v/>
      </c>
      <c r="S338" s="11">
        <f>N(V338) + N(X338) + N(Z338)</f>
        <v/>
      </c>
      <c r="T338" s="11">
        <f>R338+P338-S338</f>
        <v/>
      </c>
      <c r="U338" s="11" t="inlineStr">
        <is>
          <t>是</t>
        </is>
      </c>
      <c r="V338" s="11" t="n">
        <v>48</v>
      </c>
      <c r="W338" s="11" t="inlineStr">
        <is>
          <t>否</t>
        </is>
      </c>
      <c r="X338" s="11" t="inlineStr">
        <is>
          <t>-</t>
        </is>
      </c>
      <c r="Y338" s="11" t="inlineStr">
        <is>
          <t>-</t>
        </is>
      </c>
      <c r="Z338" s="11" t="n">
        <v>0</v>
      </c>
      <c r="AA338" s="11" t="inlineStr">
        <is>
          <t>垫到60抽</t>
        </is>
      </c>
      <c r="AB338" s="12">
        <f>AE337</f>
        <v/>
      </c>
      <c r="AC338" s="12" t="n">
        <v>4</v>
      </c>
      <c r="AD338" s="12" t="n">
        <v>0</v>
      </c>
      <c r="AE338" s="12">
        <f>AB338+AC338+AD338</f>
        <v/>
      </c>
      <c r="AF338" s="13">
        <f>AI337</f>
        <v/>
      </c>
      <c r="AG338" s="13" t="n">
        <v>0</v>
      </c>
      <c r="AH338" s="13" t="n">
        <v>0</v>
      </c>
      <c r="AI338" s="13">
        <f>AF338+AG338+AH338</f>
        <v/>
      </c>
      <c r="AJ338" s="14" t="n">
        <v>0</v>
      </c>
      <c r="AK338" s="14" t="n">
        <v>50</v>
      </c>
      <c r="AL338" s="14" t="n">
        <v>0</v>
      </c>
      <c r="AM338" s="14">
        <f>AJ338+AK338+AL338</f>
        <v/>
      </c>
      <c r="AN338" s="14">
        <f>AN337+AM338</f>
        <v/>
      </c>
    </row>
    <row r="339">
      <c r="A339" s="8" t="n">
        <v>13</v>
      </c>
      <c r="B339" s="8" t="n">
        <v>13</v>
      </c>
      <c r="C339" s="8" t="n">
        <v>2</v>
      </c>
      <c r="D339" s="8" t="inlineStr">
        <is>
          <t>月卡收益 [月卡续费-30元]</t>
        </is>
      </c>
      <c r="E339" s="9">
        <f>K338</f>
        <v/>
      </c>
      <c r="F339" s="9" t="n">
        <v>1540</v>
      </c>
      <c r="G339" s="9" t="n">
        <v>0</v>
      </c>
      <c r="H339" s="9" t="n">
        <v>0</v>
      </c>
      <c r="I339" s="9" t="n">
        <v>0</v>
      </c>
      <c r="J339" s="9" t="n">
        <v>7680</v>
      </c>
      <c r="K339" s="9">
        <f>E339+F339+G339+H339+I339-J339</f>
        <v/>
      </c>
      <c r="L339" s="10">
        <f>Q338</f>
        <v/>
      </c>
      <c r="M339" s="10" t="n">
        <v>0</v>
      </c>
      <c r="N339" s="10" t="n">
        <v>11</v>
      </c>
      <c r="O339" s="10">
        <f>J339/160</f>
        <v/>
      </c>
      <c r="P339" s="10" t="n">
        <v>90</v>
      </c>
      <c r="Q339" s="10">
        <f>L339+M339+N339+O339-P339</f>
        <v/>
      </c>
      <c r="R339" s="11">
        <f>T338</f>
        <v/>
      </c>
      <c r="S339" s="11">
        <f>N(V339) + N(X339) + N(Z339)</f>
        <v/>
      </c>
      <c r="T339" s="11">
        <f>R339+P339-S339</f>
        <v/>
      </c>
      <c r="U339" s="11" t="inlineStr">
        <is>
          <t>是</t>
        </is>
      </c>
      <c r="V339" s="11" t="n">
        <v>48</v>
      </c>
      <c r="W339" s="11" t="inlineStr">
        <is>
          <t>是</t>
        </is>
      </c>
      <c r="X339" s="11" t="n">
        <v>47</v>
      </c>
      <c r="Y339" s="11" t="inlineStr">
        <is>
          <t>-</t>
        </is>
      </c>
      <c r="Z339" s="11" t="n">
        <v>0</v>
      </c>
      <c r="AA339" s="11" t="inlineStr">
        <is>
          <t>垫到90抽</t>
        </is>
      </c>
      <c r="AB339" s="12">
        <f>AE338</f>
        <v/>
      </c>
      <c r="AC339" s="12" t="n">
        <v>0</v>
      </c>
      <c r="AD339" s="12" t="n">
        <v>0</v>
      </c>
      <c r="AE339" s="12">
        <f>AB339+AC339+AD339</f>
        <v/>
      </c>
      <c r="AF339" s="13">
        <f>AI338</f>
        <v/>
      </c>
      <c r="AG339" s="13" t="n">
        <v>0</v>
      </c>
      <c r="AH339" s="13" t="n">
        <v>0</v>
      </c>
      <c r="AI339" s="13">
        <f>AF339+AG339+AH339</f>
        <v/>
      </c>
      <c r="AJ339" s="14" t="n">
        <v>30</v>
      </c>
      <c r="AK339" s="14" t="n">
        <v>0</v>
      </c>
      <c r="AL339" s="14" t="n">
        <v>0</v>
      </c>
      <c r="AM339" s="14">
        <f>AJ339+AK339+AL339</f>
        <v/>
      </c>
      <c r="AN339" s="14">
        <f>AN338+AM339</f>
        <v/>
      </c>
    </row>
    <row r="340">
      <c r="A340" s="8" t="n">
        <v>14</v>
      </c>
      <c r="B340" s="8" t="n">
        <v>1</v>
      </c>
      <c r="C340" s="8" t="n">
        <v>1</v>
      </c>
      <c r="D340" s="8" t="inlineStr">
        <is>
          <t>版本免费+义相逢 + 月卡收益</t>
        </is>
      </c>
      <c r="E340" s="9" t="n">
        <v>11080</v>
      </c>
      <c r="F340" s="9" t="n">
        <v>1540</v>
      </c>
      <c r="G340" s="9" t="n">
        <v>4800</v>
      </c>
      <c r="H340" s="9" t="n">
        <v>0</v>
      </c>
      <c r="I340" s="9" t="n">
        <v>0</v>
      </c>
      <c r="J340" s="9" t="n">
        <v>0</v>
      </c>
      <c r="K340" s="9">
        <f>E340+F340+G340+H340+I340-J340</f>
        <v/>
      </c>
      <c r="L340" s="10" t="n">
        <v>5</v>
      </c>
      <c r="M340" s="10" t="n">
        <v>85</v>
      </c>
      <c r="N340" s="10" t="n">
        <v>3</v>
      </c>
      <c r="O340" s="10">
        <f>J340/160</f>
        <v/>
      </c>
      <c r="P340" s="10" t="n">
        <v>40</v>
      </c>
      <c r="Q340" s="10">
        <f>L340+M340+N340+O340-P340</f>
        <v/>
      </c>
      <c r="R340" s="11" t="n">
        <v>11</v>
      </c>
      <c r="S340" s="11">
        <f>N(V340) + N(X340) + N(Z340)</f>
        <v/>
      </c>
      <c r="T340" s="11">
        <f>R340+P340-S340</f>
        <v/>
      </c>
      <c r="U340" s="11" t="inlineStr">
        <is>
          <t>是</t>
        </is>
      </c>
      <c r="V340" s="11" t="n">
        <v>50</v>
      </c>
      <c r="W340" s="11" t="inlineStr">
        <is>
          <t>否</t>
        </is>
      </c>
      <c r="X340" s="11" t="inlineStr">
        <is>
          <t>-</t>
        </is>
      </c>
      <c r="Y340" s="11" t="inlineStr">
        <is>
          <t>-</t>
        </is>
      </c>
      <c r="Z340" s="11" t="n">
        <v>0</v>
      </c>
      <c r="AA340" s="11" t="inlineStr">
        <is>
          <t>无</t>
        </is>
      </c>
      <c r="AB340" s="12" t="n">
        <v>696</v>
      </c>
      <c r="AC340" s="12" t="n">
        <v>4</v>
      </c>
      <c r="AD340" s="12" t="n">
        <v>0</v>
      </c>
      <c r="AE340" s="12">
        <f>AB340+AC340+AD340</f>
        <v/>
      </c>
      <c r="AF340" s="13" t="n">
        <v>100000</v>
      </c>
      <c r="AG340" s="13" t="n">
        <v>0</v>
      </c>
      <c r="AH340" s="13" t="n">
        <v>0</v>
      </c>
      <c r="AI340" s="13">
        <f>AF340+AG340+AH340</f>
        <v/>
      </c>
      <c r="AJ340" s="14" t="n">
        <v>0</v>
      </c>
      <c r="AK340" s="14" t="n">
        <v>50</v>
      </c>
      <c r="AL340" s="14" t="n">
        <v>0</v>
      </c>
      <c r="AM340" s="14">
        <f>AJ340+AK340+AL340</f>
        <v/>
      </c>
      <c r="AN340" s="14">
        <f>AM340</f>
        <v/>
      </c>
    </row>
    <row r="341">
      <c r="A341" s="8" t="n">
        <v>14</v>
      </c>
      <c r="B341" s="8" t="n">
        <v>1</v>
      </c>
      <c r="C341" s="8" t="n">
        <v>2</v>
      </c>
      <c r="D341" s="8" t="inlineStr">
        <is>
          <t>月卡收益 [月卡续费-30元]</t>
        </is>
      </c>
      <c r="E341" s="9">
        <f>K340</f>
        <v/>
      </c>
      <c r="F341" s="9" t="n">
        <v>1540</v>
      </c>
      <c r="G341" s="9" t="n">
        <v>0</v>
      </c>
      <c r="H341" s="9" t="n">
        <v>0</v>
      </c>
      <c r="I341" s="9" t="n">
        <v>0</v>
      </c>
      <c r="J341" s="9" t="n">
        <v>640</v>
      </c>
      <c r="K341" s="9">
        <f>E341+F341+G341+H341+I341-J341</f>
        <v/>
      </c>
      <c r="L341" s="10">
        <f>Q340</f>
        <v/>
      </c>
      <c r="M341" s="10" t="n">
        <v>0</v>
      </c>
      <c r="N341" s="10" t="n">
        <v>6</v>
      </c>
      <c r="O341" s="10">
        <f>J341/160</f>
        <v/>
      </c>
      <c r="P341" s="10" t="n">
        <v>60</v>
      </c>
      <c r="Q341" s="10">
        <f>L341+M341+N341+O341-P341</f>
        <v/>
      </c>
      <c r="R341" s="11">
        <f>T340</f>
        <v/>
      </c>
      <c r="S341" s="11">
        <f>N(V341) + N(X341) + N(Z341)</f>
        <v/>
      </c>
      <c r="T341" s="11">
        <f>R341+P341-S341</f>
        <v/>
      </c>
      <c r="U341" s="11" t="inlineStr">
        <is>
          <t>是</t>
        </is>
      </c>
      <c r="V341" s="11" t="n">
        <v>53</v>
      </c>
      <c r="W341" s="11" t="inlineStr">
        <is>
          <t>否</t>
        </is>
      </c>
      <c r="X341" s="11" t="inlineStr">
        <is>
          <t>-</t>
        </is>
      </c>
      <c r="Y341" s="11" t="inlineStr">
        <is>
          <t>-</t>
        </is>
      </c>
      <c r="Z341" s="11" t="n">
        <v>0</v>
      </c>
      <c r="AA341" s="11" t="inlineStr">
        <is>
          <t>无</t>
        </is>
      </c>
      <c r="AB341" s="12">
        <f>AE340</f>
        <v/>
      </c>
      <c r="AC341" s="12" t="n">
        <v>0</v>
      </c>
      <c r="AD341" s="12" t="n">
        <v>0</v>
      </c>
      <c r="AE341" s="12">
        <f>AB341+AC341+AD341</f>
        <v/>
      </c>
      <c r="AF341" s="13">
        <f>AI340</f>
        <v/>
      </c>
      <c r="AG341" s="13" t="n">
        <v>0</v>
      </c>
      <c r="AH341" s="13" t="n">
        <v>0</v>
      </c>
      <c r="AI341" s="13">
        <f>AF341+AG341+AH341</f>
        <v/>
      </c>
      <c r="AJ341" s="14" t="n">
        <v>30</v>
      </c>
      <c r="AK341" s="14" t="n">
        <v>0</v>
      </c>
      <c r="AL341" s="14" t="n">
        <v>0</v>
      </c>
      <c r="AM341" s="14">
        <f>AJ341+AK341+AL341</f>
        <v/>
      </c>
      <c r="AN341" s="14">
        <f>AN340+AM341</f>
        <v/>
      </c>
    </row>
    <row r="342">
      <c r="A342" s="8" t="n">
        <v>14</v>
      </c>
      <c r="B342" s="8" t="n">
        <v>2</v>
      </c>
      <c r="C342" s="8" t="n">
        <v>1</v>
      </c>
      <c r="D342" s="8" t="inlineStr">
        <is>
          <t>版本免费+义相逢 + 月卡收益</t>
        </is>
      </c>
      <c r="E342" s="9">
        <f>K341</f>
        <v/>
      </c>
      <c r="F342" s="9" t="n">
        <v>1540</v>
      </c>
      <c r="G342" s="9" t="n">
        <v>4800</v>
      </c>
      <c r="H342" s="9" t="n">
        <v>0</v>
      </c>
      <c r="I342" s="9" t="n">
        <v>0</v>
      </c>
      <c r="J342" s="9" t="n">
        <v>0</v>
      </c>
      <c r="K342" s="9">
        <f>E342+F342+G342+H342+I342-J342</f>
        <v/>
      </c>
      <c r="L342" s="10">
        <f>Q341</f>
        <v/>
      </c>
      <c r="M342" s="10" t="n">
        <v>85</v>
      </c>
      <c r="N342" s="10" t="n">
        <v>6</v>
      </c>
      <c r="O342" s="10">
        <f>J342/160</f>
        <v/>
      </c>
      <c r="P342" s="10" t="n">
        <v>70</v>
      </c>
      <c r="Q342" s="10">
        <f>L342+M342+N342+O342-P342</f>
        <v/>
      </c>
      <c r="R342" s="11">
        <f>T341</f>
        <v/>
      </c>
      <c r="S342" s="11">
        <f>N(V342) + N(X342) + N(Z342)</f>
        <v/>
      </c>
      <c r="T342" s="11">
        <f>R342+P342-S342</f>
        <v/>
      </c>
      <c r="U342" s="11" t="inlineStr">
        <is>
          <t>是</t>
        </is>
      </c>
      <c r="V342" s="11" t="n">
        <v>24</v>
      </c>
      <c r="W342" s="11" t="inlineStr">
        <is>
          <t>是</t>
        </is>
      </c>
      <c r="X342" s="11" t="n">
        <v>49</v>
      </c>
      <c r="Y342" s="11" t="inlineStr">
        <is>
          <t>-</t>
        </is>
      </c>
      <c r="Z342" s="11" t="n">
        <v>0</v>
      </c>
      <c r="AA342" s="11" t="inlineStr">
        <is>
          <t>无</t>
        </is>
      </c>
      <c r="AB342" s="12">
        <f>AE341</f>
        <v/>
      </c>
      <c r="AC342" s="12" t="n">
        <v>4</v>
      </c>
      <c r="AD342" s="12" t="n">
        <v>0</v>
      </c>
      <c r="AE342" s="12">
        <f>AB342+AC342+AD342</f>
        <v/>
      </c>
      <c r="AF342" s="13">
        <f>AI341</f>
        <v/>
      </c>
      <c r="AG342" s="13" t="n">
        <v>0</v>
      </c>
      <c r="AH342" s="13" t="n">
        <v>0</v>
      </c>
      <c r="AI342" s="13">
        <f>AF342+AG342+AH342</f>
        <v/>
      </c>
      <c r="AJ342" s="14" t="n">
        <v>0</v>
      </c>
      <c r="AK342" s="14" t="n">
        <v>50</v>
      </c>
      <c r="AL342" s="14" t="n">
        <v>0</v>
      </c>
      <c r="AM342" s="14">
        <f>AJ342+AK342+AL342</f>
        <v/>
      </c>
      <c r="AN342" s="14">
        <f>AN341+AM342</f>
        <v/>
      </c>
    </row>
    <row r="343">
      <c r="A343" s="8" t="n">
        <v>14</v>
      </c>
      <c r="B343" s="8" t="n">
        <v>2</v>
      </c>
      <c r="C343" s="8" t="n">
        <v>2</v>
      </c>
      <c r="D343" s="8" t="inlineStr">
        <is>
          <t>月卡收益 [月卡续费-30元]</t>
        </is>
      </c>
      <c r="E343" s="9">
        <f>K342</f>
        <v/>
      </c>
      <c r="F343" s="9" t="n">
        <v>1540</v>
      </c>
      <c r="G343" s="9" t="n">
        <v>0</v>
      </c>
      <c r="H343" s="9" t="n">
        <v>0</v>
      </c>
      <c r="I343" s="9" t="n">
        <v>0</v>
      </c>
      <c r="J343" s="9" t="n">
        <v>9600</v>
      </c>
      <c r="K343" s="9">
        <f>E343+F343+G343+H343+I343-J343</f>
        <v/>
      </c>
      <c r="L343" s="10">
        <f>Q342</f>
        <v/>
      </c>
      <c r="M343" s="10" t="n">
        <v>0</v>
      </c>
      <c r="N343" s="10" t="n">
        <v>11</v>
      </c>
      <c r="O343" s="10">
        <f>J343/160</f>
        <v/>
      </c>
      <c r="P343" s="10" t="n">
        <v>90</v>
      </c>
      <c r="Q343" s="10">
        <f>L343+M343+N343+O343-P343</f>
        <v/>
      </c>
      <c r="R343" s="11">
        <f>T342</f>
        <v/>
      </c>
      <c r="S343" s="11">
        <f>N(V343) + N(X343) + N(Z343)</f>
        <v/>
      </c>
      <c r="T343" s="11">
        <f>R343+P343-S343</f>
        <v/>
      </c>
      <c r="U343" s="11" t="inlineStr">
        <is>
          <t>是</t>
        </is>
      </c>
      <c r="V343" s="11" t="n">
        <v>42</v>
      </c>
      <c r="W343" s="11" t="inlineStr">
        <is>
          <t>是</t>
        </is>
      </c>
      <c r="X343" s="11" t="n">
        <v>47</v>
      </c>
      <c r="Y343" s="11" t="inlineStr">
        <is>
          <t>-</t>
        </is>
      </c>
      <c r="Z343" s="11" t="n">
        <v>0</v>
      </c>
      <c r="AA343" s="11" t="inlineStr">
        <is>
          <t>无</t>
        </is>
      </c>
      <c r="AB343" s="12">
        <f>AE342</f>
        <v/>
      </c>
      <c r="AC343" s="12" t="n">
        <v>0</v>
      </c>
      <c r="AD343" s="12" t="n">
        <v>0</v>
      </c>
      <c r="AE343" s="12">
        <f>AB343+AC343+AD343</f>
        <v/>
      </c>
      <c r="AF343" s="13">
        <f>AI342</f>
        <v/>
      </c>
      <c r="AG343" s="13" t="n">
        <v>0</v>
      </c>
      <c r="AH343" s="13" t="n">
        <v>0</v>
      </c>
      <c r="AI343" s="13">
        <f>AF343+AG343+AH343</f>
        <v/>
      </c>
      <c r="AJ343" s="14" t="n">
        <v>30</v>
      </c>
      <c r="AK343" s="14" t="n">
        <v>0</v>
      </c>
      <c r="AL343" s="14" t="n">
        <v>0</v>
      </c>
      <c r="AM343" s="14">
        <f>AJ343+AK343+AL343</f>
        <v/>
      </c>
      <c r="AN343" s="14">
        <f>AN342+AM343</f>
        <v/>
      </c>
    </row>
    <row r="344">
      <c r="A344" s="8" t="n">
        <v>14</v>
      </c>
      <c r="B344" s="8" t="n">
        <v>3</v>
      </c>
      <c r="C344" s="8" t="n">
        <v>1</v>
      </c>
      <c r="D344" s="8" t="inlineStr">
        <is>
          <t>版本免费+义相逢 + 月卡收益</t>
        </is>
      </c>
      <c r="E344" s="9">
        <f>K343</f>
        <v/>
      </c>
      <c r="F344" s="9" t="n">
        <v>1540</v>
      </c>
      <c r="G344" s="9" t="n">
        <v>4800</v>
      </c>
      <c r="H344" s="9" t="n">
        <v>0</v>
      </c>
      <c r="I344" s="9" t="n">
        <v>0</v>
      </c>
      <c r="J344" s="9" t="n">
        <v>0</v>
      </c>
      <c r="K344" s="9">
        <f>E344+F344+G344+H344+I344-J344</f>
        <v/>
      </c>
      <c r="L344" s="10">
        <f>Q343</f>
        <v/>
      </c>
      <c r="M344" s="10" t="n">
        <v>85</v>
      </c>
      <c r="N344" s="10" t="n">
        <v>6</v>
      </c>
      <c r="O344" s="10">
        <f>J344/160</f>
        <v/>
      </c>
      <c r="P344" s="10" t="n">
        <v>60</v>
      </c>
      <c r="Q344" s="10">
        <f>L344+M344+N344+O344-P344</f>
        <v/>
      </c>
      <c r="R344" s="11">
        <f>T343</f>
        <v/>
      </c>
      <c r="S344" s="11">
        <f>N(V344) + N(X344) + N(Z344)</f>
        <v/>
      </c>
      <c r="T344" s="11">
        <f>R344+P344-S344</f>
        <v/>
      </c>
      <c r="U344" s="11" t="inlineStr">
        <is>
          <t>是</t>
        </is>
      </c>
      <c r="V344" s="11" t="n">
        <v>49</v>
      </c>
      <c r="W344" s="11" t="inlineStr">
        <is>
          <t>否</t>
        </is>
      </c>
      <c r="X344" s="11" t="inlineStr">
        <is>
          <t>-</t>
        </is>
      </c>
      <c r="Y344" s="11" t="inlineStr">
        <is>
          <t>-</t>
        </is>
      </c>
      <c r="Z344" s="11" t="n">
        <v>0</v>
      </c>
      <c r="AA344" s="11" t="inlineStr">
        <is>
          <t>垫到60抽</t>
        </is>
      </c>
      <c r="AB344" s="12">
        <f>AE343</f>
        <v/>
      </c>
      <c r="AC344" s="12" t="n">
        <v>4</v>
      </c>
      <c r="AD344" s="12" t="n">
        <v>0</v>
      </c>
      <c r="AE344" s="12">
        <f>AB344+AC344+AD344</f>
        <v/>
      </c>
      <c r="AF344" s="13">
        <f>AI343</f>
        <v/>
      </c>
      <c r="AG344" s="13" t="n">
        <v>0</v>
      </c>
      <c r="AH344" s="13" t="n">
        <v>0</v>
      </c>
      <c r="AI344" s="13">
        <f>AF344+AG344+AH344</f>
        <v/>
      </c>
      <c r="AJ344" s="14" t="n">
        <v>0</v>
      </c>
      <c r="AK344" s="14" t="n">
        <v>50</v>
      </c>
      <c r="AL344" s="14" t="n">
        <v>0</v>
      </c>
      <c r="AM344" s="14">
        <f>AJ344+AK344+AL344</f>
        <v/>
      </c>
      <c r="AN344" s="14">
        <f>AN343+AM344</f>
        <v/>
      </c>
    </row>
    <row r="345">
      <c r="A345" s="8" t="n">
        <v>14</v>
      </c>
      <c r="B345" s="8" t="n">
        <v>3</v>
      </c>
      <c r="C345" s="8" t="n">
        <v>2</v>
      </c>
      <c r="D345" s="8" t="inlineStr">
        <is>
          <t>月卡收益 [月卡续费-30元]</t>
        </is>
      </c>
      <c r="E345" s="9">
        <f>K344</f>
        <v/>
      </c>
      <c r="F345" s="9" t="n">
        <v>1540</v>
      </c>
      <c r="G345" s="9" t="n">
        <v>0</v>
      </c>
      <c r="H345" s="9" t="n">
        <v>0</v>
      </c>
      <c r="I345" s="9" t="n">
        <v>0</v>
      </c>
      <c r="J345" s="9" t="n">
        <v>0</v>
      </c>
      <c r="K345" s="9">
        <f>E345+F345+G345+H345+I345-J345</f>
        <v/>
      </c>
      <c r="L345" s="10">
        <f>Q344</f>
        <v/>
      </c>
      <c r="M345" s="10" t="n">
        <v>0</v>
      </c>
      <c r="N345" s="10" t="n">
        <v>3</v>
      </c>
      <c r="O345" s="10">
        <f>J345/160</f>
        <v/>
      </c>
      <c r="P345" s="10" t="n">
        <v>30</v>
      </c>
      <c r="Q345" s="10">
        <f>L345+M345+N345+O345-P345</f>
        <v/>
      </c>
      <c r="R345" s="11">
        <f>T344</f>
        <v/>
      </c>
      <c r="S345" s="11">
        <f>N(V345) + N(X345) + N(Z345)</f>
        <v/>
      </c>
      <c r="T345" s="11">
        <f>R345+P345-S345</f>
        <v/>
      </c>
      <c r="U345" s="11" t="inlineStr">
        <is>
          <t>是</t>
        </is>
      </c>
      <c r="V345" s="11" t="n">
        <v>47</v>
      </c>
      <c r="W345" s="11" t="inlineStr">
        <is>
          <t>否</t>
        </is>
      </c>
      <c r="X345" s="11" t="inlineStr">
        <is>
          <t>-</t>
        </is>
      </c>
      <c r="Y345" s="11" t="inlineStr">
        <is>
          <t>-</t>
        </is>
      </c>
      <c r="Z345" s="11" t="n">
        <v>0</v>
      </c>
      <c r="AA345" s="11" t="inlineStr">
        <is>
          <t>无</t>
        </is>
      </c>
      <c r="AB345" s="12">
        <f>AE344</f>
        <v/>
      </c>
      <c r="AC345" s="12" t="n">
        <v>0</v>
      </c>
      <c r="AD345" s="12" t="n">
        <v>0</v>
      </c>
      <c r="AE345" s="12">
        <f>AB345+AC345+AD345</f>
        <v/>
      </c>
      <c r="AF345" s="13">
        <f>AI344</f>
        <v/>
      </c>
      <c r="AG345" s="13" t="n">
        <v>0</v>
      </c>
      <c r="AH345" s="13" t="n">
        <v>0</v>
      </c>
      <c r="AI345" s="13">
        <f>AF345+AG345+AH345</f>
        <v/>
      </c>
      <c r="AJ345" s="14" t="n">
        <v>30</v>
      </c>
      <c r="AK345" s="14" t="n">
        <v>0</v>
      </c>
      <c r="AL345" s="14" t="n">
        <v>0</v>
      </c>
      <c r="AM345" s="14">
        <f>AJ345+AK345+AL345</f>
        <v/>
      </c>
      <c r="AN345" s="14">
        <f>AN344+AM345</f>
        <v/>
      </c>
    </row>
    <row r="346">
      <c r="A346" s="8" t="n">
        <v>14</v>
      </c>
      <c r="B346" s="8" t="n">
        <v>4</v>
      </c>
      <c r="C346" s="8" t="n">
        <v>1</v>
      </c>
      <c r="D346" s="8" t="inlineStr">
        <is>
          <t>版本免费+义相逢 + 月卡收益</t>
        </is>
      </c>
      <c r="E346" s="9">
        <f>K345</f>
        <v/>
      </c>
      <c r="F346" s="9" t="n">
        <v>1540</v>
      </c>
      <c r="G346" s="9" t="n">
        <v>4800</v>
      </c>
      <c r="H346" s="9" t="n">
        <v>0</v>
      </c>
      <c r="I346" s="9" t="n">
        <v>0</v>
      </c>
      <c r="J346" s="9" t="n">
        <v>0</v>
      </c>
      <c r="K346" s="9">
        <f>E346+F346+G346+H346+I346-J346</f>
        <v/>
      </c>
      <c r="L346" s="10">
        <f>Q345</f>
        <v/>
      </c>
      <c r="M346" s="10" t="n">
        <v>85</v>
      </c>
      <c r="N346" s="10" t="n">
        <v>6</v>
      </c>
      <c r="O346" s="10">
        <f>J346/160</f>
        <v/>
      </c>
      <c r="P346" s="10" t="n">
        <v>60</v>
      </c>
      <c r="Q346" s="10">
        <f>L346+M346+N346+O346-P346</f>
        <v/>
      </c>
      <c r="R346" s="11">
        <f>T345</f>
        <v/>
      </c>
      <c r="S346" s="11">
        <f>N(V346) + N(X346) + N(Z346)</f>
        <v/>
      </c>
      <c r="T346" s="11">
        <f>R346+P346-S346</f>
        <v/>
      </c>
      <c r="U346" s="11" t="inlineStr">
        <is>
          <t>是</t>
        </is>
      </c>
      <c r="V346" s="11" t="n">
        <v>52</v>
      </c>
      <c r="W346" s="11" t="inlineStr">
        <is>
          <t>否</t>
        </is>
      </c>
      <c r="X346" s="11" t="inlineStr">
        <is>
          <t>-</t>
        </is>
      </c>
      <c r="Y346" s="11" t="inlineStr">
        <is>
          <t>-</t>
        </is>
      </c>
      <c r="Z346" s="11" t="n">
        <v>0</v>
      </c>
      <c r="AA346" s="11" t="inlineStr">
        <is>
          <t>无</t>
        </is>
      </c>
      <c r="AB346" s="12">
        <f>AE345</f>
        <v/>
      </c>
      <c r="AC346" s="12" t="n">
        <v>4</v>
      </c>
      <c r="AD346" s="12" t="n">
        <v>0</v>
      </c>
      <c r="AE346" s="12">
        <f>AB346+AC346+AD346</f>
        <v/>
      </c>
      <c r="AF346" s="13">
        <f>AI345</f>
        <v/>
      </c>
      <c r="AG346" s="13" t="n">
        <v>0</v>
      </c>
      <c r="AH346" s="13" t="n">
        <v>0</v>
      </c>
      <c r="AI346" s="13">
        <f>AF346+AG346+AH346</f>
        <v/>
      </c>
      <c r="AJ346" s="14" t="n">
        <v>0</v>
      </c>
      <c r="AK346" s="14" t="n">
        <v>50</v>
      </c>
      <c r="AL346" s="14" t="n">
        <v>0</v>
      </c>
      <c r="AM346" s="14">
        <f>AJ346+AK346+AL346</f>
        <v/>
      </c>
      <c r="AN346" s="14">
        <f>AN345+AM346</f>
        <v/>
      </c>
    </row>
    <row r="347">
      <c r="A347" s="8" t="n">
        <v>14</v>
      </c>
      <c r="B347" s="8" t="n">
        <v>4</v>
      </c>
      <c r="C347" s="8" t="n">
        <v>2</v>
      </c>
      <c r="D347" s="8" t="inlineStr">
        <is>
          <t>月卡收益</t>
        </is>
      </c>
      <c r="E347" s="9">
        <f>K346</f>
        <v/>
      </c>
      <c r="F347" s="9" t="n">
        <v>1540</v>
      </c>
      <c r="G347" s="9" t="n">
        <v>0</v>
      </c>
      <c r="H347" s="9" t="n">
        <v>0</v>
      </c>
      <c r="I347" s="9" t="n">
        <v>0</v>
      </c>
      <c r="J347" s="9" t="n">
        <v>7040</v>
      </c>
      <c r="K347" s="9">
        <f>E347+F347+G347+H347+I347-J347</f>
        <v/>
      </c>
      <c r="L347" s="10">
        <f>Q346</f>
        <v/>
      </c>
      <c r="M347" s="10" t="n">
        <v>0</v>
      </c>
      <c r="N347" s="10" t="n">
        <v>11</v>
      </c>
      <c r="O347" s="10">
        <f>J347/160</f>
        <v/>
      </c>
      <c r="P347" s="10" t="n">
        <v>90</v>
      </c>
      <c r="Q347" s="10">
        <f>L347+M347+N347+O347-P347</f>
        <v/>
      </c>
      <c r="R347" s="11">
        <f>T346</f>
        <v/>
      </c>
      <c r="S347" s="11">
        <f>N(V347) + N(X347) + N(Z347)</f>
        <v/>
      </c>
      <c r="T347" s="11">
        <f>R347+P347-S347</f>
        <v/>
      </c>
      <c r="U347" s="11" t="inlineStr">
        <is>
          <t>是</t>
        </is>
      </c>
      <c r="V347" s="11" t="n">
        <v>49</v>
      </c>
      <c r="W347" s="11" t="inlineStr">
        <is>
          <t>是</t>
        </is>
      </c>
      <c r="X347" s="11" t="n">
        <v>49</v>
      </c>
      <c r="Y347" s="11" t="inlineStr">
        <is>
          <t>-</t>
        </is>
      </c>
      <c r="Z347" s="11" t="n">
        <v>0</v>
      </c>
      <c r="AA347" s="11" t="inlineStr">
        <is>
          <t>无</t>
        </is>
      </c>
      <c r="AB347" s="12">
        <f>AE346</f>
        <v/>
      </c>
      <c r="AC347" s="12" t="n">
        <v>0</v>
      </c>
      <c r="AD347" s="12" t="n">
        <v>0</v>
      </c>
      <c r="AE347" s="12">
        <f>AB347+AC347+AD347</f>
        <v/>
      </c>
      <c r="AF347" s="13">
        <f>AI346</f>
        <v/>
      </c>
      <c r="AG347" s="13" t="n">
        <v>0</v>
      </c>
      <c r="AH347" s="13" t="n">
        <v>0</v>
      </c>
      <c r="AI347" s="13">
        <f>AF347+AG347+AH347</f>
        <v/>
      </c>
      <c r="AJ347" s="14" t="n">
        <v>0</v>
      </c>
      <c r="AK347" s="14" t="n">
        <v>0</v>
      </c>
      <c r="AL347" s="14" t="n">
        <v>0</v>
      </c>
      <c r="AM347" s="14">
        <f>AJ347+AK347+AL347</f>
        <v/>
      </c>
      <c r="AN347" s="14">
        <f>AN346+AM347</f>
        <v/>
      </c>
    </row>
    <row r="348">
      <c r="A348" s="8" t="n">
        <v>14</v>
      </c>
      <c r="B348" s="8" t="n">
        <v>5</v>
      </c>
      <c r="C348" s="8" t="n">
        <v>1</v>
      </c>
      <c r="D348" s="8" t="inlineStr">
        <is>
          <t>版本免费+义相逢 + 月卡收益 [月卡续费-30元]</t>
        </is>
      </c>
      <c r="E348" s="9">
        <f>K347</f>
        <v/>
      </c>
      <c r="F348" s="9" t="n">
        <v>1540</v>
      </c>
      <c r="G348" s="9" t="n">
        <v>4800</v>
      </c>
      <c r="H348" s="9" t="n">
        <v>0</v>
      </c>
      <c r="I348" s="9" t="n">
        <v>0</v>
      </c>
      <c r="J348" s="9" t="n">
        <v>0</v>
      </c>
      <c r="K348" s="9">
        <f>E348+F348+G348+H348+I348-J348</f>
        <v/>
      </c>
      <c r="L348" s="10">
        <f>Q347</f>
        <v/>
      </c>
      <c r="M348" s="10" t="n">
        <v>85</v>
      </c>
      <c r="N348" s="10" t="n">
        <v>11</v>
      </c>
      <c r="O348" s="10">
        <f>J348/160</f>
        <v/>
      </c>
      <c r="P348" s="10" t="n">
        <v>90</v>
      </c>
      <c r="Q348" s="10">
        <f>L348+M348+N348+O348-P348</f>
        <v/>
      </c>
      <c r="R348" s="11">
        <f>T347</f>
        <v/>
      </c>
      <c r="S348" s="11">
        <f>N(V348) + N(X348) + N(Z348)</f>
        <v/>
      </c>
      <c r="T348" s="11">
        <f>R348+P348-S348</f>
        <v/>
      </c>
      <c r="U348" s="11" t="inlineStr">
        <is>
          <t>是</t>
        </is>
      </c>
      <c r="V348" s="11" t="n">
        <v>57</v>
      </c>
      <c r="W348" s="11" t="inlineStr">
        <is>
          <t>是</t>
        </is>
      </c>
      <c r="X348" s="11" t="n">
        <v>21</v>
      </c>
      <c r="Y348" s="11" t="inlineStr">
        <is>
          <t>-</t>
        </is>
      </c>
      <c r="Z348" s="11" t="n">
        <v>0</v>
      </c>
      <c r="AA348" s="11" t="inlineStr">
        <is>
          <t>垫到90抽</t>
        </is>
      </c>
      <c r="AB348" s="12">
        <f>AE347</f>
        <v/>
      </c>
      <c r="AC348" s="12" t="n">
        <v>4</v>
      </c>
      <c r="AD348" s="12" t="n">
        <v>0</v>
      </c>
      <c r="AE348" s="12">
        <f>AB348+AC348+AD348</f>
        <v/>
      </c>
      <c r="AF348" s="13">
        <f>AI347</f>
        <v/>
      </c>
      <c r="AG348" s="13" t="n">
        <v>0</v>
      </c>
      <c r="AH348" s="13" t="n">
        <v>0</v>
      </c>
      <c r="AI348" s="13">
        <f>AF348+AG348+AH348</f>
        <v/>
      </c>
      <c r="AJ348" s="14" t="n">
        <v>30</v>
      </c>
      <c r="AK348" s="14" t="n">
        <v>50</v>
      </c>
      <c r="AL348" s="14" t="n">
        <v>0</v>
      </c>
      <c r="AM348" s="14">
        <f>AJ348+AK348+AL348</f>
        <v/>
      </c>
      <c r="AN348" s="14">
        <f>AN347+AM348</f>
        <v/>
      </c>
    </row>
    <row r="349">
      <c r="A349" s="8" t="n">
        <v>14</v>
      </c>
      <c r="B349" s="8" t="n">
        <v>5</v>
      </c>
      <c r="C349" s="8" t="n">
        <v>2</v>
      </c>
      <c r="D349" s="8" t="inlineStr">
        <is>
          <t>月卡收益</t>
        </is>
      </c>
      <c r="E349" s="9">
        <f>K348</f>
        <v/>
      </c>
      <c r="F349" s="9" t="n">
        <v>1540</v>
      </c>
      <c r="G349" s="9" t="n">
        <v>0</v>
      </c>
      <c r="H349" s="9" t="n">
        <v>0</v>
      </c>
      <c r="I349" s="9" t="n">
        <v>0</v>
      </c>
      <c r="J349" s="9" t="n">
        <v>4160</v>
      </c>
      <c r="K349" s="9">
        <f>E349+F349+G349+H349+I349-J349</f>
        <v/>
      </c>
      <c r="L349" s="10">
        <f>Q348</f>
        <v/>
      </c>
      <c r="M349" s="10" t="n">
        <v>0</v>
      </c>
      <c r="N349" s="10" t="n">
        <v>3</v>
      </c>
      <c r="O349" s="10">
        <f>J349/160</f>
        <v/>
      </c>
      <c r="P349" s="10" t="n">
        <v>40</v>
      </c>
      <c r="Q349" s="10">
        <f>L349+M349+N349+O349-P349</f>
        <v/>
      </c>
      <c r="R349" s="11">
        <f>T348</f>
        <v/>
      </c>
      <c r="S349" s="11">
        <f>N(V349) + N(X349) + N(Z349)</f>
        <v/>
      </c>
      <c r="T349" s="11">
        <f>R349+P349-S349</f>
        <v/>
      </c>
      <c r="U349" s="11" t="inlineStr">
        <is>
          <t>是</t>
        </is>
      </c>
      <c r="V349" s="11" t="n">
        <v>48</v>
      </c>
      <c r="W349" s="11" t="inlineStr">
        <is>
          <t>否</t>
        </is>
      </c>
      <c r="X349" s="11" t="inlineStr">
        <is>
          <t>-</t>
        </is>
      </c>
      <c r="Y349" s="11" t="inlineStr">
        <is>
          <t>-</t>
        </is>
      </c>
      <c r="Z349" s="11" t="n">
        <v>0</v>
      </c>
      <c r="AA349" s="11" t="inlineStr">
        <is>
          <t>无</t>
        </is>
      </c>
      <c r="AB349" s="12">
        <f>AE348</f>
        <v/>
      </c>
      <c r="AC349" s="12" t="n">
        <v>0</v>
      </c>
      <c r="AD349" s="12" t="n">
        <v>0</v>
      </c>
      <c r="AE349" s="12">
        <f>AB349+AC349+AD349</f>
        <v/>
      </c>
      <c r="AF349" s="13">
        <f>AI348</f>
        <v/>
      </c>
      <c r="AG349" s="13" t="n">
        <v>0</v>
      </c>
      <c r="AH349" s="13" t="n">
        <v>0</v>
      </c>
      <c r="AI349" s="13">
        <f>AF349+AG349+AH349</f>
        <v/>
      </c>
      <c r="AJ349" s="14" t="n">
        <v>0</v>
      </c>
      <c r="AK349" s="14" t="n">
        <v>0</v>
      </c>
      <c r="AL349" s="14" t="n">
        <v>0</v>
      </c>
      <c r="AM349" s="14">
        <f>AJ349+AK349+AL349</f>
        <v/>
      </c>
      <c r="AN349" s="14">
        <f>AN348+AM349</f>
        <v/>
      </c>
    </row>
    <row r="350">
      <c r="A350" s="8" t="n">
        <v>14</v>
      </c>
      <c r="B350" s="8" t="n">
        <v>6</v>
      </c>
      <c r="C350" s="8" t="n">
        <v>1</v>
      </c>
      <c r="D350" s="8" t="inlineStr">
        <is>
          <t>版本免费+义相逢 + 月卡收益 [月卡续费-30元]</t>
        </is>
      </c>
      <c r="E350" s="9">
        <f>K349</f>
        <v/>
      </c>
      <c r="F350" s="9" t="n">
        <v>1540</v>
      </c>
      <c r="G350" s="9" t="n">
        <v>4800</v>
      </c>
      <c r="H350" s="9" t="n">
        <v>0</v>
      </c>
      <c r="I350" s="9" t="n">
        <v>0</v>
      </c>
      <c r="J350" s="9" t="n">
        <v>0</v>
      </c>
      <c r="K350" s="9">
        <f>E350+F350+G350+H350+I350-J350</f>
        <v/>
      </c>
      <c r="L350" s="10">
        <f>Q349</f>
        <v/>
      </c>
      <c r="M350" s="10" t="n">
        <v>85</v>
      </c>
      <c r="N350" s="10" t="n">
        <v>6</v>
      </c>
      <c r="O350" s="10">
        <f>J350/160</f>
        <v/>
      </c>
      <c r="P350" s="10" t="n">
        <v>60</v>
      </c>
      <c r="Q350" s="10">
        <f>L350+M350+N350+O350-P350</f>
        <v/>
      </c>
      <c r="R350" s="11">
        <f>T349</f>
        <v/>
      </c>
      <c r="S350" s="11">
        <f>N(V350) + N(X350) + N(Z350)</f>
        <v/>
      </c>
      <c r="T350" s="11">
        <f>R350+P350-S350</f>
        <v/>
      </c>
      <c r="U350" s="11" t="inlineStr">
        <is>
          <t>是</t>
        </is>
      </c>
      <c r="V350" s="11" t="n">
        <v>46</v>
      </c>
      <c r="W350" s="11" t="inlineStr">
        <is>
          <t>否</t>
        </is>
      </c>
      <c r="X350" s="11" t="inlineStr">
        <is>
          <t>-</t>
        </is>
      </c>
      <c r="Y350" s="11" t="inlineStr">
        <is>
          <t>-</t>
        </is>
      </c>
      <c r="Z350" s="11" t="n">
        <v>0</v>
      </c>
      <c r="AA350" s="11" t="inlineStr">
        <is>
          <t>垫到60抽</t>
        </is>
      </c>
      <c r="AB350" s="12">
        <f>AE349</f>
        <v/>
      </c>
      <c r="AC350" s="12" t="n">
        <v>4</v>
      </c>
      <c r="AD350" s="12" t="n">
        <v>0</v>
      </c>
      <c r="AE350" s="12">
        <f>AB350+AC350+AD350</f>
        <v/>
      </c>
      <c r="AF350" s="13">
        <f>AI349</f>
        <v/>
      </c>
      <c r="AG350" s="13" t="n">
        <v>0</v>
      </c>
      <c r="AH350" s="13" t="n">
        <v>0</v>
      </c>
      <c r="AI350" s="13">
        <f>AF350+AG350+AH350</f>
        <v/>
      </c>
      <c r="AJ350" s="14" t="n">
        <v>30</v>
      </c>
      <c r="AK350" s="14" t="n">
        <v>50</v>
      </c>
      <c r="AL350" s="14" t="n">
        <v>0</v>
      </c>
      <c r="AM350" s="14">
        <f>AJ350+AK350+AL350</f>
        <v/>
      </c>
      <c r="AN350" s="14">
        <f>AN349+AM350</f>
        <v/>
      </c>
    </row>
    <row r="351">
      <c r="A351" s="8" t="n">
        <v>14</v>
      </c>
      <c r="B351" s="8" t="n">
        <v>6</v>
      </c>
      <c r="C351" s="8" t="n">
        <v>2</v>
      </c>
      <c r="D351" s="8" t="inlineStr">
        <is>
          <t>月卡收益</t>
        </is>
      </c>
      <c r="E351" s="9">
        <f>K350</f>
        <v/>
      </c>
      <c r="F351" s="9" t="n">
        <v>1540</v>
      </c>
      <c r="G351" s="9" t="n">
        <v>0</v>
      </c>
      <c r="H351" s="9" t="n">
        <v>0</v>
      </c>
      <c r="I351" s="9" t="n">
        <v>0</v>
      </c>
      <c r="J351" s="9" t="n">
        <v>960</v>
      </c>
      <c r="K351" s="9">
        <f>E351+F351+G351+H351+I351-J351</f>
        <v/>
      </c>
      <c r="L351" s="10">
        <f>Q350</f>
        <v/>
      </c>
      <c r="M351" s="10" t="n">
        <v>0</v>
      </c>
      <c r="N351" s="10" t="n">
        <v>3</v>
      </c>
      <c r="O351" s="10">
        <f>J351/160</f>
        <v/>
      </c>
      <c r="P351" s="10" t="n">
        <v>40</v>
      </c>
      <c r="Q351" s="10">
        <f>L351+M351+N351+O351-P351</f>
        <v/>
      </c>
      <c r="R351" s="11">
        <f>T350</f>
        <v/>
      </c>
      <c r="S351" s="11">
        <f>N(V351) + N(X351) + N(Z351)</f>
        <v/>
      </c>
      <c r="T351" s="11">
        <f>R351+P351-S351</f>
        <v/>
      </c>
      <c r="U351" s="11" t="inlineStr">
        <is>
          <t>是</t>
        </is>
      </c>
      <c r="V351" s="11" t="n">
        <v>52</v>
      </c>
      <c r="W351" s="11" t="inlineStr">
        <is>
          <t>否</t>
        </is>
      </c>
      <c r="X351" s="11" t="inlineStr">
        <is>
          <t>-</t>
        </is>
      </c>
      <c r="Y351" s="11" t="inlineStr">
        <is>
          <t>-</t>
        </is>
      </c>
      <c r="Z351" s="11" t="n">
        <v>0</v>
      </c>
      <c r="AA351" s="11" t="inlineStr">
        <is>
          <t>无</t>
        </is>
      </c>
      <c r="AB351" s="12">
        <f>AE350</f>
        <v/>
      </c>
      <c r="AC351" s="12" t="n">
        <v>0</v>
      </c>
      <c r="AD351" s="12" t="n">
        <v>0</v>
      </c>
      <c r="AE351" s="12">
        <f>AB351+AC351+AD351</f>
        <v/>
      </c>
      <c r="AF351" s="13">
        <f>AI350</f>
        <v/>
      </c>
      <c r="AG351" s="13" t="n">
        <v>0</v>
      </c>
      <c r="AH351" s="13" t="n">
        <v>0</v>
      </c>
      <c r="AI351" s="13">
        <f>AF351+AG351+AH351</f>
        <v/>
      </c>
      <c r="AJ351" s="14" t="n">
        <v>0</v>
      </c>
      <c r="AK351" s="14" t="n">
        <v>0</v>
      </c>
      <c r="AL351" s="14" t="n">
        <v>0</v>
      </c>
      <c r="AM351" s="14">
        <f>AJ351+AK351+AL351</f>
        <v/>
      </c>
      <c r="AN351" s="14">
        <f>AN350+AM351</f>
        <v/>
      </c>
    </row>
    <row r="352">
      <c r="A352" s="8" t="n">
        <v>14</v>
      </c>
      <c r="B352" s="8" t="n">
        <v>7</v>
      </c>
      <c r="C352" s="8" t="n">
        <v>1</v>
      </c>
      <c r="D352" s="8" t="inlineStr">
        <is>
          <t>版本免费+义相逢 + 月卡收益 [月卡续费-30元]</t>
        </is>
      </c>
      <c r="E352" s="9">
        <f>K351</f>
        <v/>
      </c>
      <c r="F352" s="9" t="n">
        <v>1540</v>
      </c>
      <c r="G352" s="9" t="n">
        <v>4800</v>
      </c>
      <c r="H352" s="9" t="n">
        <v>0</v>
      </c>
      <c r="I352" s="9" t="n">
        <v>0</v>
      </c>
      <c r="J352" s="9" t="n">
        <v>0</v>
      </c>
      <c r="K352" s="9">
        <f>E352+F352+G352+H352+I352-J352</f>
        <v/>
      </c>
      <c r="L352" s="10">
        <f>Q351</f>
        <v/>
      </c>
      <c r="M352" s="10" t="n">
        <v>85</v>
      </c>
      <c r="N352" s="10" t="n">
        <v>6</v>
      </c>
      <c r="O352" s="10">
        <f>J352/160</f>
        <v/>
      </c>
      <c r="P352" s="10" t="n">
        <v>60</v>
      </c>
      <c r="Q352" s="10">
        <f>L352+M352+N352+O352-P352</f>
        <v/>
      </c>
      <c r="R352" s="11">
        <f>T351</f>
        <v/>
      </c>
      <c r="S352" s="11">
        <f>N(V352) + N(X352) + N(Z352)</f>
        <v/>
      </c>
      <c r="T352" s="11">
        <f>R352+P352-S352</f>
        <v/>
      </c>
      <c r="U352" s="11" t="inlineStr">
        <is>
          <t>是</t>
        </is>
      </c>
      <c r="V352" s="11" t="n">
        <v>47</v>
      </c>
      <c r="W352" s="11" t="inlineStr">
        <is>
          <t>否</t>
        </is>
      </c>
      <c r="X352" s="11" t="inlineStr">
        <is>
          <t>-</t>
        </is>
      </c>
      <c r="Y352" s="11" t="inlineStr">
        <is>
          <t>-</t>
        </is>
      </c>
      <c r="Z352" s="11" t="n">
        <v>0</v>
      </c>
      <c r="AA352" s="11" t="inlineStr">
        <is>
          <t>垫到60抽</t>
        </is>
      </c>
      <c r="AB352" s="12">
        <f>AE351</f>
        <v/>
      </c>
      <c r="AC352" s="12" t="n">
        <v>4</v>
      </c>
      <c r="AD352" s="12" t="n">
        <v>0</v>
      </c>
      <c r="AE352" s="12">
        <f>AB352+AC352+AD352</f>
        <v/>
      </c>
      <c r="AF352" s="13">
        <f>AI351</f>
        <v/>
      </c>
      <c r="AG352" s="13" t="n">
        <v>0</v>
      </c>
      <c r="AH352" s="13" t="n">
        <v>0</v>
      </c>
      <c r="AI352" s="13">
        <f>AF352+AG352+AH352</f>
        <v/>
      </c>
      <c r="AJ352" s="14" t="n">
        <v>30</v>
      </c>
      <c r="AK352" s="14" t="n">
        <v>50</v>
      </c>
      <c r="AL352" s="14" t="n">
        <v>0</v>
      </c>
      <c r="AM352" s="14">
        <f>AJ352+AK352+AL352</f>
        <v/>
      </c>
      <c r="AN352" s="14">
        <f>AN351+AM352</f>
        <v/>
      </c>
    </row>
    <row r="353">
      <c r="A353" s="8" t="n">
        <v>14</v>
      </c>
      <c r="B353" s="8" t="n">
        <v>7</v>
      </c>
      <c r="C353" s="8" t="n">
        <v>2</v>
      </c>
      <c r="D353" s="8" t="inlineStr">
        <is>
          <t>月卡收益</t>
        </is>
      </c>
      <c r="E353" s="9">
        <f>K352</f>
        <v/>
      </c>
      <c r="F353" s="9" t="n">
        <v>1540</v>
      </c>
      <c r="G353" s="9" t="n">
        <v>0</v>
      </c>
      <c r="H353" s="9" t="n">
        <v>0</v>
      </c>
      <c r="I353" s="9" t="n">
        <v>0</v>
      </c>
      <c r="J353" s="9" t="n">
        <v>8480</v>
      </c>
      <c r="K353" s="9">
        <f>E353+F353+G353+H353+I353-J353</f>
        <v/>
      </c>
      <c r="L353" s="10">
        <f>Q352</f>
        <v/>
      </c>
      <c r="M353" s="10" t="n">
        <v>0</v>
      </c>
      <c r="N353" s="10" t="n">
        <v>11</v>
      </c>
      <c r="O353" s="10">
        <f>J353/160</f>
        <v/>
      </c>
      <c r="P353" s="10" t="n">
        <v>90</v>
      </c>
      <c r="Q353" s="10">
        <f>L353+M353+N353+O353-P353</f>
        <v/>
      </c>
      <c r="R353" s="11">
        <f>T352</f>
        <v/>
      </c>
      <c r="S353" s="11">
        <f>N(V353) + N(X353) + N(Z353)</f>
        <v/>
      </c>
      <c r="T353" s="11">
        <f>R353+P353-S353</f>
        <v/>
      </c>
      <c r="U353" s="11" t="inlineStr">
        <is>
          <t>是</t>
        </is>
      </c>
      <c r="V353" s="11" t="n">
        <v>54</v>
      </c>
      <c r="W353" s="11" t="inlineStr">
        <is>
          <t>是</t>
        </is>
      </c>
      <c r="X353" s="11" t="n">
        <v>50</v>
      </c>
      <c r="Y353" s="11" t="inlineStr">
        <is>
          <t>-</t>
        </is>
      </c>
      <c r="Z353" s="11" t="n">
        <v>0</v>
      </c>
      <c r="AA353" s="11" t="inlineStr">
        <is>
          <t>无</t>
        </is>
      </c>
      <c r="AB353" s="12">
        <f>AE352</f>
        <v/>
      </c>
      <c r="AC353" s="12" t="n">
        <v>0</v>
      </c>
      <c r="AD353" s="12" t="n">
        <v>0</v>
      </c>
      <c r="AE353" s="12">
        <f>AB353+AC353+AD353</f>
        <v/>
      </c>
      <c r="AF353" s="13">
        <f>AI352</f>
        <v/>
      </c>
      <c r="AG353" s="13" t="n">
        <v>0</v>
      </c>
      <c r="AH353" s="13" t="n">
        <v>0</v>
      </c>
      <c r="AI353" s="13">
        <f>AF353+AG353+AH353</f>
        <v/>
      </c>
      <c r="AJ353" s="14" t="n">
        <v>0</v>
      </c>
      <c r="AK353" s="14" t="n">
        <v>0</v>
      </c>
      <c r="AL353" s="14" t="n">
        <v>0</v>
      </c>
      <c r="AM353" s="14">
        <f>AJ353+AK353+AL353</f>
        <v/>
      </c>
      <c r="AN353" s="14">
        <f>AN352+AM353</f>
        <v/>
      </c>
    </row>
    <row r="354">
      <c r="A354" s="8" t="n">
        <v>14</v>
      </c>
      <c r="B354" s="8" t="n">
        <v>8</v>
      </c>
      <c r="C354" s="8" t="n">
        <v>1</v>
      </c>
      <c r="D354" s="8" t="inlineStr">
        <is>
          <t>版本免费+义相逢 + 月卡收益 [月卡续费-30元]</t>
        </is>
      </c>
      <c r="E354" s="9">
        <f>K353</f>
        <v/>
      </c>
      <c r="F354" s="9" t="n">
        <v>1540</v>
      </c>
      <c r="G354" s="9" t="n">
        <v>4800</v>
      </c>
      <c r="H354" s="9" t="n">
        <v>0</v>
      </c>
      <c r="I354" s="9" t="n">
        <v>0</v>
      </c>
      <c r="J354" s="9" t="n">
        <v>14240</v>
      </c>
      <c r="K354" s="9">
        <f>E354+F354+G354+H354+I354-J354</f>
        <v/>
      </c>
      <c r="L354" s="10">
        <f>Q353</f>
        <v/>
      </c>
      <c r="M354" s="10" t="n">
        <v>85</v>
      </c>
      <c r="N354" s="10" t="n">
        <v>21</v>
      </c>
      <c r="O354" s="10">
        <f>J354/160</f>
        <v/>
      </c>
      <c r="P354" s="10" t="n">
        <v>200</v>
      </c>
      <c r="Q354" s="10">
        <f>L354+M354+N354+O354-P354</f>
        <v/>
      </c>
      <c r="R354" s="11">
        <f>T353</f>
        <v/>
      </c>
      <c r="S354" s="11">
        <f>N(V354) + N(X354) + N(Z354)</f>
        <v/>
      </c>
      <c r="T354" s="11">
        <f>R354+P354-S354</f>
        <v/>
      </c>
      <c r="U354" s="11" t="inlineStr">
        <is>
          <t>是</t>
        </is>
      </c>
      <c r="V354" s="11" t="n">
        <v>48</v>
      </c>
      <c r="W354" s="11" t="inlineStr">
        <is>
          <t>是</t>
        </is>
      </c>
      <c r="X354" s="11" t="n">
        <v>49</v>
      </c>
      <c r="Y354" s="11" t="inlineStr">
        <is>
          <t>歪(48), UP(52)</t>
        </is>
      </c>
      <c r="Z354" s="11" t="n">
        <v>100</v>
      </c>
      <c r="AA354" s="11" t="inlineStr">
        <is>
          <t>冲刺200(动态90)</t>
        </is>
      </c>
      <c r="AB354" s="12">
        <f>AE353</f>
        <v/>
      </c>
      <c r="AC354" s="12" t="n">
        <v>4</v>
      </c>
      <c r="AD354" s="12" t="n">
        <v>1</v>
      </c>
      <c r="AE354" s="12">
        <f>AB354+AC354+AD354</f>
        <v/>
      </c>
      <c r="AF354" s="13">
        <f>AI353</f>
        <v/>
      </c>
      <c r="AG354" s="13" t="n">
        <v>0</v>
      </c>
      <c r="AH354" s="13" t="n">
        <v>5000</v>
      </c>
      <c r="AI354" s="13">
        <f>AF354+AG354+AH354</f>
        <v/>
      </c>
      <c r="AJ354" s="14" t="n">
        <v>30</v>
      </c>
      <c r="AK354" s="14" t="n">
        <v>50</v>
      </c>
      <c r="AL354" s="14" t="n">
        <v>0</v>
      </c>
      <c r="AM354" s="14">
        <f>AJ354+AK354+AL354</f>
        <v/>
      </c>
      <c r="AN354" s="14">
        <f>AN353+AM354</f>
        <v/>
      </c>
    </row>
    <row r="355">
      <c r="A355" s="8" t="n">
        <v>14</v>
      </c>
      <c r="B355" s="8" t="n">
        <v>8</v>
      </c>
      <c r="C355" s="8" t="n">
        <v>2</v>
      </c>
      <c r="D355" s="8" t="inlineStr">
        <is>
          <t>月卡收益</t>
        </is>
      </c>
      <c r="E355" s="9">
        <f>K354</f>
        <v/>
      </c>
      <c r="F355" s="9" t="n">
        <v>1540</v>
      </c>
      <c r="G355" s="9" t="n">
        <v>0</v>
      </c>
      <c r="H355" s="9" t="n">
        <v>0</v>
      </c>
      <c r="I355" s="9" t="n">
        <v>0</v>
      </c>
      <c r="J355" s="9" t="n">
        <v>14240</v>
      </c>
      <c r="K355" s="9">
        <f>E355+F355+G355+H355+I355-J355</f>
        <v/>
      </c>
      <c r="L355" s="10">
        <f>Q354</f>
        <v/>
      </c>
      <c r="M355" s="10" t="n">
        <v>0</v>
      </c>
      <c r="N355" s="10" t="n">
        <v>11</v>
      </c>
      <c r="O355" s="10">
        <f>J355/160</f>
        <v/>
      </c>
      <c r="P355" s="10" t="n">
        <v>100</v>
      </c>
      <c r="Q355" s="10">
        <f>L355+M355+N355+O355-P355</f>
        <v/>
      </c>
      <c r="R355" s="11">
        <f>T354</f>
        <v/>
      </c>
      <c r="S355" s="11">
        <f>N(V355) + N(X355) + N(Z355)</f>
        <v/>
      </c>
      <c r="T355" s="11">
        <f>R355+P355-S355</f>
        <v/>
      </c>
      <c r="U355" s="11" t="inlineStr">
        <is>
          <t>是</t>
        </is>
      </c>
      <c r="V355" s="11" t="n">
        <v>50</v>
      </c>
      <c r="W355" s="11" t="inlineStr">
        <is>
          <t>是</t>
        </is>
      </c>
      <c r="X355" s="11" t="n">
        <v>52</v>
      </c>
      <c r="Y355" s="11" t="inlineStr">
        <is>
          <t>-</t>
        </is>
      </c>
      <c r="Z355" s="11" t="n">
        <v>0</v>
      </c>
      <c r="AA355" s="11" t="inlineStr">
        <is>
          <t>无</t>
        </is>
      </c>
      <c r="AB355" s="12">
        <f>AE354</f>
        <v/>
      </c>
      <c r="AC355" s="12" t="n">
        <v>0</v>
      </c>
      <c r="AD355" s="12" t="n">
        <v>0</v>
      </c>
      <c r="AE355" s="12">
        <f>AB355+AC355+AD355</f>
        <v/>
      </c>
      <c r="AF355" s="13">
        <f>AI354</f>
        <v/>
      </c>
      <c r="AG355" s="13" t="n">
        <v>0</v>
      </c>
      <c r="AH355" s="13" t="n">
        <v>0</v>
      </c>
      <c r="AI355" s="13">
        <f>AF355+AG355+AH355</f>
        <v/>
      </c>
      <c r="AJ355" s="14" t="n">
        <v>0</v>
      </c>
      <c r="AK355" s="14" t="n">
        <v>0</v>
      </c>
      <c r="AL355" s="14" t="n">
        <v>0</v>
      </c>
      <c r="AM355" s="14">
        <f>AJ355+AK355+AL355</f>
        <v/>
      </c>
      <c r="AN355" s="14">
        <f>AN354+AM355</f>
        <v/>
      </c>
    </row>
    <row r="356">
      <c r="A356" s="8" t="n">
        <v>14</v>
      </c>
      <c r="B356" s="8" t="n">
        <v>9</v>
      </c>
      <c r="C356" s="8" t="n">
        <v>1</v>
      </c>
      <c r="D356" s="8" t="inlineStr">
        <is>
          <t>版本免费+义相逢 + 月卡收益 [月卡续费-30元]</t>
        </is>
      </c>
      <c r="E356" s="9">
        <f>K355</f>
        <v/>
      </c>
      <c r="F356" s="9" t="n">
        <v>1540</v>
      </c>
      <c r="G356" s="9" t="n">
        <v>4800</v>
      </c>
      <c r="H356" s="9" t="n">
        <v>0</v>
      </c>
      <c r="I356" s="9" t="n">
        <v>0</v>
      </c>
      <c r="J356" s="9" t="n">
        <v>0</v>
      </c>
      <c r="K356" s="9">
        <f>E356+F356+G356+H356+I356-J356</f>
        <v/>
      </c>
      <c r="L356" s="10">
        <f>Q355</f>
        <v/>
      </c>
      <c r="M356" s="10" t="n">
        <v>85</v>
      </c>
      <c r="N356" s="10" t="n">
        <v>11</v>
      </c>
      <c r="O356" s="10">
        <f>J356/160</f>
        <v/>
      </c>
      <c r="P356" s="10" t="n">
        <v>90</v>
      </c>
      <c r="Q356" s="10">
        <f>L356+M356+N356+O356-P356</f>
        <v/>
      </c>
      <c r="R356" s="11">
        <f>T355</f>
        <v/>
      </c>
      <c r="S356" s="11">
        <f>N(V356) + N(X356) + N(Z356)</f>
        <v/>
      </c>
      <c r="T356" s="11">
        <f>R356+P356-S356</f>
        <v/>
      </c>
      <c r="U356" s="11" t="inlineStr">
        <is>
          <t>是</t>
        </is>
      </c>
      <c r="V356" s="11" t="n">
        <v>48</v>
      </c>
      <c r="W356" s="11" t="inlineStr">
        <is>
          <t>是</t>
        </is>
      </c>
      <c r="X356" s="11" t="n">
        <v>48</v>
      </c>
      <c r="Y356" s="11" t="inlineStr">
        <is>
          <t>-</t>
        </is>
      </c>
      <c r="Z356" s="11" t="n">
        <v>0</v>
      </c>
      <c r="AA356" s="11" t="inlineStr">
        <is>
          <t>无</t>
        </is>
      </c>
      <c r="AB356" s="12">
        <f>AE355</f>
        <v/>
      </c>
      <c r="AC356" s="12" t="n">
        <v>4</v>
      </c>
      <c r="AD356" s="12" t="n">
        <v>0</v>
      </c>
      <c r="AE356" s="12">
        <f>AB356+AC356+AD356</f>
        <v/>
      </c>
      <c r="AF356" s="13">
        <f>AI355</f>
        <v/>
      </c>
      <c r="AG356" s="13" t="n">
        <v>0</v>
      </c>
      <c r="AH356" s="13" t="n">
        <v>0</v>
      </c>
      <c r="AI356" s="13">
        <f>AF356+AG356+AH356</f>
        <v/>
      </c>
      <c r="AJ356" s="14" t="n">
        <v>30</v>
      </c>
      <c r="AK356" s="14" t="n">
        <v>50</v>
      </c>
      <c r="AL356" s="14" t="n">
        <v>0</v>
      </c>
      <c r="AM356" s="14">
        <f>AJ356+AK356+AL356</f>
        <v/>
      </c>
      <c r="AN356" s="14">
        <f>AN355+AM356</f>
        <v/>
      </c>
    </row>
    <row r="357">
      <c r="A357" s="8" t="n">
        <v>14</v>
      </c>
      <c r="B357" s="8" t="n">
        <v>9</v>
      </c>
      <c r="C357" s="8" t="n">
        <v>2</v>
      </c>
      <c r="D357" s="8" t="inlineStr">
        <is>
          <t>月卡收益</t>
        </is>
      </c>
      <c r="E357" s="9">
        <f>K356</f>
        <v/>
      </c>
      <c r="F357" s="9" t="n">
        <v>1540</v>
      </c>
      <c r="G357" s="9" t="n">
        <v>0</v>
      </c>
      <c r="H357" s="9" t="n">
        <v>0</v>
      </c>
      <c r="I357" s="9" t="n">
        <v>0</v>
      </c>
      <c r="J357" s="9" t="n">
        <v>13280</v>
      </c>
      <c r="K357" s="9">
        <f>E357+F357+G357+H357+I357-J357</f>
        <v/>
      </c>
      <c r="L357" s="10">
        <f>Q356</f>
        <v/>
      </c>
      <c r="M357" s="10" t="n">
        <v>0</v>
      </c>
      <c r="N357" s="10" t="n">
        <v>11</v>
      </c>
      <c r="O357" s="10">
        <f>J357/160</f>
        <v/>
      </c>
      <c r="P357" s="10" t="n">
        <v>100</v>
      </c>
      <c r="Q357" s="10">
        <f>L357+M357+N357+O357-P357</f>
        <v/>
      </c>
      <c r="R357" s="11">
        <f>T356</f>
        <v/>
      </c>
      <c r="S357" s="11">
        <f>N(V357) + N(X357) + N(Z357)</f>
        <v/>
      </c>
      <c r="T357" s="11">
        <f>R357+P357-S357</f>
        <v/>
      </c>
      <c r="U357" s="11" t="inlineStr">
        <is>
          <t>是</t>
        </is>
      </c>
      <c r="V357" s="11" t="n">
        <v>51</v>
      </c>
      <c r="W357" s="11" t="inlineStr">
        <is>
          <t>是</t>
        </is>
      </c>
      <c r="X357" s="11" t="n">
        <v>49</v>
      </c>
      <c r="Y357" s="11" t="inlineStr">
        <is>
          <t>-</t>
        </is>
      </c>
      <c r="Z357" s="11" t="n">
        <v>0</v>
      </c>
      <c r="AA357" s="11" t="inlineStr">
        <is>
          <t>无</t>
        </is>
      </c>
      <c r="AB357" s="12">
        <f>AE356</f>
        <v/>
      </c>
      <c r="AC357" s="12" t="n">
        <v>0</v>
      </c>
      <c r="AD357" s="12" t="n">
        <v>0</v>
      </c>
      <c r="AE357" s="12">
        <f>AB357+AC357+AD357</f>
        <v/>
      </c>
      <c r="AF357" s="13">
        <f>AI356</f>
        <v/>
      </c>
      <c r="AG357" s="13" t="n">
        <v>0</v>
      </c>
      <c r="AH357" s="13" t="n">
        <v>0</v>
      </c>
      <c r="AI357" s="13">
        <f>AF357+AG357+AH357</f>
        <v/>
      </c>
      <c r="AJ357" s="14" t="n">
        <v>0</v>
      </c>
      <c r="AK357" s="14" t="n">
        <v>0</v>
      </c>
      <c r="AL357" s="14" t="n">
        <v>0</v>
      </c>
      <c r="AM357" s="14">
        <f>AJ357+AK357+AL357</f>
        <v/>
      </c>
      <c r="AN357" s="14">
        <f>AN356+AM357</f>
        <v/>
      </c>
    </row>
    <row r="358">
      <c r="A358" s="8" t="n">
        <v>14</v>
      </c>
      <c r="B358" s="8" t="n">
        <v>10</v>
      </c>
      <c r="C358" s="8" t="n">
        <v>1</v>
      </c>
      <c r="D358" s="8" t="inlineStr">
        <is>
          <t>版本免费+义相逢 + 月卡收益 [月卡续费-30元]</t>
        </is>
      </c>
      <c r="E358" s="9">
        <f>K357</f>
        <v/>
      </c>
      <c r="F358" s="9" t="n">
        <v>1540</v>
      </c>
      <c r="G358" s="9" t="n">
        <v>4800</v>
      </c>
      <c r="H358" s="9" t="n">
        <v>0</v>
      </c>
      <c r="I358" s="9" t="n">
        <v>0</v>
      </c>
      <c r="J358" s="9" t="n">
        <v>0</v>
      </c>
      <c r="K358" s="9">
        <f>E358+F358+G358+H358+I358-J358</f>
        <v/>
      </c>
      <c r="L358" s="10">
        <f>Q357</f>
        <v/>
      </c>
      <c r="M358" s="10" t="n">
        <v>85</v>
      </c>
      <c r="N358" s="10" t="n">
        <v>6</v>
      </c>
      <c r="O358" s="10">
        <f>J358/160</f>
        <v/>
      </c>
      <c r="P358" s="10" t="n">
        <v>60</v>
      </c>
      <c r="Q358" s="10">
        <f>L358+M358+N358+O358-P358</f>
        <v/>
      </c>
      <c r="R358" s="11">
        <f>T357</f>
        <v/>
      </c>
      <c r="S358" s="11">
        <f>N(V358) + N(X358) + N(Z358)</f>
        <v/>
      </c>
      <c r="T358" s="11">
        <f>R358+P358-S358</f>
        <v/>
      </c>
      <c r="U358" s="11" t="inlineStr">
        <is>
          <t>是</t>
        </is>
      </c>
      <c r="V358" s="11" t="n">
        <v>51</v>
      </c>
      <c r="W358" s="11" t="inlineStr">
        <is>
          <t>否</t>
        </is>
      </c>
      <c r="X358" s="11" t="inlineStr">
        <is>
          <t>-</t>
        </is>
      </c>
      <c r="Y358" s="11" t="inlineStr">
        <is>
          <t>-</t>
        </is>
      </c>
      <c r="Z358" s="11" t="n">
        <v>0</v>
      </c>
      <c r="AA358" s="11" t="inlineStr">
        <is>
          <t>无</t>
        </is>
      </c>
      <c r="AB358" s="12">
        <f>AE357</f>
        <v/>
      </c>
      <c r="AC358" s="12" t="n">
        <v>4</v>
      </c>
      <c r="AD358" s="12" t="n">
        <v>0</v>
      </c>
      <c r="AE358" s="12">
        <f>AB358+AC358+AD358</f>
        <v/>
      </c>
      <c r="AF358" s="13">
        <f>AI357</f>
        <v/>
      </c>
      <c r="AG358" s="13" t="n">
        <v>0</v>
      </c>
      <c r="AH358" s="13" t="n">
        <v>0</v>
      </c>
      <c r="AI358" s="13">
        <f>AF358+AG358+AH358</f>
        <v/>
      </c>
      <c r="AJ358" s="14" t="n">
        <v>30</v>
      </c>
      <c r="AK358" s="14" t="n">
        <v>50</v>
      </c>
      <c r="AL358" s="14" t="n">
        <v>0</v>
      </c>
      <c r="AM358" s="14">
        <f>AJ358+AK358+AL358</f>
        <v/>
      </c>
      <c r="AN358" s="14">
        <f>AN357+AM358</f>
        <v/>
      </c>
    </row>
    <row r="359">
      <c r="A359" s="8" t="n">
        <v>14</v>
      </c>
      <c r="B359" s="8" t="n">
        <v>10</v>
      </c>
      <c r="C359" s="8" t="n">
        <v>2</v>
      </c>
      <c r="D359" s="8" t="inlineStr">
        <is>
          <t>月卡收益</t>
        </is>
      </c>
      <c r="E359" s="9">
        <f>K358</f>
        <v/>
      </c>
      <c r="F359" s="9" t="n">
        <v>1540</v>
      </c>
      <c r="G359" s="9" t="n">
        <v>0</v>
      </c>
      <c r="H359" s="9" t="n">
        <v>0</v>
      </c>
      <c r="I359" s="9" t="n">
        <v>0</v>
      </c>
      <c r="J359" s="9" t="n">
        <v>4160</v>
      </c>
      <c r="K359" s="9">
        <f>E359+F359+G359+H359+I359-J359</f>
        <v/>
      </c>
      <c r="L359" s="10">
        <f>Q358</f>
        <v/>
      </c>
      <c r="M359" s="10" t="n">
        <v>0</v>
      </c>
      <c r="N359" s="10" t="n">
        <v>6</v>
      </c>
      <c r="O359" s="10">
        <f>J359/160</f>
        <v/>
      </c>
      <c r="P359" s="10" t="n">
        <v>60</v>
      </c>
      <c r="Q359" s="10">
        <f>L359+M359+N359+O359-P359</f>
        <v/>
      </c>
      <c r="R359" s="11">
        <f>T358</f>
        <v/>
      </c>
      <c r="S359" s="11">
        <f>N(V359) + N(X359) + N(Z359)</f>
        <v/>
      </c>
      <c r="T359" s="11">
        <f>R359+P359-S359</f>
        <v/>
      </c>
      <c r="U359" s="11" t="inlineStr">
        <is>
          <t>是</t>
        </is>
      </c>
      <c r="V359" s="11" t="n">
        <v>50</v>
      </c>
      <c r="W359" s="11" t="inlineStr">
        <is>
          <t>否</t>
        </is>
      </c>
      <c r="X359" s="11" t="inlineStr">
        <is>
          <t>-</t>
        </is>
      </c>
      <c r="Y359" s="11" t="inlineStr">
        <is>
          <t>-</t>
        </is>
      </c>
      <c r="Z359" s="11" t="n">
        <v>0</v>
      </c>
      <c r="AA359" s="11" t="inlineStr">
        <is>
          <t>垫到60抽</t>
        </is>
      </c>
      <c r="AB359" s="12">
        <f>AE358</f>
        <v/>
      </c>
      <c r="AC359" s="12" t="n">
        <v>0</v>
      </c>
      <c r="AD359" s="12" t="n">
        <v>0</v>
      </c>
      <c r="AE359" s="12">
        <f>AB359+AC359+AD359</f>
        <v/>
      </c>
      <c r="AF359" s="13">
        <f>AI358</f>
        <v/>
      </c>
      <c r="AG359" s="13" t="n">
        <v>0</v>
      </c>
      <c r="AH359" s="13" t="n">
        <v>0</v>
      </c>
      <c r="AI359" s="13">
        <f>AF359+AG359+AH359</f>
        <v/>
      </c>
      <c r="AJ359" s="14" t="n">
        <v>0</v>
      </c>
      <c r="AK359" s="14" t="n">
        <v>0</v>
      </c>
      <c r="AL359" s="14" t="n">
        <v>0</v>
      </c>
      <c r="AM359" s="14">
        <f>AJ359+AK359+AL359</f>
        <v/>
      </c>
      <c r="AN359" s="14">
        <f>AN358+AM359</f>
        <v/>
      </c>
    </row>
    <row r="360">
      <c r="A360" s="8" t="n">
        <v>14</v>
      </c>
      <c r="B360" s="8" t="n">
        <v>11</v>
      </c>
      <c r="C360" s="8" t="n">
        <v>1</v>
      </c>
      <c r="D360" s="8" t="inlineStr">
        <is>
          <t>版本免费+义相逢 + 月卡收益 [月卡续费-30元]</t>
        </is>
      </c>
      <c r="E360" s="9">
        <f>K359</f>
        <v/>
      </c>
      <c r="F360" s="9" t="n">
        <v>1540</v>
      </c>
      <c r="G360" s="9" t="n">
        <v>4800</v>
      </c>
      <c r="H360" s="9" t="n">
        <v>0</v>
      </c>
      <c r="I360" s="9" t="n">
        <v>0</v>
      </c>
      <c r="J360" s="9" t="n">
        <v>0</v>
      </c>
      <c r="K360" s="9">
        <f>E360+F360+G360+H360+I360-J360</f>
        <v/>
      </c>
      <c r="L360" s="10">
        <f>Q359</f>
        <v/>
      </c>
      <c r="M360" s="10" t="n">
        <v>85</v>
      </c>
      <c r="N360" s="10" t="n">
        <v>11</v>
      </c>
      <c r="O360" s="10">
        <f>J360/160</f>
        <v/>
      </c>
      <c r="P360" s="10" t="n">
        <v>90</v>
      </c>
      <c r="Q360" s="10">
        <f>L360+M360+N360+O360-P360</f>
        <v/>
      </c>
      <c r="R360" s="11">
        <f>T359</f>
        <v/>
      </c>
      <c r="S360" s="11">
        <f>N(V360) + N(X360) + N(Z360)</f>
        <v/>
      </c>
      <c r="T360" s="11">
        <f>R360+P360-S360</f>
        <v/>
      </c>
      <c r="U360" s="11" t="inlineStr">
        <is>
          <t>是</t>
        </is>
      </c>
      <c r="V360" s="11" t="n">
        <v>47</v>
      </c>
      <c r="W360" s="11" t="inlineStr">
        <is>
          <t>是</t>
        </is>
      </c>
      <c r="X360" s="11" t="n">
        <v>52</v>
      </c>
      <c r="Y360" s="11" t="inlineStr">
        <is>
          <t>-</t>
        </is>
      </c>
      <c r="Z360" s="11" t="n">
        <v>0</v>
      </c>
      <c r="AA360" s="11" t="inlineStr">
        <is>
          <t>垫到90抽</t>
        </is>
      </c>
      <c r="AB360" s="12">
        <f>AE359</f>
        <v/>
      </c>
      <c r="AC360" s="12" t="n">
        <v>4</v>
      </c>
      <c r="AD360" s="12" t="n">
        <v>0</v>
      </c>
      <c r="AE360" s="12">
        <f>AB360+AC360+AD360</f>
        <v/>
      </c>
      <c r="AF360" s="13">
        <f>AI359</f>
        <v/>
      </c>
      <c r="AG360" s="13" t="n">
        <v>0</v>
      </c>
      <c r="AH360" s="13" t="n">
        <v>0</v>
      </c>
      <c r="AI360" s="13">
        <f>AF360+AG360+AH360</f>
        <v/>
      </c>
      <c r="AJ360" s="14" t="n">
        <v>30</v>
      </c>
      <c r="AK360" s="14" t="n">
        <v>50</v>
      </c>
      <c r="AL360" s="14" t="n">
        <v>0</v>
      </c>
      <c r="AM360" s="14">
        <f>AJ360+AK360+AL360</f>
        <v/>
      </c>
      <c r="AN360" s="14">
        <f>AN359+AM360</f>
        <v/>
      </c>
    </row>
    <row r="361">
      <c r="A361" s="8" t="n">
        <v>14</v>
      </c>
      <c r="B361" s="8" t="n">
        <v>11</v>
      </c>
      <c r="C361" s="8" t="n">
        <v>2</v>
      </c>
      <c r="D361" s="8" t="inlineStr">
        <is>
          <t>月卡收益</t>
        </is>
      </c>
      <c r="E361" s="9">
        <f>K360</f>
        <v/>
      </c>
      <c r="F361" s="9" t="n">
        <v>1540</v>
      </c>
      <c r="G361" s="9" t="n">
        <v>0</v>
      </c>
      <c r="H361" s="9" t="n">
        <v>0</v>
      </c>
      <c r="I361" s="9" t="n">
        <v>0</v>
      </c>
      <c r="J361" s="9" t="n">
        <v>12000</v>
      </c>
      <c r="K361" s="9">
        <f>E361+F361+G361+H361+I361-J361</f>
        <v/>
      </c>
      <c r="L361" s="10">
        <f>Q360</f>
        <v/>
      </c>
      <c r="M361" s="10" t="n">
        <v>0</v>
      </c>
      <c r="N361" s="10" t="n">
        <v>11</v>
      </c>
      <c r="O361" s="10">
        <f>J361/160</f>
        <v/>
      </c>
      <c r="P361" s="10" t="n">
        <v>90</v>
      </c>
      <c r="Q361" s="10">
        <f>L361+M361+N361+O361-P361</f>
        <v/>
      </c>
      <c r="R361" s="11">
        <f>T360</f>
        <v/>
      </c>
      <c r="S361" s="11">
        <f>N(V361) + N(X361) + N(Z361)</f>
        <v/>
      </c>
      <c r="T361" s="11">
        <f>R361+P361-S361</f>
        <v/>
      </c>
      <c r="U361" s="11" t="inlineStr">
        <is>
          <t>是</t>
        </is>
      </c>
      <c r="V361" s="11" t="n">
        <v>47</v>
      </c>
      <c r="W361" s="11" t="inlineStr">
        <is>
          <t>是</t>
        </is>
      </c>
      <c r="X361" s="11" t="n">
        <v>50</v>
      </c>
      <c r="Y361" s="11" t="inlineStr">
        <is>
          <t>-</t>
        </is>
      </c>
      <c r="Z361" s="11" t="n">
        <v>0</v>
      </c>
      <c r="AA361" s="11" t="inlineStr">
        <is>
          <t>无</t>
        </is>
      </c>
      <c r="AB361" s="12">
        <f>AE360</f>
        <v/>
      </c>
      <c r="AC361" s="12" t="n">
        <v>0</v>
      </c>
      <c r="AD361" s="12" t="n">
        <v>0</v>
      </c>
      <c r="AE361" s="12">
        <f>AB361+AC361+AD361</f>
        <v/>
      </c>
      <c r="AF361" s="13">
        <f>AI360</f>
        <v/>
      </c>
      <c r="AG361" s="13" t="n">
        <v>0</v>
      </c>
      <c r="AH361" s="13" t="n">
        <v>0</v>
      </c>
      <c r="AI361" s="13">
        <f>AF361+AG361+AH361</f>
        <v/>
      </c>
      <c r="AJ361" s="14" t="n">
        <v>0</v>
      </c>
      <c r="AK361" s="14" t="n">
        <v>0</v>
      </c>
      <c r="AL361" s="14" t="n">
        <v>0</v>
      </c>
      <c r="AM361" s="14">
        <f>AJ361+AK361+AL361</f>
        <v/>
      </c>
      <c r="AN361" s="14">
        <f>AN360+AM361</f>
        <v/>
      </c>
    </row>
    <row r="362">
      <c r="A362" s="8" t="n">
        <v>14</v>
      </c>
      <c r="B362" s="8" t="n">
        <v>12</v>
      </c>
      <c r="C362" s="8" t="n">
        <v>1</v>
      </c>
      <c r="D362" s="8" t="inlineStr">
        <is>
          <t>版本免费+义相逢 + 月卡收益</t>
        </is>
      </c>
      <c r="E362" s="9">
        <f>K361</f>
        <v/>
      </c>
      <c r="F362" s="9" t="n">
        <v>1540</v>
      </c>
      <c r="G362" s="9" t="n">
        <v>4800</v>
      </c>
      <c r="H362" s="9" t="n">
        <v>0</v>
      </c>
      <c r="I362" s="9" t="n">
        <v>0</v>
      </c>
      <c r="J362" s="9" t="n">
        <v>0</v>
      </c>
      <c r="K362" s="9">
        <f>E362+F362+G362+H362+I362-J362</f>
        <v/>
      </c>
      <c r="L362" s="10">
        <f>Q361</f>
        <v/>
      </c>
      <c r="M362" s="10" t="n">
        <v>85</v>
      </c>
      <c r="N362" s="10" t="n">
        <v>11</v>
      </c>
      <c r="O362" s="10">
        <f>J362/160</f>
        <v/>
      </c>
      <c r="P362" s="10" t="n">
        <v>100</v>
      </c>
      <c r="Q362" s="10">
        <f>L362+M362+N362+O362-P362</f>
        <v/>
      </c>
      <c r="R362" s="11">
        <f>T361</f>
        <v/>
      </c>
      <c r="S362" s="11">
        <f>N(V362) + N(X362) + N(Z362)</f>
        <v/>
      </c>
      <c r="T362" s="11">
        <f>R362+P362-S362</f>
        <v/>
      </c>
      <c r="U362" s="11" t="inlineStr">
        <is>
          <t>是</t>
        </is>
      </c>
      <c r="V362" s="11" t="n">
        <v>47</v>
      </c>
      <c r="W362" s="11" t="inlineStr">
        <is>
          <t>是</t>
        </is>
      </c>
      <c r="X362" s="11" t="n">
        <v>50</v>
      </c>
      <c r="Y362" s="11" t="inlineStr">
        <is>
          <t>-</t>
        </is>
      </c>
      <c r="Z362" s="11" t="n">
        <v>0</v>
      </c>
      <c r="AA362" s="11" t="inlineStr">
        <is>
          <t>无</t>
        </is>
      </c>
      <c r="AB362" s="12">
        <f>AE361</f>
        <v/>
      </c>
      <c r="AC362" s="12" t="n">
        <v>4</v>
      </c>
      <c r="AD362" s="12" t="n">
        <v>0</v>
      </c>
      <c r="AE362" s="12">
        <f>AB362+AC362+AD362</f>
        <v/>
      </c>
      <c r="AF362" s="13">
        <f>AI361</f>
        <v/>
      </c>
      <c r="AG362" s="13" t="n">
        <v>0</v>
      </c>
      <c r="AH362" s="13" t="n">
        <v>0</v>
      </c>
      <c r="AI362" s="13">
        <f>AF362+AG362+AH362</f>
        <v/>
      </c>
      <c r="AJ362" s="14" t="n">
        <v>0</v>
      </c>
      <c r="AK362" s="14" t="n">
        <v>50</v>
      </c>
      <c r="AL362" s="14" t="n">
        <v>0</v>
      </c>
      <c r="AM362" s="14">
        <f>AJ362+AK362+AL362</f>
        <v/>
      </c>
      <c r="AN362" s="14">
        <f>AN361+AM362</f>
        <v/>
      </c>
    </row>
    <row r="363">
      <c r="A363" s="8" t="n">
        <v>14</v>
      </c>
      <c r="B363" s="8" t="n">
        <v>12</v>
      </c>
      <c r="C363" s="8" t="n">
        <v>2</v>
      </c>
      <c r="D363" s="8" t="inlineStr">
        <is>
          <t>月卡收益 [月卡续费-30元]</t>
        </is>
      </c>
      <c r="E363" s="9">
        <f>K362</f>
        <v/>
      </c>
      <c r="F363" s="9" t="n">
        <v>1540</v>
      </c>
      <c r="G363" s="9" t="n">
        <v>0</v>
      </c>
      <c r="H363" s="9" t="n">
        <v>0</v>
      </c>
      <c r="I363" s="9" t="n">
        <v>0</v>
      </c>
      <c r="J363" s="9" t="n">
        <v>8960</v>
      </c>
      <c r="K363" s="9">
        <f>E363+F363+G363+H363+I363-J363</f>
        <v/>
      </c>
      <c r="L363" s="10">
        <f>Q362</f>
        <v/>
      </c>
      <c r="M363" s="10" t="n">
        <v>0</v>
      </c>
      <c r="N363" s="10" t="n">
        <v>6</v>
      </c>
      <c r="O363" s="10">
        <f>J363/160</f>
        <v/>
      </c>
      <c r="P363" s="10" t="n">
        <v>60</v>
      </c>
      <c r="Q363" s="10">
        <f>L363+M363+N363+O363-P363</f>
        <v/>
      </c>
      <c r="R363" s="11">
        <f>T362</f>
        <v/>
      </c>
      <c r="S363" s="11">
        <f>N(V363) + N(X363) + N(Z363)</f>
        <v/>
      </c>
      <c r="T363" s="11">
        <f>R363+P363-S363</f>
        <v/>
      </c>
      <c r="U363" s="11" t="inlineStr">
        <is>
          <t>是</t>
        </is>
      </c>
      <c r="V363" s="11" t="n">
        <v>50</v>
      </c>
      <c r="W363" s="11" t="inlineStr">
        <is>
          <t>否</t>
        </is>
      </c>
      <c r="X363" s="11" t="inlineStr">
        <is>
          <t>-</t>
        </is>
      </c>
      <c r="Y363" s="11" t="inlineStr">
        <is>
          <t>-</t>
        </is>
      </c>
      <c r="Z363" s="11" t="n">
        <v>0</v>
      </c>
      <c r="AA363" s="11" t="inlineStr">
        <is>
          <t>垫到60抽</t>
        </is>
      </c>
      <c r="AB363" s="12">
        <f>AE362</f>
        <v/>
      </c>
      <c r="AC363" s="12" t="n">
        <v>0</v>
      </c>
      <c r="AD363" s="12" t="n">
        <v>0</v>
      </c>
      <c r="AE363" s="12">
        <f>AB363+AC363+AD363</f>
        <v/>
      </c>
      <c r="AF363" s="13">
        <f>AI362</f>
        <v/>
      </c>
      <c r="AG363" s="13" t="n">
        <v>0</v>
      </c>
      <c r="AH363" s="13" t="n">
        <v>0</v>
      </c>
      <c r="AI363" s="13">
        <f>AF363+AG363+AH363</f>
        <v/>
      </c>
      <c r="AJ363" s="14" t="n">
        <v>30</v>
      </c>
      <c r="AK363" s="14" t="n">
        <v>0</v>
      </c>
      <c r="AL363" s="14" t="n">
        <v>0</v>
      </c>
      <c r="AM363" s="14">
        <f>AJ363+AK363+AL363</f>
        <v/>
      </c>
      <c r="AN363" s="14">
        <f>AN362+AM363</f>
        <v/>
      </c>
    </row>
    <row r="364">
      <c r="A364" s="8" t="n">
        <v>14</v>
      </c>
      <c r="B364" s="8" t="n">
        <v>13</v>
      </c>
      <c r="C364" s="8" t="n">
        <v>1</v>
      </c>
      <c r="D364" s="8" t="inlineStr">
        <is>
          <t>版本免费+义相逢 + 月卡收益</t>
        </is>
      </c>
      <c r="E364" s="9">
        <f>K363</f>
        <v/>
      </c>
      <c r="F364" s="9" t="n">
        <v>1540</v>
      </c>
      <c r="G364" s="9" t="n">
        <v>4800</v>
      </c>
      <c r="H364" s="9" t="n">
        <v>0</v>
      </c>
      <c r="I364" s="9" t="n">
        <v>0</v>
      </c>
      <c r="J364" s="9" t="n">
        <v>0</v>
      </c>
      <c r="K364" s="9">
        <f>E364+F364+G364+H364+I364-J364</f>
        <v/>
      </c>
      <c r="L364" s="10">
        <f>Q363</f>
        <v/>
      </c>
      <c r="M364" s="10" t="n">
        <v>85</v>
      </c>
      <c r="N364" s="10" t="n">
        <v>11</v>
      </c>
      <c r="O364" s="10">
        <f>J364/160</f>
        <v/>
      </c>
      <c r="P364" s="10" t="n">
        <v>90</v>
      </c>
      <c r="Q364" s="10">
        <f>L364+M364+N364+O364-P364</f>
        <v/>
      </c>
      <c r="R364" s="11">
        <f>T363</f>
        <v/>
      </c>
      <c r="S364" s="11">
        <f>N(V364) + N(X364) + N(Z364)</f>
        <v/>
      </c>
      <c r="T364" s="11">
        <f>R364+P364-S364</f>
        <v/>
      </c>
      <c r="U364" s="11" t="inlineStr">
        <is>
          <t>是</t>
        </is>
      </c>
      <c r="V364" s="11" t="n">
        <v>47</v>
      </c>
      <c r="W364" s="11" t="inlineStr">
        <is>
          <t>是</t>
        </is>
      </c>
      <c r="X364" s="11" t="n">
        <v>52</v>
      </c>
      <c r="Y364" s="11" t="inlineStr">
        <is>
          <t>-</t>
        </is>
      </c>
      <c r="Z364" s="11" t="n">
        <v>0</v>
      </c>
      <c r="AA364" s="11" t="inlineStr">
        <is>
          <t>无</t>
        </is>
      </c>
      <c r="AB364" s="12">
        <f>AE363</f>
        <v/>
      </c>
      <c r="AC364" s="12" t="n">
        <v>4</v>
      </c>
      <c r="AD364" s="12" t="n">
        <v>0</v>
      </c>
      <c r="AE364" s="12">
        <f>AB364+AC364+AD364</f>
        <v/>
      </c>
      <c r="AF364" s="13">
        <f>AI363</f>
        <v/>
      </c>
      <c r="AG364" s="13" t="n">
        <v>0</v>
      </c>
      <c r="AH364" s="13" t="n">
        <v>0</v>
      </c>
      <c r="AI364" s="13">
        <f>AF364+AG364+AH364</f>
        <v/>
      </c>
      <c r="AJ364" s="14" t="n">
        <v>0</v>
      </c>
      <c r="AK364" s="14" t="n">
        <v>50</v>
      </c>
      <c r="AL364" s="14" t="n">
        <v>0</v>
      </c>
      <c r="AM364" s="14">
        <f>AJ364+AK364+AL364</f>
        <v/>
      </c>
      <c r="AN364" s="14">
        <f>AN363+AM364</f>
        <v/>
      </c>
    </row>
    <row r="365">
      <c r="A365" s="8" t="n">
        <v>14</v>
      </c>
      <c r="B365" s="8" t="n">
        <v>13</v>
      </c>
      <c r="C365" s="8" t="n">
        <v>2</v>
      </c>
      <c r="D365" s="8" t="inlineStr">
        <is>
          <t>月卡收益 [月卡续费-30元]</t>
        </is>
      </c>
      <c r="E365" s="9">
        <f>K364</f>
        <v/>
      </c>
      <c r="F365" s="9" t="n">
        <v>1540</v>
      </c>
      <c r="G365" s="9" t="n">
        <v>0</v>
      </c>
      <c r="H365" s="9" t="n">
        <v>0</v>
      </c>
      <c r="I365" s="9" t="n">
        <v>0</v>
      </c>
      <c r="J365" s="9" t="n">
        <v>12800</v>
      </c>
      <c r="K365" s="9">
        <f>E365+F365+G365+H365+I365-J365</f>
        <v/>
      </c>
      <c r="L365" s="10">
        <f>Q364</f>
        <v/>
      </c>
      <c r="M365" s="10" t="n">
        <v>0</v>
      </c>
      <c r="N365" s="10" t="n">
        <v>11</v>
      </c>
      <c r="O365" s="10">
        <f>J365/160</f>
        <v/>
      </c>
      <c r="P365" s="10" t="n">
        <v>100</v>
      </c>
      <c r="Q365" s="10">
        <f>L365+M365+N365+O365-P365</f>
        <v/>
      </c>
      <c r="R365" s="11">
        <f>T364</f>
        <v/>
      </c>
      <c r="S365" s="11">
        <f>N(V365) + N(X365) + N(Z365)</f>
        <v/>
      </c>
      <c r="T365" s="11">
        <f>R365+P365-S365</f>
        <v/>
      </c>
      <c r="U365" s="11" t="inlineStr">
        <is>
          <t>是</t>
        </is>
      </c>
      <c r="V365" s="11" t="n">
        <v>50</v>
      </c>
      <c r="W365" s="11" t="inlineStr">
        <is>
          <t>是</t>
        </is>
      </c>
      <c r="X365" s="11" t="n">
        <v>50</v>
      </c>
      <c r="Y365" s="11" t="inlineStr">
        <is>
          <t>-</t>
        </is>
      </c>
      <c r="Z365" s="11" t="n">
        <v>0</v>
      </c>
      <c r="AA365" s="11" t="inlineStr">
        <is>
          <t>无</t>
        </is>
      </c>
      <c r="AB365" s="12">
        <f>AE364</f>
        <v/>
      </c>
      <c r="AC365" s="12" t="n">
        <v>0</v>
      </c>
      <c r="AD365" s="12" t="n">
        <v>0</v>
      </c>
      <c r="AE365" s="12">
        <f>AB365+AC365+AD365</f>
        <v/>
      </c>
      <c r="AF365" s="13">
        <f>AI364</f>
        <v/>
      </c>
      <c r="AG365" s="13" t="n">
        <v>0</v>
      </c>
      <c r="AH365" s="13" t="n">
        <v>0</v>
      </c>
      <c r="AI365" s="13">
        <f>AF365+AG365+AH365</f>
        <v/>
      </c>
      <c r="AJ365" s="14" t="n">
        <v>30</v>
      </c>
      <c r="AK365" s="14" t="n">
        <v>0</v>
      </c>
      <c r="AL365" s="14" t="n">
        <v>0</v>
      </c>
      <c r="AM365" s="14">
        <f>AJ365+AK365+AL365</f>
        <v/>
      </c>
      <c r="AN365" s="14">
        <f>AN364+AM365</f>
        <v/>
      </c>
    </row>
    <row r="366">
      <c r="A366" s="8" t="n">
        <v>15</v>
      </c>
      <c r="B366" s="8" t="n">
        <v>1</v>
      </c>
      <c r="C366" s="8" t="n">
        <v>1</v>
      </c>
      <c r="D366" s="8" t="inlineStr">
        <is>
          <t>版本免费+义相逢 + 月卡收益</t>
        </is>
      </c>
      <c r="E366" s="9" t="n">
        <v>2960</v>
      </c>
      <c r="F366" s="9" t="n">
        <v>1540</v>
      </c>
      <c r="G366" s="9" t="n">
        <v>4800</v>
      </c>
      <c r="H366" s="9" t="n">
        <v>0</v>
      </c>
      <c r="I366" s="9" t="n">
        <v>0</v>
      </c>
      <c r="J366" s="9" t="n">
        <v>640</v>
      </c>
      <c r="K366" s="9">
        <f>E366+F366+G366+H366+I366-J366</f>
        <v/>
      </c>
      <c r="L366" s="10" t="n">
        <v>0</v>
      </c>
      <c r="M366" s="10" t="n">
        <v>85</v>
      </c>
      <c r="N366" s="10" t="n">
        <v>11</v>
      </c>
      <c r="O366" s="10">
        <f>J366/160</f>
        <v/>
      </c>
      <c r="P366" s="10" t="n">
        <v>100</v>
      </c>
      <c r="Q366" s="10">
        <f>L366+M366+N366+O366-P366</f>
        <v/>
      </c>
      <c r="R366" s="11" t="n">
        <v>7</v>
      </c>
      <c r="S366" s="11">
        <f>N(V366) + N(X366) + N(Z366)</f>
        <v/>
      </c>
      <c r="T366" s="11">
        <f>R366+P366-S366</f>
        <v/>
      </c>
      <c r="U366" s="11" t="inlineStr">
        <is>
          <t>是</t>
        </is>
      </c>
      <c r="V366" s="11" t="n">
        <v>51</v>
      </c>
      <c r="W366" s="11" t="inlineStr">
        <is>
          <t>是</t>
        </is>
      </c>
      <c r="X366" s="11" t="n">
        <v>53</v>
      </c>
      <c r="Y366" s="11" t="inlineStr">
        <is>
          <t>-</t>
        </is>
      </c>
      <c r="Z366" s="11" t="n">
        <v>0</v>
      </c>
      <c r="AA366" s="11" t="inlineStr">
        <is>
          <t>无</t>
        </is>
      </c>
      <c r="AB366" s="12" t="n">
        <v>749</v>
      </c>
      <c r="AC366" s="12" t="n">
        <v>4</v>
      </c>
      <c r="AD366" s="12" t="n">
        <v>0</v>
      </c>
      <c r="AE366" s="12">
        <f>AB366+AC366+AD366</f>
        <v/>
      </c>
      <c r="AF366" s="13" t="n">
        <v>105000</v>
      </c>
      <c r="AG366" s="13" t="n">
        <v>0</v>
      </c>
      <c r="AH366" s="13" t="n">
        <v>0</v>
      </c>
      <c r="AI366" s="13">
        <f>AF366+AG366+AH366</f>
        <v/>
      </c>
      <c r="AJ366" s="14" t="n">
        <v>0</v>
      </c>
      <c r="AK366" s="14" t="n">
        <v>50</v>
      </c>
      <c r="AL366" s="14" t="n">
        <v>0</v>
      </c>
      <c r="AM366" s="14">
        <f>AJ366+AK366+AL366</f>
        <v/>
      </c>
      <c r="AN366" s="14">
        <f>AM366</f>
        <v/>
      </c>
    </row>
    <row r="367">
      <c r="A367" s="8" t="n">
        <v>15</v>
      </c>
      <c r="B367" s="8" t="n">
        <v>1</v>
      </c>
      <c r="C367" s="8" t="n">
        <v>2</v>
      </c>
      <c r="D367" s="8" t="inlineStr">
        <is>
          <t>月卡收益 [月卡续费-30元]</t>
        </is>
      </c>
      <c r="E367" s="9">
        <f>K366</f>
        <v/>
      </c>
      <c r="F367" s="9" t="n">
        <v>1540</v>
      </c>
      <c r="G367" s="9" t="n">
        <v>0</v>
      </c>
      <c r="H367" s="9" t="n">
        <v>0</v>
      </c>
      <c r="I367" s="9" t="n">
        <v>0</v>
      </c>
      <c r="J367" s="9" t="n">
        <v>9120</v>
      </c>
      <c r="K367" s="9">
        <f>E367+F367+G367+H367+I367-J367</f>
        <v/>
      </c>
      <c r="L367" s="10">
        <f>Q366</f>
        <v/>
      </c>
      <c r="M367" s="10" t="n">
        <v>0</v>
      </c>
      <c r="N367" s="10" t="n">
        <v>6</v>
      </c>
      <c r="O367" s="10">
        <f>J367/160</f>
        <v/>
      </c>
      <c r="P367" s="10" t="n">
        <v>60</v>
      </c>
      <c r="Q367" s="10">
        <f>L367+M367+N367+O367-P367</f>
        <v/>
      </c>
      <c r="R367" s="11">
        <f>T366</f>
        <v/>
      </c>
      <c r="S367" s="11">
        <f>N(V367) + N(X367) + N(Z367)</f>
        <v/>
      </c>
      <c r="T367" s="11">
        <f>R367+P367-S367</f>
        <v/>
      </c>
      <c r="U367" s="11" t="inlineStr">
        <is>
          <t>否</t>
        </is>
      </c>
      <c r="V367" s="11" t="inlineStr">
        <is>
          <t>-</t>
        </is>
      </c>
      <c r="W367" s="11" t="inlineStr">
        <is>
          <t>是</t>
        </is>
      </c>
      <c r="X367" s="11" t="n">
        <v>52</v>
      </c>
      <c r="Y367" s="11" t="inlineStr">
        <is>
          <t>-</t>
        </is>
      </c>
      <c r="Z367" s="11" t="n">
        <v>0</v>
      </c>
      <c r="AA367" s="11" t="inlineStr">
        <is>
          <t>无</t>
        </is>
      </c>
      <c r="AB367" s="12">
        <f>AE366</f>
        <v/>
      </c>
      <c r="AC367" s="12" t="n">
        <v>0</v>
      </c>
      <c r="AD367" s="12" t="n">
        <v>0</v>
      </c>
      <c r="AE367" s="12">
        <f>AB367+AC367+AD367</f>
        <v/>
      </c>
      <c r="AF367" s="13">
        <f>AI366</f>
        <v/>
      </c>
      <c r="AG367" s="13" t="n">
        <v>0</v>
      </c>
      <c r="AH367" s="13" t="n">
        <v>0</v>
      </c>
      <c r="AI367" s="13">
        <f>AF367+AG367+AH367</f>
        <v/>
      </c>
      <c r="AJ367" s="14" t="n">
        <v>30</v>
      </c>
      <c r="AK367" s="14" t="n">
        <v>0</v>
      </c>
      <c r="AL367" s="14" t="n">
        <v>0</v>
      </c>
      <c r="AM367" s="14">
        <f>AJ367+AK367+AL367</f>
        <v/>
      </c>
      <c r="AN367" s="14">
        <f>AN366+AM367</f>
        <v/>
      </c>
    </row>
    <row r="368">
      <c r="A368" s="8" t="n">
        <v>15</v>
      </c>
      <c r="B368" s="8" t="n">
        <v>2</v>
      </c>
      <c r="C368" s="8" t="n">
        <v>1</v>
      </c>
      <c r="D368" s="8" t="inlineStr">
        <is>
          <t>版本免费+义相逢 + 月卡收益</t>
        </is>
      </c>
      <c r="E368" s="9">
        <f>K367</f>
        <v/>
      </c>
      <c r="F368" s="9" t="n">
        <v>1540</v>
      </c>
      <c r="G368" s="9" t="n">
        <v>4800</v>
      </c>
      <c r="H368" s="9" t="n">
        <v>0</v>
      </c>
      <c r="I368" s="9" t="n">
        <v>0</v>
      </c>
      <c r="J368" s="9" t="n">
        <v>0</v>
      </c>
      <c r="K368" s="9">
        <f>E368+F368+G368+H368+I368-J368</f>
        <v/>
      </c>
      <c r="L368" s="10">
        <f>Q367</f>
        <v/>
      </c>
      <c r="M368" s="10" t="n">
        <v>85</v>
      </c>
      <c r="N368" s="10" t="n">
        <v>3</v>
      </c>
      <c r="O368" s="10">
        <f>J368/160</f>
        <v/>
      </c>
      <c r="P368" s="10" t="n">
        <v>40</v>
      </c>
      <c r="Q368" s="10">
        <f>L368+M368+N368+O368-P368</f>
        <v/>
      </c>
      <c r="R368" s="11">
        <f>T367</f>
        <v/>
      </c>
      <c r="S368" s="11">
        <f>N(V368) + N(X368) + N(Z368)</f>
        <v/>
      </c>
      <c r="T368" s="11">
        <f>R368+P368-S368</f>
        <v/>
      </c>
      <c r="U368" s="11" t="inlineStr">
        <is>
          <t>是</t>
        </is>
      </c>
      <c r="V368" s="11" t="n">
        <v>50</v>
      </c>
      <c r="W368" s="11" t="inlineStr">
        <is>
          <t>否</t>
        </is>
      </c>
      <c r="X368" s="11" t="inlineStr">
        <is>
          <t>-</t>
        </is>
      </c>
      <c r="Y368" s="11" t="inlineStr">
        <is>
          <t>-</t>
        </is>
      </c>
      <c r="Z368" s="11" t="n">
        <v>0</v>
      </c>
      <c r="AA368" s="11" t="inlineStr">
        <is>
          <t>无</t>
        </is>
      </c>
      <c r="AB368" s="12">
        <f>AE367</f>
        <v/>
      </c>
      <c r="AC368" s="12" t="n">
        <v>4</v>
      </c>
      <c r="AD368" s="12" t="n">
        <v>0</v>
      </c>
      <c r="AE368" s="12">
        <f>AB368+AC368+AD368</f>
        <v/>
      </c>
      <c r="AF368" s="13">
        <f>AI367</f>
        <v/>
      </c>
      <c r="AG368" s="13" t="n">
        <v>0</v>
      </c>
      <c r="AH368" s="13" t="n">
        <v>0</v>
      </c>
      <c r="AI368" s="13">
        <f>AF368+AG368+AH368</f>
        <v/>
      </c>
      <c r="AJ368" s="14" t="n">
        <v>0</v>
      </c>
      <c r="AK368" s="14" t="n">
        <v>50</v>
      </c>
      <c r="AL368" s="14" t="n">
        <v>0</v>
      </c>
      <c r="AM368" s="14">
        <f>AJ368+AK368+AL368</f>
        <v/>
      </c>
      <c r="AN368" s="14">
        <f>AN367+AM368</f>
        <v/>
      </c>
    </row>
    <row r="369">
      <c r="A369" s="8" t="n">
        <v>15</v>
      </c>
      <c r="B369" s="8" t="n">
        <v>2</v>
      </c>
      <c r="C369" s="8" t="n">
        <v>2</v>
      </c>
      <c r="D369" s="8" t="inlineStr">
        <is>
          <t>月卡收益 [月卡续费-30元]</t>
        </is>
      </c>
      <c r="E369" s="9">
        <f>K368</f>
        <v/>
      </c>
      <c r="F369" s="9" t="n">
        <v>1540</v>
      </c>
      <c r="G369" s="9" t="n">
        <v>0</v>
      </c>
      <c r="H369" s="9" t="n">
        <v>0</v>
      </c>
      <c r="I369" s="9" t="n">
        <v>0</v>
      </c>
      <c r="J369" s="9" t="n">
        <v>6080</v>
      </c>
      <c r="K369" s="9">
        <f>E369+F369+G369+H369+I369-J369</f>
        <v/>
      </c>
      <c r="L369" s="10">
        <f>Q368</f>
        <v/>
      </c>
      <c r="M369" s="10" t="n">
        <v>0</v>
      </c>
      <c r="N369" s="10" t="n">
        <v>11</v>
      </c>
      <c r="O369" s="10">
        <f>J369/160</f>
        <v/>
      </c>
      <c r="P369" s="10" t="n">
        <v>100</v>
      </c>
      <c r="Q369" s="10">
        <f>L369+M369+N369+O369-P369</f>
        <v/>
      </c>
      <c r="R369" s="11">
        <f>T368</f>
        <v/>
      </c>
      <c r="S369" s="11">
        <f>N(V369) + N(X369) + N(Z369)</f>
        <v/>
      </c>
      <c r="T369" s="11">
        <f>R369+P369-S369</f>
        <v/>
      </c>
      <c r="U369" s="11" t="inlineStr">
        <is>
          <t>是</t>
        </is>
      </c>
      <c r="V369" s="11" t="n">
        <v>51</v>
      </c>
      <c r="W369" s="11" t="inlineStr">
        <is>
          <t>是</t>
        </is>
      </c>
      <c r="X369" s="11" t="n">
        <v>49</v>
      </c>
      <c r="Y369" s="11" t="inlineStr">
        <is>
          <t>-</t>
        </is>
      </c>
      <c r="Z369" s="11" t="n">
        <v>0</v>
      </c>
      <c r="AA369" s="11" t="inlineStr">
        <is>
          <t>无</t>
        </is>
      </c>
      <c r="AB369" s="12">
        <f>AE368</f>
        <v/>
      </c>
      <c r="AC369" s="12" t="n">
        <v>0</v>
      </c>
      <c r="AD369" s="12" t="n">
        <v>0</v>
      </c>
      <c r="AE369" s="12">
        <f>AB369+AC369+AD369</f>
        <v/>
      </c>
      <c r="AF369" s="13">
        <f>AI368</f>
        <v/>
      </c>
      <c r="AG369" s="13" t="n">
        <v>0</v>
      </c>
      <c r="AH369" s="13" t="n">
        <v>0</v>
      </c>
      <c r="AI369" s="13">
        <f>AF369+AG369+AH369</f>
        <v/>
      </c>
      <c r="AJ369" s="14" t="n">
        <v>30</v>
      </c>
      <c r="AK369" s="14" t="n">
        <v>0</v>
      </c>
      <c r="AL369" s="14" t="n">
        <v>0</v>
      </c>
      <c r="AM369" s="14">
        <f>AJ369+AK369+AL369</f>
        <v/>
      </c>
      <c r="AN369" s="14">
        <f>AN368+AM369</f>
        <v/>
      </c>
    </row>
    <row r="370">
      <c r="A370" s="8" t="n">
        <v>15</v>
      </c>
      <c r="B370" s="8" t="n">
        <v>3</v>
      </c>
      <c r="C370" s="8" t="n">
        <v>1</v>
      </c>
      <c r="D370" s="8" t="inlineStr">
        <is>
          <t>版本免费+义相逢 + 月卡收益</t>
        </is>
      </c>
      <c r="E370" s="9">
        <f>K369</f>
        <v/>
      </c>
      <c r="F370" s="9" t="n">
        <v>1540</v>
      </c>
      <c r="G370" s="9" t="n">
        <v>4800</v>
      </c>
      <c r="H370" s="9" t="n">
        <v>0</v>
      </c>
      <c r="I370" s="9" t="n">
        <v>0</v>
      </c>
      <c r="J370" s="9" t="n">
        <v>2240</v>
      </c>
      <c r="K370" s="9">
        <f>E370+F370+G370+H370+I370-J370</f>
        <v/>
      </c>
      <c r="L370" s="10">
        <f>Q369</f>
        <v/>
      </c>
      <c r="M370" s="10" t="n">
        <v>85</v>
      </c>
      <c r="N370" s="10" t="n">
        <v>11</v>
      </c>
      <c r="O370" s="10">
        <f>J370/160</f>
        <v/>
      </c>
      <c r="P370" s="10" t="n">
        <v>110</v>
      </c>
      <c r="Q370" s="10">
        <f>L370+M370+N370+O370-P370</f>
        <v/>
      </c>
      <c r="R370" s="11">
        <f>T369</f>
        <v/>
      </c>
      <c r="S370" s="11">
        <f>N(V370) + N(X370) + N(Z370)</f>
        <v/>
      </c>
      <c r="T370" s="11">
        <f>R370+P370-S370</f>
        <v/>
      </c>
      <c r="U370" s="11" t="inlineStr">
        <is>
          <t>是</t>
        </is>
      </c>
      <c r="V370" s="11" t="n">
        <v>48</v>
      </c>
      <c r="W370" s="11" t="inlineStr">
        <is>
          <t>是</t>
        </is>
      </c>
      <c r="X370" s="11" t="n">
        <v>54</v>
      </c>
      <c r="Y370" s="11" t="inlineStr">
        <is>
          <t>-</t>
        </is>
      </c>
      <c r="Z370" s="11" t="n">
        <v>0</v>
      </c>
      <c r="AA370" s="11" t="inlineStr">
        <is>
          <t>无</t>
        </is>
      </c>
      <c r="AB370" s="12">
        <f>AE369</f>
        <v/>
      </c>
      <c r="AC370" s="12" t="n">
        <v>4</v>
      </c>
      <c r="AD370" s="12" t="n">
        <v>0</v>
      </c>
      <c r="AE370" s="12">
        <f>AB370+AC370+AD370</f>
        <v/>
      </c>
      <c r="AF370" s="13">
        <f>AI369</f>
        <v/>
      </c>
      <c r="AG370" s="13" t="n">
        <v>0</v>
      </c>
      <c r="AH370" s="13" t="n">
        <v>0</v>
      </c>
      <c r="AI370" s="13">
        <f>AF370+AG370+AH370</f>
        <v/>
      </c>
      <c r="AJ370" s="14" t="n">
        <v>0</v>
      </c>
      <c r="AK370" s="14" t="n">
        <v>50</v>
      </c>
      <c r="AL370" s="14" t="n">
        <v>0</v>
      </c>
      <c r="AM370" s="14">
        <f>AJ370+AK370+AL370</f>
        <v/>
      </c>
      <c r="AN370" s="14">
        <f>AN369+AM370</f>
        <v/>
      </c>
    </row>
    <row r="371">
      <c r="A371" s="8" t="n">
        <v>15</v>
      </c>
      <c r="B371" s="8" t="n">
        <v>3</v>
      </c>
      <c r="C371" s="8" t="n">
        <v>2</v>
      </c>
      <c r="D371" s="8" t="inlineStr">
        <is>
          <t>月卡收益 [月卡续费-30元]</t>
        </is>
      </c>
      <c r="E371" s="9">
        <f>K370</f>
        <v/>
      </c>
      <c r="F371" s="9" t="n">
        <v>1540</v>
      </c>
      <c r="G371" s="9" t="n">
        <v>0</v>
      </c>
      <c r="H371" s="9" t="n">
        <v>0</v>
      </c>
      <c r="I371" s="9" t="n">
        <v>0</v>
      </c>
      <c r="J371" s="9" t="n">
        <v>7520</v>
      </c>
      <c r="K371" s="9">
        <f>E371+F371+G371+H371+I371-J371</f>
        <v/>
      </c>
      <c r="L371" s="10">
        <f>Q370</f>
        <v/>
      </c>
      <c r="M371" s="10" t="n">
        <v>0</v>
      </c>
      <c r="N371" s="10" t="n">
        <v>3</v>
      </c>
      <c r="O371" s="10">
        <f>J371/160</f>
        <v/>
      </c>
      <c r="P371" s="10" t="n">
        <v>50</v>
      </c>
      <c r="Q371" s="10">
        <f>L371+M371+N371+O371-P371</f>
        <v/>
      </c>
      <c r="R371" s="11">
        <f>T370</f>
        <v/>
      </c>
      <c r="S371" s="11">
        <f>N(V371) + N(X371) + N(Z371)</f>
        <v/>
      </c>
      <c r="T371" s="11">
        <f>R371+P371-S371</f>
        <v/>
      </c>
      <c r="U371" s="11" t="inlineStr">
        <is>
          <t>是</t>
        </is>
      </c>
      <c r="V371" s="11" t="n">
        <v>50</v>
      </c>
      <c r="W371" s="11" t="inlineStr">
        <is>
          <t>否</t>
        </is>
      </c>
      <c r="X371" s="11" t="inlineStr">
        <is>
          <t>-</t>
        </is>
      </c>
      <c r="Y371" s="11" t="inlineStr">
        <is>
          <t>-</t>
        </is>
      </c>
      <c r="Z371" s="11" t="n">
        <v>0</v>
      </c>
      <c r="AA371" s="11" t="inlineStr">
        <is>
          <t>垫到60抽</t>
        </is>
      </c>
      <c r="AB371" s="12">
        <f>AE370</f>
        <v/>
      </c>
      <c r="AC371" s="12" t="n">
        <v>0</v>
      </c>
      <c r="AD371" s="12" t="n">
        <v>0</v>
      </c>
      <c r="AE371" s="12">
        <f>AB371+AC371+AD371</f>
        <v/>
      </c>
      <c r="AF371" s="13">
        <f>AI370</f>
        <v/>
      </c>
      <c r="AG371" s="13" t="n">
        <v>0</v>
      </c>
      <c r="AH371" s="13" t="n">
        <v>0</v>
      </c>
      <c r="AI371" s="13">
        <f>AF371+AG371+AH371</f>
        <v/>
      </c>
      <c r="AJ371" s="14" t="n">
        <v>30</v>
      </c>
      <c r="AK371" s="14" t="n">
        <v>0</v>
      </c>
      <c r="AL371" s="14" t="n">
        <v>0</v>
      </c>
      <c r="AM371" s="14">
        <f>AJ371+AK371+AL371</f>
        <v/>
      </c>
      <c r="AN371" s="14">
        <f>AN370+AM371</f>
        <v/>
      </c>
    </row>
    <row r="372">
      <c r="A372" s="8" t="n">
        <v>15</v>
      </c>
      <c r="B372" s="8" t="n">
        <v>4</v>
      </c>
      <c r="C372" s="8" t="n">
        <v>1</v>
      </c>
      <c r="D372" s="8" t="inlineStr">
        <is>
          <t>版本免费+义相逢 + 月卡收益</t>
        </is>
      </c>
      <c r="E372" s="9">
        <f>K371</f>
        <v/>
      </c>
      <c r="F372" s="9" t="n">
        <v>1540</v>
      </c>
      <c r="G372" s="9" t="n">
        <v>4800</v>
      </c>
      <c r="H372" s="9" t="n">
        <v>0</v>
      </c>
      <c r="I372" s="9" t="n">
        <v>0</v>
      </c>
      <c r="J372" s="9" t="n">
        <v>0</v>
      </c>
      <c r="K372" s="9">
        <f>E372+F372+G372+H372+I372-J372</f>
        <v/>
      </c>
      <c r="L372" s="10">
        <f>Q371</f>
        <v/>
      </c>
      <c r="M372" s="10" t="n">
        <v>85</v>
      </c>
      <c r="N372" s="10" t="n">
        <v>3</v>
      </c>
      <c r="O372" s="10">
        <f>J372/160</f>
        <v/>
      </c>
      <c r="P372" s="10" t="n">
        <v>40</v>
      </c>
      <c r="Q372" s="10">
        <f>L372+M372+N372+O372-P372</f>
        <v/>
      </c>
      <c r="R372" s="11">
        <f>T371</f>
        <v/>
      </c>
      <c r="S372" s="11">
        <f>N(V372) + N(X372) + N(Z372)</f>
        <v/>
      </c>
      <c r="T372" s="11">
        <f>R372+P372-S372</f>
        <v/>
      </c>
      <c r="U372" s="11" t="inlineStr">
        <is>
          <t>是</t>
        </is>
      </c>
      <c r="V372" s="11" t="n">
        <v>48</v>
      </c>
      <c r="W372" s="11" t="inlineStr">
        <is>
          <t>否</t>
        </is>
      </c>
      <c r="X372" s="11" t="inlineStr">
        <is>
          <t>-</t>
        </is>
      </c>
      <c r="Y372" s="11" t="inlineStr">
        <is>
          <t>-</t>
        </is>
      </c>
      <c r="Z372" s="11" t="n">
        <v>0</v>
      </c>
      <c r="AA372" s="11" t="inlineStr">
        <is>
          <t>无</t>
        </is>
      </c>
      <c r="AB372" s="12">
        <f>AE371</f>
        <v/>
      </c>
      <c r="AC372" s="12" t="n">
        <v>4</v>
      </c>
      <c r="AD372" s="12" t="n">
        <v>0</v>
      </c>
      <c r="AE372" s="12">
        <f>AB372+AC372+AD372</f>
        <v/>
      </c>
      <c r="AF372" s="13">
        <f>AI371</f>
        <v/>
      </c>
      <c r="AG372" s="13" t="n">
        <v>0</v>
      </c>
      <c r="AH372" s="13" t="n">
        <v>0</v>
      </c>
      <c r="AI372" s="13">
        <f>AF372+AG372+AH372</f>
        <v/>
      </c>
      <c r="AJ372" s="14" t="n">
        <v>0</v>
      </c>
      <c r="AK372" s="14" t="n">
        <v>50</v>
      </c>
      <c r="AL372" s="14" t="n">
        <v>0</v>
      </c>
      <c r="AM372" s="14">
        <f>AJ372+AK372+AL372</f>
        <v/>
      </c>
      <c r="AN372" s="14">
        <f>AN371+AM372</f>
        <v/>
      </c>
    </row>
    <row r="373">
      <c r="A373" s="8" t="n">
        <v>15</v>
      </c>
      <c r="B373" s="8" t="n">
        <v>4</v>
      </c>
      <c r="C373" s="8" t="n">
        <v>2</v>
      </c>
      <c r="D373" s="8" t="inlineStr">
        <is>
          <t>月卡收益 [月卡续费-30元]</t>
        </is>
      </c>
      <c r="E373" s="9">
        <f>K372</f>
        <v/>
      </c>
      <c r="F373" s="9" t="n">
        <v>1540</v>
      </c>
      <c r="G373" s="9" t="n">
        <v>0</v>
      </c>
      <c r="H373" s="9" t="n">
        <v>0</v>
      </c>
      <c r="I373" s="9" t="n">
        <v>0</v>
      </c>
      <c r="J373" s="9" t="n">
        <v>6560</v>
      </c>
      <c r="K373" s="9">
        <f>E373+F373+G373+H373+I373-J373</f>
        <v/>
      </c>
      <c r="L373" s="10">
        <f>Q372</f>
        <v/>
      </c>
      <c r="M373" s="10" t="n">
        <v>0</v>
      </c>
      <c r="N373" s="10" t="n">
        <v>11</v>
      </c>
      <c r="O373" s="10">
        <f>J373/160</f>
        <v/>
      </c>
      <c r="P373" s="10" t="n">
        <v>100</v>
      </c>
      <c r="Q373" s="10">
        <f>L373+M373+N373+O373-P373</f>
        <v/>
      </c>
      <c r="R373" s="11">
        <f>T372</f>
        <v/>
      </c>
      <c r="S373" s="11">
        <f>N(V373) + N(X373) + N(Z373)</f>
        <v/>
      </c>
      <c r="T373" s="11">
        <f>R373+P373-S373</f>
        <v/>
      </c>
      <c r="U373" s="11" t="inlineStr">
        <is>
          <t>是</t>
        </is>
      </c>
      <c r="V373" s="11" t="n">
        <v>47</v>
      </c>
      <c r="W373" s="11" t="inlineStr">
        <is>
          <t>是</t>
        </is>
      </c>
      <c r="X373" s="11" t="n">
        <v>50</v>
      </c>
      <c r="Y373" s="11" t="inlineStr">
        <is>
          <t>-</t>
        </is>
      </c>
      <c r="Z373" s="11" t="n">
        <v>0</v>
      </c>
      <c r="AA373" s="11" t="inlineStr">
        <is>
          <t>无</t>
        </is>
      </c>
      <c r="AB373" s="12">
        <f>AE372</f>
        <v/>
      </c>
      <c r="AC373" s="12" t="n">
        <v>0</v>
      </c>
      <c r="AD373" s="12" t="n">
        <v>0</v>
      </c>
      <c r="AE373" s="12">
        <f>AB373+AC373+AD373</f>
        <v/>
      </c>
      <c r="AF373" s="13">
        <f>AI372</f>
        <v/>
      </c>
      <c r="AG373" s="13" t="n">
        <v>0</v>
      </c>
      <c r="AH373" s="13" t="n">
        <v>0</v>
      </c>
      <c r="AI373" s="13">
        <f>AF373+AG373+AH373</f>
        <v/>
      </c>
      <c r="AJ373" s="14" t="n">
        <v>30</v>
      </c>
      <c r="AK373" s="14" t="n">
        <v>0</v>
      </c>
      <c r="AL373" s="14" t="n">
        <v>0</v>
      </c>
      <c r="AM373" s="14">
        <f>AJ373+AK373+AL373</f>
        <v/>
      </c>
      <c r="AN373" s="14">
        <f>AN372+AM373</f>
        <v/>
      </c>
    </row>
    <row r="374">
      <c r="A374" s="8" t="n">
        <v>15</v>
      </c>
      <c r="B374" s="8" t="n">
        <v>5</v>
      </c>
      <c r="C374" s="8" t="n">
        <v>1</v>
      </c>
      <c r="D374" s="8" t="inlineStr">
        <is>
          <t>版本免费+义相逢 + 月卡收益</t>
        </is>
      </c>
      <c r="E374" s="9">
        <f>K373</f>
        <v/>
      </c>
      <c r="F374" s="9" t="n">
        <v>1540</v>
      </c>
      <c r="G374" s="9" t="n">
        <v>4800</v>
      </c>
      <c r="H374" s="9" t="n">
        <v>0</v>
      </c>
      <c r="I374" s="9" t="n">
        <v>0</v>
      </c>
      <c r="J374" s="9" t="n">
        <v>0</v>
      </c>
      <c r="K374" s="9">
        <f>E374+F374+G374+H374+I374-J374</f>
        <v/>
      </c>
      <c r="L374" s="10">
        <f>Q373</f>
        <v/>
      </c>
      <c r="M374" s="10" t="n">
        <v>85</v>
      </c>
      <c r="N374" s="10" t="n">
        <v>11</v>
      </c>
      <c r="O374" s="10">
        <f>J374/160</f>
        <v/>
      </c>
      <c r="P374" s="10" t="n">
        <v>90</v>
      </c>
      <c r="Q374" s="10">
        <f>L374+M374+N374+O374-P374</f>
        <v/>
      </c>
      <c r="R374" s="11">
        <f>T373</f>
        <v/>
      </c>
      <c r="S374" s="11">
        <f>N(V374) + N(X374) + N(Z374)</f>
        <v/>
      </c>
      <c r="T374" s="11">
        <f>R374+P374-S374</f>
        <v/>
      </c>
      <c r="U374" s="11" t="inlineStr">
        <is>
          <t>是</t>
        </is>
      </c>
      <c r="V374" s="11" t="n">
        <v>30</v>
      </c>
      <c r="W374" s="11" t="inlineStr">
        <is>
          <t>是</t>
        </is>
      </c>
      <c r="X374" s="11" t="n">
        <v>48</v>
      </c>
      <c r="Y374" s="11" t="inlineStr">
        <is>
          <t>-</t>
        </is>
      </c>
      <c r="Z374" s="11" t="n">
        <v>0</v>
      </c>
      <c r="AA374" s="11" t="inlineStr">
        <is>
          <t>垫到90抽</t>
        </is>
      </c>
      <c r="AB374" s="12">
        <f>AE373</f>
        <v/>
      </c>
      <c r="AC374" s="12" t="n">
        <v>4</v>
      </c>
      <c r="AD374" s="12" t="n">
        <v>0</v>
      </c>
      <c r="AE374" s="12">
        <f>AB374+AC374+AD374</f>
        <v/>
      </c>
      <c r="AF374" s="13">
        <f>AI373</f>
        <v/>
      </c>
      <c r="AG374" s="13" t="n">
        <v>0</v>
      </c>
      <c r="AH374" s="13" t="n">
        <v>0</v>
      </c>
      <c r="AI374" s="13">
        <f>AF374+AG374+AH374</f>
        <v/>
      </c>
      <c r="AJ374" s="14" t="n">
        <v>0</v>
      </c>
      <c r="AK374" s="14" t="n">
        <v>50</v>
      </c>
      <c r="AL374" s="14" t="n">
        <v>0</v>
      </c>
      <c r="AM374" s="14">
        <f>AJ374+AK374+AL374</f>
        <v/>
      </c>
      <c r="AN374" s="14">
        <f>AN373+AM374</f>
        <v/>
      </c>
    </row>
    <row r="375">
      <c r="A375" s="8" t="n">
        <v>15</v>
      </c>
      <c r="B375" s="8" t="n">
        <v>5</v>
      </c>
      <c r="C375" s="8" t="n">
        <v>2</v>
      </c>
      <c r="D375" s="8" t="inlineStr">
        <is>
          <t>月卡收益 [月卡续费-30元]</t>
        </is>
      </c>
      <c r="E375" s="9">
        <f>K374</f>
        <v/>
      </c>
      <c r="F375" s="9" t="n">
        <v>1540</v>
      </c>
      <c r="G375" s="9" t="n">
        <v>0</v>
      </c>
      <c r="H375" s="9" t="n">
        <v>0</v>
      </c>
      <c r="I375" s="9" t="n">
        <v>0</v>
      </c>
      <c r="J375" s="9" t="n">
        <v>9280</v>
      </c>
      <c r="K375" s="9">
        <f>E375+F375+G375+H375+I375-J375</f>
        <v/>
      </c>
      <c r="L375" s="10">
        <f>Q374</f>
        <v/>
      </c>
      <c r="M375" s="10" t="n">
        <v>0</v>
      </c>
      <c r="N375" s="10" t="n">
        <v>6</v>
      </c>
      <c r="O375" s="10">
        <f>J375/160</f>
        <v/>
      </c>
      <c r="P375" s="10" t="n">
        <v>70</v>
      </c>
      <c r="Q375" s="10">
        <f>L375+M375+N375+O375-P375</f>
        <v/>
      </c>
      <c r="R375" s="11">
        <f>T374</f>
        <v/>
      </c>
      <c r="S375" s="11">
        <f>N(V375) + N(X375) + N(Z375)</f>
        <v/>
      </c>
      <c r="T375" s="11">
        <f>R375+P375-S375</f>
        <v/>
      </c>
      <c r="U375" s="11" t="inlineStr">
        <is>
          <t>否</t>
        </is>
      </c>
      <c r="V375" s="11" t="inlineStr">
        <is>
          <t>-</t>
        </is>
      </c>
      <c r="W375" s="11" t="inlineStr">
        <is>
          <t>是</t>
        </is>
      </c>
      <c r="X375" s="11" t="n">
        <v>49</v>
      </c>
      <c r="Y375" s="11" t="inlineStr">
        <is>
          <t>-</t>
        </is>
      </c>
      <c r="Z375" s="11" t="n">
        <v>0</v>
      </c>
      <c r="AA375" s="11" t="inlineStr">
        <is>
          <t>无</t>
        </is>
      </c>
      <c r="AB375" s="12">
        <f>AE374</f>
        <v/>
      </c>
      <c r="AC375" s="12" t="n">
        <v>0</v>
      </c>
      <c r="AD375" s="12" t="n">
        <v>0</v>
      </c>
      <c r="AE375" s="12">
        <f>AB375+AC375+AD375</f>
        <v/>
      </c>
      <c r="AF375" s="13">
        <f>AI374</f>
        <v/>
      </c>
      <c r="AG375" s="13" t="n">
        <v>0</v>
      </c>
      <c r="AH375" s="13" t="n">
        <v>0</v>
      </c>
      <c r="AI375" s="13">
        <f>AF375+AG375+AH375</f>
        <v/>
      </c>
      <c r="AJ375" s="14" t="n">
        <v>30</v>
      </c>
      <c r="AK375" s="14" t="n">
        <v>0</v>
      </c>
      <c r="AL375" s="14" t="n">
        <v>0</v>
      </c>
      <c r="AM375" s="14">
        <f>AJ375+AK375+AL375</f>
        <v/>
      </c>
      <c r="AN375" s="14">
        <f>AN374+AM375</f>
        <v/>
      </c>
    </row>
    <row r="376">
      <c r="A376" s="8" t="n">
        <v>15</v>
      </c>
      <c r="B376" s="8" t="n">
        <v>6</v>
      </c>
      <c r="C376" s="8" t="n">
        <v>1</v>
      </c>
      <c r="D376" s="8" t="inlineStr">
        <is>
          <t>版本免费+义相逢 + 月卡收益</t>
        </is>
      </c>
      <c r="E376" s="9">
        <f>K375</f>
        <v/>
      </c>
      <c r="F376" s="9" t="n">
        <v>1540</v>
      </c>
      <c r="G376" s="9" t="n">
        <v>4800</v>
      </c>
      <c r="H376" s="9" t="n">
        <v>0</v>
      </c>
      <c r="I376" s="9" t="n">
        <v>0</v>
      </c>
      <c r="J376" s="9" t="n">
        <v>0</v>
      </c>
      <c r="K376" s="9">
        <f>E376+F376+G376+H376+I376-J376</f>
        <v/>
      </c>
      <c r="L376" s="10">
        <f>Q375</f>
        <v/>
      </c>
      <c r="M376" s="10" t="n">
        <v>85</v>
      </c>
      <c r="N376" s="10" t="n">
        <v>1</v>
      </c>
      <c r="O376" s="10">
        <f>J376/160</f>
        <v/>
      </c>
      <c r="P376" s="10" t="n">
        <v>20</v>
      </c>
      <c r="Q376" s="10">
        <f>L376+M376+N376+O376-P376</f>
        <v/>
      </c>
      <c r="R376" s="11">
        <f>T375</f>
        <v/>
      </c>
      <c r="S376" s="11">
        <f>N(V376) + N(X376) + N(Z376)</f>
        <v/>
      </c>
      <c r="T376" s="11">
        <f>R376+P376-S376</f>
        <v/>
      </c>
      <c r="U376" s="11" t="inlineStr">
        <is>
          <t>是</t>
        </is>
      </c>
      <c r="V376" s="11" t="n">
        <v>50</v>
      </c>
      <c r="W376" s="11" t="inlineStr">
        <is>
          <t>否</t>
        </is>
      </c>
      <c r="X376" s="11" t="inlineStr">
        <is>
          <t>-</t>
        </is>
      </c>
      <c r="Y376" s="11" t="inlineStr">
        <is>
          <t>-</t>
        </is>
      </c>
      <c r="Z376" s="11" t="n">
        <v>0</v>
      </c>
      <c r="AA376" s="11" t="inlineStr">
        <is>
          <t>无</t>
        </is>
      </c>
      <c r="AB376" s="12">
        <f>AE375</f>
        <v/>
      </c>
      <c r="AC376" s="12" t="n">
        <v>4</v>
      </c>
      <c r="AD376" s="12" t="n">
        <v>0</v>
      </c>
      <c r="AE376" s="12">
        <f>AB376+AC376+AD376</f>
        <v/>
      </c>
      <c r="AF376" s="13">
        <f>AI375</f>
        <v/>
      </c>
      <c r="AG376" s="13" t="n">
        <v>0</v>
      </c>
      <c r="AH376" s="13" t="n">
        <v>0</v>
      </c>
      <c r="AI376" s="13">
        <f>AF376+AG376+AH376</f>
        <v/>
      </c>
      <c r="AJ376" s="14" t="n">
        <v>0</v>
      </c>
      <c r="AK376" s="14" t="n">
        <v>50</v>
      </c>
      <c r="AL376" s="14" t="n">
        <v>0</v>
      </c>
      <c r="AM376" s="14">
        <f>AJ376+AK376+AL376</f>
        <v/>
      </c>
      <c r="AN376" s="14">
        <f>AN375+AM376</f>
        <v/>
      </c>
    </row>
    <row r="377">
      <c r="A377" s="8" t="n">
        <v>15</v>
      </c>
      <c r="B377" s="8" t="n">
        <v>6</v>
      </c>
      <c r="C377" s="8" t="n">
        <v>2</v>
      </c>
      <c r="D377" s="8" t="inlineStr">
        <is>
          <t>月卡收益</t>
        </is>
      </c>
      <c r="E377" s="9">
        <f>K376</f>
        <v/>
      </c>
      <c r="F377" s="9" t="n">
        <v>1540</v>
      </c>
      <c r="G377" s="9" t="n">
        <v>0</v>
      </c>
      <c r="H377" s="9" t="n">
        <v>0</v>
      </c>
      <c r="I377" s="9" t="n">
        <v>0</v>
      </c>
      <c r="J377" s="9" t="n">
        <v>0</v>
      </c>
      <c r="K377" s="9">
        <f>E377+F377+G377+H377+I377-J377</f>
        <v/>
      </c>
      <c r="L377" s="10">
        <f>Q376</f>
        <v/>
      </c>
      <c r="M377" s="10" t="n">
        <v>0</v>
      </c>
      <c r="N377" s="10" t="n">
        <v>3</v>
      </c>
      <c r="O377" s="10">
        <f>J377/160</f>
        <v/>
      </c>
      <c r="P377" s="10" t="n">
        <v>40</v>
      </c>
      <c r="Q377" s="10">
        <f>L377+M377+N377+O377-P377</f>
        <v/>
      </c>
      <c r="R377" s="11">
        <f>T376</f>
        <v/>
      </c>
      <c r="S377" s="11">
        <f>N(V377) + N(X377) + N(Z377)</f>
        <v/>
      </c>
      <c r="T377" s="11">
        <f>R377+P377-S377</f>
        <v/>
      </c>
      <c r="U377" s="11" t="inlineStr">
        <is>
          <t>是</t>
        </is>
      </c>
      <c r="V377" s="11" t="n">
        <v>46</v>
      </c>
      <c r="W377" s="11" t="inlineStr">
        <is>
          <t>否</t>
        </is>
      </c>
      <c r="X377" s="11" t="inlineStr">
        <is>
          <t>-</t>
        </is>
      </c>
      <c r="Y377" s="11" t="inlineStr">
        <is>
          <t>-</t>
        </is>
      </c>
      <c r="Z377" s="11" t="n">
        <v>0</v>
      </c>
      <c r="AA377" s="11" t="inlineStr">
        <is>
          <t>无</t>
        </is>
      </c>
      <c r="AB377" s="12">
        <f>AE376</f>
        <v/>
      </c>
      <c r="AC377" s="12" t="n">
        <v>0</v>
      </c>
      <c r="AD377" s="12" t="n">
        <v>0</v>
      </c>
      <c r="AE377" s="12">
        <f>AB377+AC377+AD377</f>
        <v/>
      </c>
      <c r="AF377" s="13">
        <f>AI376</f>
        <v/>
      </c>
      <c r="AG377" s="13" t="n">
        <v>0</v>
      </c>
      <c r="AH377" s="13" t="n">
        <v>0</v>
      </c>
      <c r="AI377" s="13">
        <f>AF377+AG377+AH377</f>
        <v/>
      </c>
      <c r="AJ377" s="14" t="n">
        <v>0</v>
      </c>
      <c r="AK377" s="14" t="n">
        <v>0</v>
      </c>
      <c r="AL377" s="14" t="n">
        <v>0</v>
      </c>
      <c r="AM377" s="14">
        <f>AJ377+AK377+AL377</f>
        <v/>
      </c>
      <c r="AN377" s="14">
        <f>AN376+AM377</f>
        <v/>
      </c>
    </row>
    <row r="378">
      <c r="A378" s="8" t="n">
        <v>15</v>
      </c>
      <c r="B378" s="8" t="n">
        <v>7</v>
      </c>
      <c r="C378" s="8" t="n">
        <v>1</v>
      </c>
      <c r="D378" s="8" t="inlineStr">
        <is>
          <t>版本免费+义相逢 + 月卡收益 [月卡续费-30元]</t>
        </is>
      </c>
      <c r="E378" s="9">
        <f>K377</f>
        <v/>
      </c>
      <c r="F378" s="9" t="n">
        <v>1540</v>
      </c>
      <c r="G378" s="9" t="n">
        <v>4800</v>
      </c>
      <c r="H378" s="9" t="n">
        <v>0</v>
      </c>
      <c r="I378" s="9" t="n">
        <v>0</v>
      </c>
      <c r="J378" s="9" t="n">
        <v>0</v>
      </c>
      <c r="K378" s="9">
        <f>E378+F378+G378+H378+I378-J378</f>
        <v/>
      </c>
      <c r="L378" s="10">
        <f>Q377</f>
        <v/>
      </c>
      <c r="M378" s="10" t="n">
        <v>85</v>
      </c>
      <c r="N378" s="10" t="n">
        <v>6</v>
      </c>
      <c r="O378" s="10">
        <f>J378/160</f>
        <v/>
      </c>
      <c r="P378" s="10" t="n">
        <v>60</v>
      </c>
      <c r="Q378" s="10">
        <f>L378+M378+N378+O378-P378</f>
        <v/>
      </c>
      <c r="R378" s="11">
        <f>T377</f>
        <v/>
      </c>
      <c r="S378" s="11">
        <f>N(V378) + N(X378) + N(Z378)</f>
        <v/>
      </c>
      <c r="T378" s="11">
        <f>R378+P378-S378</f>
        <v/>
      </c>
      <c r="U378" s="11" t="inlineStr">
        <is>
          <t>是</t>
        </is>
      </c>
      <c r="V378" s="11" t="n">
        <v>47</v>
      </c>
      <c r="W378" s="11" t="inlineStr">
        <is>
          <t>否</t>
        </is>
      </c>
      <c r="X378" s="11" t="inlineStr">
        <is>
          <t>-</t>
        </is>
      </c>
      <c r="Y378" s="11" t="inlineStr">
        <is>
          <t>-</t>
        </is>
      </c>
      <c r="Z378" s="11" t="n">
        <v>0</v>
      </c>
      <c r="AA378" s="11" t="inlineStr">
        <is>
          <t>垫到60抽</t>
        </is>
      </c>
      <c r="AB378" s="12">
        <f>AE377</f>
        <v/>
      </c>
      <c r="AC378" s="12" t="n">
        <v>4</v>
      </c>
      <c r="AD378" s="12" t="n">
        <v>0</v>
      </c>
      <c r="AE378" s="12">
        <f>AB378+AC378+AD378</f>
        <v/>
      </c>
      <c r="AF378" s="13">
        <f>AI377</f>
        <v/>
      </c>
      <c r="AG378" s="13" t="n">
        <v>0</v>
      </c>
      <c r="AH378" s="13" t="n">
        <v>0</v>
      </c>
      <c r="AI378" s="13">
        <f>AF378+AG378+AH378</f>
        <v/>
      </c>
      <c r="AJ378" s="14" t="n">
        <v>30</v>
      </c>
      <c r="AK378" s="14" t="n">
        <v>50</v>
      </c>
      <c r="AL378" s="14" t="n">
        <v>0</v>
      </c>
      <c r="AM378" s="14">
        <f>AJ378+AK378+AL378</f>
        <v/>
      </c>
      <c r="AN378" s="14">
        <f>AN377+AM378</f>
        <v/>
      </c>
    </row>
    <row r="379">
      <c r="A379" s="8" t="n">
        <v>15</v>
      </c>
      <c r="B379" s="8" t="n">
        <v>7</v>
      </c>
      <c r="C379" s="8" t="n">
        <v>2</v>
      </c>
      <c r="D379" s="8" t="inlineStr">
        <is>
          <t>月卡收益</t>
        </is>
      </c>
      <c r="E379" s="9">
        <f>K378</f>
        <v/>
      </c>
      <c r="F379" s="9" t="n">
        <v>1540</v>
      </c>
      <c r="G379" s="9" t="n">
        <v>0</v>
      </c>
      <c r="H379" s="9" t="n">
        <v>0</v>
      </c>
      <c r="I379" s="9" t="n">
        <v>0</v>
      </c>
      <c r="J379" s="9" t="n">
        <v>3840</v>
      </c>
      <c r="K379" s="9">
        <f>E379+F379+G379+H379+I379-J379</f>
        <v/>
      </c>
      <c r="L379" s="10">
        <f>Q378</f>
        <v/>
      </c>
      <c r="M379" s="10" t="n">
        <v>0</v>
      </c>
      <c r="N379" s="10" t="n">
        <v>11</v>
      </c>
      <c r="O379" s="10">
        <f>J379/160</f>
        <v/>
      </c>
      <c r="P379" s="10" t="n">
        <v>90</v>
      </c>
      <c r="Q379" s="10">
        <f>L379+M379+N379+O379-P379</f>
        <v/>
      </c>
      <c r="R379" s="11">
        <f>T378</f>
        <v/>
      </c>
      <c r="S379" s="11">
        <f>N(V379) + N(X379) + N(Z379)</f>
        <v/>
      </c>
      <c r="T379" s="11">
        <f>R379+P379-S379</f>
        <v/>
      </c>
      <c r="U379" s="11" t="inlineStr">
        <is>
          <t>是</t>
        </is>
      </c>
      <c r="V379" s="11" t="n">
        <v>50</v>
      </c>
      <c r="W379" s="11" t="inlineStr">
        <is>
          <t>是</t>
        </is>
      </c>
      <c r="X379" s="11" t="n">
        <v>50</v>
      </c>
      <c r="Y379" s="11" t="inlineStr">
        <is>
          <t>-</t>
        </is>
      </c>
      <c r="Z379" s="11" t="n">
        <v>0</v>
      </c>
      <c r="AA379" s="11" t="inlineStr">
        <is>
          <t>无</t>
        </is>
      </c>
      <c r="AB379" s="12">
        <f>AE378</f>
        <v/>
      </c>
      <c r="AC379" s="12" t="n">
        <v>0</v>
      </c>
      <c r="AD379" s="12" t="n">
        <v>0</v>
      </c>
      <c r="AE379" s="12">
        <f>AB379+AC379+AD379</f>
        <v/>
      </c>
      <c r="AF379" s="13">
        <f>AI378</f>
        <v/>
      </c>
      <c r="AG379" s="13" t="n">
        <v>0</v>
      </c>
      <c r="AH379" s="13" t="n">
        <v>0</v>
      </c>
      <c r="AI379" s="13">
        <f>AF379+AG379+AH379</f>
        <v/>
      </c>
      <c r="AJ379" s="14" t="n">
        <v>0</v>
      </c>
      <c r="AK379" s="14" t="n">
        <v>0</v>
      </c>
      <c r="AL379" s="14" t="n">
        <v>0</v>
      </c>
      <c r="AM379" s="14">
        <f>AJ379+AK379+AL379</f>
        <v/>
      </c>
      <c r="AN379" s="14">
        <f>AN378+AM379</f>
        <v/>
      </c>
    </row>
    <row r="380">
      <c r="A380" s="8" t="n">
        <v>15</v>
      </c>
      <c r="B380" s="8" t="n">
        <v>8</v>
      </c>
      <c r="C380" s="8" t="n">
        <v>1</v>
      </c>
      <c r="D380" s="8" t="inlineStr">
        <is>
          <t>版本免费+义相逢 + 月卡收益 [月卡续费-30元]</t>
        </is>
      </c>
      <c r="E380" s="9">
        <f>K379</f>
        <v/>
      </c>
      <c r="F380" s="9" t="n">
        <v>1540</v>
      </c>
      <c r="G380" s="9" t="n">
        <v>4800</v>
      </c>
      <c r="H380" s="9" t="n">
        <v>0</v>
      </c>
      <c r="I380" s="9" t="n">
        <v>0</v>
      </c>
      <c r="J380" s="9" t="n">
        <v>0</v>
      </c>
      <c r="K380" s="9">
        <f>E380+F380+G380+H380+I380-J380</f>
        <v/>
      </c>
      <c r="L380" s="10">
        <f>Q379</f>
        <v/>
      </c>
      <c r="M380" s="10" t="n">
        <v>85</v>
      </c>
      <c r="N380" s="10" t="n">
        <v>6</v>
      </c>
      <c r="O380" s="10">
        <f>J380/160</f>
        <v/>
      </c>
      <c r="P380" s="10" t="n">
        <v>60</v>
      </c>
      <c r="Q380" s="10">
        <f>L380+M380+N380+O380-P380</f>
        <v/>
      </c>
      <c r="R380" s="11">
        <f>T379</f>
        <v/>
      </c>
      <c r="S380" s="11">
        <f>N(V380) + N(X380) + N(Z380)</f>
        <v/>
      </c>
      <c r="T380" s="11">
        <f>R380+P380-S380</f>
        <v/>
      </c>
      <c r="U380" s="11" t="inlineStr">
        <is>
          <t>是</t>
        </is>
      </c>
      <c r="V380" s="11" t="n">
        <v>50</v>
      </c>
      <c r="W380" s="11" t="inlineStr">
        <is>
          <t>否</t>
        </is>
      </c>
      <c r="X380" s="11" t="inlineStr">
        <is>
          <t>-</t>
        </is>
      </c>
      <c r="Y380" s="11" t="inlineStr">
        <is>
          <t>-</t>
        </is>
      </c>
      <c r="Z380" s="11" t="n">
        <v>0</v>
      </c>
      <c r="AA380" s="11" t="inlineStr">
        <is>
          <t>垫到60抽</t>
        </is>
      </c>
      <c r="AB380" s="12">
        <f>AE379</f>
        <v/>
      </c>
      <c r="AC380" s="12" t="n">
        <v>4</v>
      </c>
      <c r="AD380" s="12" t="n">
        <v>0</v>
      </c>
      <c r="AE380" s="12">
        <f>AB380+AC380+AD380</f>
        <v/>
      </c>
      <c r="AF380" s="13">
        <f>AI379</f>
        <v/>
      </c>
      <c r="AG380" s="13" t="n">
        <v>0</v>
      </c>
      <c r="AH380" s="13" t="n">
        <v>0</v>
      </c>
      <c r="AI380" s="13">
        <f>AF380+AG380+AH380</f>
        <v/>
      </c>
      <c r="AJ380" s="14" t="n">
        <v>30</v>
      </c>
      <c r="AK380" s="14" t="n">
        <v>50</v>
      </c>
      <c r="AL380" s="14" t="n">
        <v>0</v>
      </c>
      <c r="AM380" s="14">
        <f>AJ380+AK380+AL380</f>
        <v/>
      </c>
      <c r="AN380" s="14">
        <f>AN379+AM380</f>
        <v/>
      </c>
    </row>
    <row r="381">
      <c r="A381" s="8" t="n">
        <v>15</v>
      </c>
      <c r="B381" s="8" t="n">
        <v>8</v>
      </c>
      <c r="C381" s="8" t="n">
        <v>2</v>
      </c>
      <c r="D381" s="8" t="inlineStr">
        <is>
          <t>月卡收益</t>
        </is>
      </c>
      <c r="E381" s="9">
        <f>K380</f>
        <v/>
      </c>
      <c r="F381" s="9" t="n">
        <v>1540</v>
      </c>
      <c r="G381" s="9" t="n">
        <v>0</v>
      </c>
      <c r="H381" s="9" t="n">
        <v>0</v>
      </c>
      <c r="I381" s="9" t="n">
        <v>0</v>
      </c>
      <c r="J381" s="9" t="n">
        <v>7680</v>
      </c>
      <c r="K381" s="9">
        <f>E381+F381+G381+H381+I381-J381</f>
        <v/>
      </c>
      <c r="L381" s="10">
        <f>Q380</f>
        <v/>
      </c>
      <c r="M381" s="10" t="n">
        <v>0</v>
      </c>
      <c r="N381" s="10" t="n">
        <v>11</v>
      </c>
      <c r="O381" s="10">
        <f>J381/160</f>
        <v/>
      </c>
      <c r="P381" s="10" t="n">
        <v>90</v>
      </c>
      <c r="Q381" s="10">
        <f>L381+M381+N381+O381-P381</f>
        <v/>
      </c>
      <c r="R381" s="11">
        <f>T380</f>
        <v/>
      </c>
      <c r="S381" s="11">
        <f>N(V381) + N(X381) + N(Z381)</f>
        <v/>
      </c>
      <c r="T381" s="11">
        <f>R381+P381-S381</f>
        <v/>
      </c>
      <c r="U381" s="11" t="inlineStr">
        <is>
          <t>是</t>
        </is>
      </c>
      <c r="V381" s="11" t="n">
        <v>49</v>
      </c>
      <c r="W381" s="11" t="inlineStr">
        <is>
          <t>是</t>
        </is>
      </c>
      <c r="X381" s="11" t="n">
        <v>53</v>
      </c>
      <c r="Y381" s="11" t="inlineStr">
        <is>
          <t>-</t>
        </is>
      </c>
      <c r="Z381" s="11" t="n">
        <v>0</v>
      </c>
      <c r="AA381" s="11" t="inlineStr">
        <is>
          <t>无</t>
        </is>
      </c>
      <c r="AB381" s="12">
        <f>AE380</f>
        <v/>
      </c>
      <c r="AC381" s="12" t="n">
        <v>0</v>
      </c>
      <c r="AD381" s="12" t="n">
        <v>0</v>
      </c>
      <c r="AE381" s="12">
        <f>AB381+AC381+AD381</f>
        <v/>
      </c>
      <c r="AF381" s="13">
        <f>AI380</f>
        <v/>
      </c>
      <c r="AG381" s="13" t="n">
        <v>0</v>
      </c>
      <c r="AH381" s="13" t="n">
        <v>0</v>
      </c>
      <c r="AI381" s="13">
        <f>AF381+AG381+AH381</f>
        <v/>
      </c>
      <c r="AJ381" s="14" t="n">
        <v>0</v>
      </c>
      <c r="AK381" s="14" t="n">
        <v>0</v>
      </c>
      <c r="AL381" s="14" t="n">
        <v>0</v>
      </c>
      <c r="AM381" s="14">
        <f>AJ381+AK381+AL381</f>
        <v/>
      </c>
      <c r="AN381" s="14">
        <f>AN380+AM381</f>
        <v/>
      </c>
    </row>
    <row r="382">
      <c r="A382" s="8" t="n">
        <v>15</v>
      </c>
      <c r="B382" s="8" t="n">
        <v>9</v>
      </c>
      <c r="C382" s="8" t="n">
        <v>1</v>
      </c>
      <c r="D382" s="8" t="inlineStr">
        <is>
          <t>版本免费+义相逢 + 月卡收益 [月卡续费-30元]</t>
        </is>
      </c>
      <c r="E382" s="9">
        <f>K381</f>
        <v/>
      </c>
      <c r="F382" s="9" t="n">
        <v>1540</v>
      </c>
      <c r="G382" s="9" t="n">
        <v>4800</v>
      </c>
      <c r="H382" s="9" t="n">
        <v>0</v>
      </c>
      <c r="I382" s="9" t="n">
        <v>0</v>
      </c>
      <c r="J382" s="9" t="n">
        <v>0</v>
      </c>
      <c r="K382" s="9">
        <f>E382+F382+G382+H382+I382-J382</f>
        <v/>
      </c>
      <c r="L382" s="10">
        <f>Q381</f>
        <v/>
      </c>
      <c r="M382" s="10" t="n">
        <v>85</v>
      </c>
      <c r="N382" s="10" t="n">
        <v>6</v>
      </c>
      <c r="O382" s="10">
        <f>J382/160</f>
        <v/>
      </c>
      <c r="P382" s="10" t="n">
        <v>60</v>
      </c>
      <c r="Q382" s="10">
        <f>L382+M382+N382+O382-P382</f>
        <v/>
      </c>
      <c r="R382" s="11">
        <f>T381</f>
        <v/>
      </c>
      <c r="S382" s="11">
        <f>N(V382) + N(X382) + N(Z382)</f>
        <v/>
      </c>
      <c r="T382" s="11">
        <f>R382+P382-S382</f>
        <v/>
      </c>
      <c r="U382" s="11" t="inlineStr">
        <is>
          <t>是</t>
        </is>
      </c>
      <c r="V382" s="11" t="n">
        <v>48</v>
      </c>
      <c r="W382" s="11" t="inlineStr">
        <is>
          <t>否</t>
        </is>
      </c>
      <c r="X382" s="11" t="inlineStr">
        <is>
          <t>-</t>
        </is>
      </c>
      <c r="Y382" s="11" t="inlineStr">
        <is>
          <t>歪(8)</t>
        </is>
      </c>
      <c r="Z382" s="11" t="n">
        <v>8</v>
      </c>
      <c r="AA382" s="11" t="inlineStr">
        <is>
          <t>垫到60抽</t>
        </is>
      </c>
      <c r="AB382" s="12">
        <f>AE381</f>
        <v/>
      </c>
      <c r="AC382" s="12" t="n">
        <v>4</v>
      </c>
      <c r="AD382" s="12" t="n">
        <v>0</v>
      </c>
      <c r="AE382" s="12">
        <f>AB382+AC382+AD382</f>
        <v/>
      </c>
      <c r="AF382" s="13">
        <f>AI381</f>
        <v/>
      </c>
      <c r="AG382" s="13" t="n">
        <v>0</v>
      </c>
      <c r="AH382" s="13" t="n">
        <v>0</v>
      </c>
      <c r="AI382" s="13">
        <f>AF382+AG382+AH382</f>
        <v/>
      </c>
      <c r="AJ382" s="14" t="n">
        <v>30</v>
      </c>
      <c r="AK382" s="14" t="n">
        <v>50</v>
      </c>
      <c r="AL382" s="14" t="n">
        <v>0</v>
      </c>
      <c r="AM382" s="14">
        <f>AJ382+AK382+AL382</f>
        <v/>
      </c>
      <c r="AN382" s="14">
        <f>AN381+AM382</f>
        <v/>
      </c>
    </row>
    <row r="383">
      <c r="A383" s="8" t="n">
        <v>15</v>
      </c>
      <c r="B383" s="8" t="n">
        <v>9</v>
      </c>
      <c r="C383" s="8" t="n">
        <v>2</v>
      </c>
      <c r="D383" s="8" t="inlineStr">
        <is>
          <t>月卡收益</t>
        </is>
      </c>
      <c r="E383" s="9">
        <f>K382</f>
        <v/>
      </c>
      <c r="F383" s="9" t="n">
        <v>1540</v>
      </c>
      <c r="G383" s="9" t="n">
        <v>0</v>
      </c>
      <c r="H383" s="9" t="n">
        <v>0</v>
      </c>
      <c r="I383" s="9" t="n">
        <v>0</v>
      </c>
      <c r="J383" s="9" t="n">
        <v>3360</v>
      </c>
      <c r="K383" s="9">
        <f>E383+F383+G383+H383+I383-J383</f>
        <v/>
      </c>
      <c r="L383" s="10">
        <f>Q382</f>
        <v/>
      </c>
      <c r="M383" s="10" t="n">
        <v>0</v>
      </c>
      <c r="N383" s="10" t="n">
        <v>6</v>
      </c>
      <c r="O383" s="10">
        <f>J383/160</f>
        <v/>
      </c>
      <c r="P383" s="10" t="n">
        <v>60</v>
      </c>
      <c r="Q383" s="10">
        <f>L383+M383+N383+O383-P383</f>
        <v/>
      </c>
      <c r="R383" s="11">
        <f>T382</f>
        <v/>
      </c>
      <c r="S383" s="11">
        <f>N(V383) + N(X383) + N(Z383)</f>
        <v/>
      </c>
      <c r="T383" s="11">
        <f>R383+P383-S383</f>
        <v/>
      </c>
      <c r="U383" s="11" t="inlineStr">
        <is>
          <t>是</t>
        </is>
      </c>
      <c r="V383" s="11" t="n">
        <v>48</v>
      </c>
      <c r="W383" s="11" t="inlineStr">
        <is>
          <t>否</t>
        </is>
      </c>
      <c r="X383" s="11" t="inlineStr">
        <is>
          <t>-</t>
        </is>
      </c>
      <c r="Y383" s="11" t="inlineStr">
        <is>
          <t>-</t>
        </is>
      </c>
      <c r="Z383" s="11" t="n">
        <v>0</v>
      </c>
      <c r="AA383" s="11" t="inlineStr">
        <is>
          <t>垫到60抽</t>
        </is>
      </c>
      <c r="AB383" s="12">
        <f>AE382</f>
        <v/>
      </c>
      <c r="AC383" s="12" t="n">
        <v>0</v>
      </c>
      <c r="AD383" s="12" t="n">
        <v>0</v>
      </c>
      <c r="AE383" s="12">
        <f>AB383+AC383+AD383</f>
        <v/>
      </c>
      <c r="AF383" s="13">
        <f>AI382</f>
        <v/>
      </c>
      <c r="AG383" s="13" t="n">
        <v>0</v>
      </c>
      <c r="AH383" s="13" t="n">
        <v>0</v>
      </c>
      <c r="AI383" s="13">
        <f>AF383+AG383+AH383</f>
        <v/>
      </c>
      <c r="AJ383" s="14" t="n">
        <v>0</v>
      </c>
      <c r="AK383" s="14" t="n">
        <v>0</v>
      </c>
      <c r="AL383" s="14" t="n">
        <v>0</v>
      </c>
      <c r="AM383" s="14">
        <f>AJ383+AK383+AL383</f>
        <v/>
      </c>
      <c r="AN383" s="14">
        <f>AN382+AM383</f>
        <v/>
      </c>
    </row>
    <row r="384">
      <c r="A384" s="8" t="n">
        <v>15</v>
      </c>
      <c r="B384" s="8" t="n">
        <v>10</v>
      </c>
      <c r="C384" s="8" t="n">
        <v>1</v>
      </c>
      <c r="D384" s="8" t="inlineStr">
        <is>
          <t>版本免费+义相逢 + 月卡收益 [月卡续费-30元]</t>
        </is>
      </c>
      <c r="E384" s="9">
        <f>K383</f>
        <v/>
      </c>
      <c r="F384" s="9" t="n">
        <v>1540</v>
      </c>
      <c r="G384" s="9" t="n">
        <v>4800</v>
      </c>
      <c r="H384" s="9" t="n">
        <v>0</v>
      </c>
      <c r="I384" s="9" t="n">
        <v>0</v>
      </c>
      <c r="J384" s="9" t="n">
        <v>0</v>
      </c>
      <c r="K384" s="9">
        <f>E384+F384+G384+H384+I384-J384</f>
        <v/>
      </c>
      <c r="L384" s="10">
        <f>Q383</f>
        <v/>
      </c>
      <c r="M384" s="10" t="n">
        <v>85</v>
      </c>
      <c r="N384" s="10" t="n">
        <v>3</v>
      </c>
      <c r="O384" s="10">
        <f>J384/160</f>
        <v/>
      </c>
      <c r="P384" s="10" t="n">
        <v>40</v>
      </c>
      <c r="Q384" s="10">
        <f>L384+M384+N384+O384-P384</f>
        <v/>
      </c>
      <c r="R384" s="11">
        <f>T383</f>
        <v/>
      </c>
      <c r="S384" s="11">
        <f>N(V384) + N(X384) + N(Z384)</f>
        <v/>
      </c>
      <c r="T384" s="11">
        <f>R384+P384-S384</f>
        <v/>
      </c>
      <c r="U384" s="11" t="inlineStr">
        <is>
          <t>是</t>
        </is>
      </c>
      <c r="V384" s="11" t="n">
        <v>49</v>
      </c>
      <c r="W384" s="11" t="inlineStr">
        <is>
          <t>否</t>
        </is>
      </c>
      <c r="X384" s="11" t="inlineStr">
        <is>
          <t>-</t>
        </is>
      </c>
      <c r="Y384" s="11" t="inlineStr">
        <is>
          <t>-</t>
        </is>
      </c>
      <c r="Z384" s="11" t="n">
        <v>0</v>
      </c>
      <c r="AA384" s="11" t="inlineStr">
        <is>
          <t>无</t>
        </is>
      </c>
      <c r="AB384" s="12">
        <f>AE383</f>
        <v/>
      </c>
      <c r="AC384" s="12" t="n">
        <v>4</v>
      </c>
      <c r="AD384" s="12" t="n">
        <v>0</v>
      </c>
      <c r="AE384" s="12">
        <f>AB384+AC384+AD384</f>
        <v/>
      </c>
      <c r="AF384" s="13">
        <f>AI383</f>
        <v/>
      </c>
      <c r="AG384" s="13" t="n">
        <v>0</v>
      </c>
      <c r="AH384" s="13" t="n">
        <v>0</v>
      </c>
      <c r="AI384" s="13">
        <f>AF384+AG384+AH384</f>
        <v/>
      </c>
      <c r="AJ384" s="14" t="n">
        <v>30</v>
      </c>
      <c r="AK384" s="14" t="n">
        <v>50</v>
      </c>
      <c r="AL384" s="14" t="n">
        <v>0</v>
      </c>
      <c r="AM384" s="14">
        <f>AJ384+AK384+AL384</f>
        <v/>
      </c>
      <c r="AN384" s="14">
        <f>AN383+AM384</f>
        <v/>
      </c>
    </row>
    <row r="385">
      <c r="A385" s="8" t="n">
        <v>15</v>
      </c>
      <c r="B385" s="8" t="n">
        <v>10</v>
      </c>
      <c r="C385" s="8" t="n">
        <v>2</v>
      </c>
      <c r="D385" s="8" t="inlineStr">
        <is>
          <t>月卡收益</t>
        </is>
      </c>
      <c r="E385" s="9">
        <f>K384</f>
        <v/>
      </c>
      <c r="F385" s="9" t="n">
        <v>1540</v>
      </c>
      <c r="G385" s="9" t="n">
        <v>0</v>
      </c>
      <c r="H385" s="9" t="n">
        <v>0</v>
      </c>
      <c r="I385" s="9" t="n">
        <v>0</v>
      </c>
      <c r="J385" s="9" t="n">
        <v>5280</v>
      </c>
      <c r="K385" s="9">
        <f>E385+F385+G385+H385+I385-J385</f>
        <v/>
      </c>
      <c r="L385" s="10">
        <f>Q384</f>
        <v/>
      </c>
      <c r="M385" s="10" t="n">
        <v>0</v>
      </c>
      <c r="N385" s="10" t="n">
        <v>11</v>
      </c>
      <c r="O385" s="10">
        <f>J385/160</f>
        <v/>
      </c>
      <c r="P385" s="10" t="n">
        <v>90</v>
      </c>
      <c r="Q385" s="10">
        <f>L385+M385+N385+O385-P385</f>
        <v/>
      </c>
      <c r="R385" s="11">
        <f>T384</f>
        <v/>
      </c>
      <c r="S385" s="11">
        <f>N(V385) + N(X385) + N(Z385)</f>
        <v/>
      </c>
      <c r="T385" s="11">
        <f>R385+P385-S385</f>
        <v/>
      </c>
      <c r="U385" s="11" t="inlineStr">
        <is>
          <t>是</t>
        </is>
      </c>
      <c r="V385" s="11" t="n">
        <v>51</v>
      </c>
      <c r="W385" s="11" t="inlineStr">
        <is>
          <t>是</t>
        </is>
      </c>
      <c r="X385" s="11" t="n">
        <v>48</v>
      </c>
      <c r="Y385" s="11" t="inlineStr">
        <is>
          <t>-</t>
        </is>
      </c>
      <c r="Z385" s="11" t="n">
        <v>0</v>
      </c>
      <c r="AA385" s="11" t="inlineStr">
        <is>
          <t>无</t>
        </is>
      </c>
      <c r="AB385" s="12">
        <f>AE384</f>
        <v/>
      </c>
      <c r="AC385" s="12" t="n">
        <v>0</v>
      </c>
      <c r="AD385" s="12" t="n">
        <v>0</v>
      </c>
      <c r="AE385" s="12">
        <f>AB385+AC385+AD385</f>
        <v/>
      </c>
      <c r="AF385" s="13">
        <f>AI384</f>
        <v/>
      </c>
      <c r="AG385" s="13" t="n">
        <v>0</v>
      </c>
      <c r="AH385" s="13" t="n">
        <v>0</v>
      </c>
      <c r="AI385" s="13">
        <f>AF385+AG385+AH385</f>
        <v/>
      </c>
      <c r="AJ385" s="14" t="n">
        <v>0</v>
      </c>
      <c r="AK385" s="14" t="n">
        <v>0</v>
      </c>
      <c r="AL385" s="14" t="n">
        <v>0</v>
      </c>
      <c r="AM385" s="14">
        <f>AJ385+AK385+AL385</f>
        <v/>
      </c>
      <c r="AN385" s="14">
        <f>AN384+AM385</f>
        <v/>
      </c>
    </row>
    <row r="386">
      <c r="A386" s="8" t="n">
        <v>15</v>
      </c>
      <c r="B386" s="8" t="n">
        <v>11</v>
      </c>
      <c r="C386" s="8" t="n">
        <v>1</v>
      </c>
      <c r="D386" s="8" t="inlineStr">
        <is>
          <t>版本免费+义相逢 + 月卡收益 [月卡续费-30元]</t>
        </is>
      </c>
      <c r="E386" s="9">
        <f>K385</f>
        <v/>
      </c>
      <c r="F386" s="9" t="n">
        <v>1540</v>
      </c>
      <c r="G386" s="9" t="n">
        <v>4800</v>
      </c>
      <c r="H386" s="9" t="n">
        <v>0</v>
      </c>
      <c r="I386" s="9" t="n">
        <v>0</v>
      </c>
      <c r="J386" s="9" t="n">
        <v>1440</v>
      </c>
      <c r="K386" s="9">
        <f>E386+F386+G386+H386+I386-J386</f>
        <v/>
      </c>
      <c r="L386" s="10">
        <f>Q385</f>
        <v/>
      </c>
      <c r="M386" s="10" t="n">
        <v>85</v>
      </c>
      <c r="N386" s="10" t="n">
        <v>11</v>
      </c>
      <c r="O386" s="10">
        <f>J386/160</f>
        <v/>
      </c>
      <c r="P386" s="10" t="n">
        <v>110</v>
      </c>
      <c r="Q386" s="10">
        <f>L386+M386+N386+O386-P386</f>
        <v/>
      </c>
      <c r="R386" s="11">
        <f>T385</f>
        <v/>
      </c>
      <c r="S386" s="11">
        <f>N(V386) + N(X386) + N(Z386)</f>
        <v/>
      </c>
      <c r="T386" s="11">
        <f>R386+P386-S386</f>
        <v/>
      </c>
      <c r="U386" s="11" t="inlineStr">
        <is>
          <t>是</t>
        </is>
      </c>
      <c r="V386" s="11" t="n">
        <v>53</v>
      </c>
      <c r="W386" s="11" t="inlineStr">
        <is>
          <t>是</t>
        </is>
      </c>
      <c r="X386" s="11" t="n">
        <v>48</v>
      </c>
      <c r="Y386" s="11" t="inlineStr">
        <is>
          <t>-</t>
        </is>
      </c>
      <c r="Z386" s="11" t="n">
        <v>0</v>
      </c>
      <c r="AA386" s="11" t="inlineStr">
        <is>
          <t>无</t>
        </is>
      </c>
      <c r="AB386" s="12">
        <f>AE385</f>
        <v/>
      </c>
      <c r="AC386" s="12" t="n">
        <v>4</v>
      </c>
      <c r="AD386" s="12" t="n">
        <v>0</v>
      </c>
      <c r="AE386" s="12">
        <f>AB386+AC386+AD386</f>
        <v/>
      </c>
      <c r="AF386" s="13">
        <f>AI385</f>
        <v/>
      </c>
      <c r="AG386" s="13" t="n">
        <v>0</v>
      </c>
      <c r="AH386" s="13" t="n">
        <v>0</v>
      </c>
      <c r="AI386" s="13">
        <f>AF386+AG386+AH386</f>
        <v/>
      </c>
      <c r="AJ386" s="14" t="n">
        <v>30</v>
      </c>
      <c r="AK386" s="14" t="n">
        <v>50</v>
      </c>
      <c r="AL386" s="14" t="n">
        <v>0</v>
      </c>
      <c r="AM386" s="14">
        <f>AJ386+AK386+AL386</f>
        <v/>
      </c>
      <c r="AN386" s="14">
        <f>AN385+AM386</f>
        <v/>
      </c>
    </row>
    <row r="387">
      <c r="A387" s="8" t="n">
        <v>15</v>
      </c>
      <c r="B387" s="8" t="n">
        <v>11</v>
      </c>
      <c r="C387" s="8" t="n">
        <v>2</v>
      </c>
      <c r="D387" s="8" t="inlineStr">
        <is>
          <t>月卡收益</t>
        </is>
      </c>
      <c r="E387" s="9">
        <f>K386</f>
        <v/>
      </c>
      <c r="F387" s="9" t="n">
        <v>1540</v>
      </c>
      <c r="G387" s="9" t="n">
        <v>0</v>
      </c>
      <c r="H387" s="9" t="n">
        <v>0</v>
      </c>
      <c r="I387" s="9" t="n">
        <v>0</v>
      </c>
      <c r="J387" s="9" t="n">
        <v>13440</v>
      </c>
      <c r="K387" s="9">
        <f>E387+F387+G387+H387+I387-J387</f>
        <v/>
      </c>
      <c r="L387" s="10">
        <f>Q386</f>
        <v/>
      </c>
      <c r="M387" s="10" t="n">
        <v>0</v>
      </c>
      <c r="N387" s="10" t="n">
        <v>11</v>
      </c>
      <c r="O387" s="10">
        <f>J387/160</f>
        <v/>
      </c>
      <c r="P387" s="10" t="n">
        <v>90</v>
      </c>
      <c r="Q387" s="10">
        <f>L387+M387+N387+O387-P387</f>
        <v/>
      </c>
      <c r="R387" s="11">
        <f>T386</f>
        <v/>
      </c>
      <c r="S387" s="11">
        <f>N(V387) + N(X387) + N(Z387)</f>
        <v/>
      </c>
      <c r="T387" s="11">
        <f>R387+P387-S387</f>
        <v/>
      </c>
      <c r="U387" s="11" t="inlineStr">
        <is>
          <t>是</t>
        </is>
      </c>
      <c r="V387" s="11" t="n">
        <v>50</v>
      </c>
      <c r="W387" s="11" t="inlineStr">
        <is>
          <t>是</t>
        </is>
      </c>
      <c r="X387" s="11" t="n">
        <v>49</v>
      </c>
      <c r="Y387" s="11" t="inlineStr">
        <is>
          <t>-</t>
        </is>
      </c>
      <c r="Z387" s="11" t="n">
        <v>0</v>
      </c>
      <c r="AA387" s="11" t="inlineStr">
        <is>
          <t>无</t>
        </is>
      </c>
      <c r="AB387" s="12">
        <f>AE386</f>
        <v/>
      </c>
      <c r="AC387" s="12" t="n">
        <v>0</v>
      </c>
      <c r="AD387" s="12" t="n">
        <v>0</v>
      </c>
      <c r="AE387" s="12">
        <f>AB387+AC387+AD387</f>
        <v/>
      </c>
      <c r="AF387" s="13">
        <f>AI386</f>
        <v/>
      </c>
      <c r="AG387" s="13" t="n">
        <v>0</v>
      </c>
      <c r="AH387" s="13" t="n">
        <v>0</v>
      </c>
      <c r="AI387" s="13">
        <f>AF387+AG387+AH387</f>
        <v/>
      </c>
      <c r="AJ387" s="14" t="n">
        <v>0</v>
      </c>
      <c r="AK387" s="14" t="n">
        <v>0</v>
      </c>
      <c r="AL387" s="14" t="n">
        <v>0</v>
      </c>
      <c r="AM387" s="14">
        <f>AJ387+AK387+AL387</f>
        <v/>
      </c>
      <c r="AN387" s="14">
        <f>AN386+AM387</f>
        <v/>
      </c>
    </row>
    <row r="388">
      <c r="A388" s="8" t="n">
        <v>15</v>
      </c>
      <c r="B388" s="8" t="n">
        <v>12</v>
      </c>
      <c r="C388" s="8" t="n">
        <v>1</v>
      </c>
      <c r="D388" s="8" t="inlineStr">
        <is>
          <t>版本免费+义相逢 + 月卡收益 [月卡续费-30元]</t>
        </is>
      </c>
      <c r="E388" s="9">
        <f>K387</f>
        <v/>
      </c>
      <c r="F388" s="9" t="n">
        <v>1540</v>
      </c>
      <c r="G388" s="9" t="n">
        <v>4800</v>
      </c>
      <c r="H388" s="9" t="n">
        <v>0</v>
      </c>
      <c r="I388" s="9" t="n">
        <v>0</v>
      </c>
      <c r="J388" s="9" t="n">
        <v>0</v>
      </c>
      <c r="K388" s="9">
        <f>E388+F388+G388+H388+I388-J388</f>
        <v/>
      </c>
      <c r="L388" s="10">
        <f>Q387</f>
        <v/>
      </c>
      <c r="M388" s="10" t="n">
        <v>85</v>
      </c>
      <c r="N388" s="10" t="n">
        <v>11</v>
      </c>
      <c r="O388" s="10">
        <f>J388/160</f>
        <v/>
      </c>
      <c r="P388" s="10" t="n">
        <v>100</v>
      </c>
      <c r="Q388" s="10">
        <f>L388+M388+N388+O388-P388</f>
        <v/>
      </c>
      <c r="R388" s="11">
        <f>T387</f>
        <v/>
      </c>
      <c r="S388" s="11">
        <f>N(V388) + N(X388) + N(Z388)</f>
        <v/>
      </c>
      <c r="T388" s="11">
        <f>R388+P388-S388</f>
        <v/>
      </c>
      <c r="U388" s="11" t="inlineStr">
        <is>
          <t>是</t>
        </is>
      </c>
      <c r="V388" s="11" t="n">
        <v>51</v>
      </c>
      <c r="W388" s="11" t="inlineStr">
        <is>
          <t>是</t>
        </is>
      </c>
      <c r="X388" s="11" t="n">
        <v>48</v>
      </c>
      <c r="Y388" s="11" t="inlineStr">
        <is>
          <t>-</t>
        </is>
      </c>
      <c r="Z388" s="11" t="n">
        <v>0</v>
      </c>
      <c r="AA388" s="11" t="inlineStr">
        <is>
          <t>无</t>
        </is>
      </c>
      <c r="AB388" s="12">
        <f>AE387</f>
        <v/>
      </c>
      <c r="AC388" s="12" t="n">
        <v>4</v>
      </c>
      <c r="AD388" s="12" t="n">
        <v>0</v>
      </c>
      <c r="AE388" s="12">
        <f>AB388+AC388+AD388</f>
        <v/>
      </c>
      <c r="AF388" s="13">
        <f>AI387</f>
        <v/>
      </c>
      <c r="AG388" s="13" t="n">
        <v>0</v>
      </c>
      <c r="AH388" s="13" t="n">
        <v>0</v>
      </c>
      <c r="AI388" s="13">
        <f>AF388+AG388+AH388</f>
        <v/>
      </c>
      <c r="AJ388" s="14" t="n">
        <v>30</v>
      </c>
      <c r="AK388" s="14" t="n">
        <v>50</v>
      </c>
      <c r="AL388" s="14" t="n">
        <v>0</v>
      </c>
      <c r="AM388" s="14">
        <f>AJ388+AK388+AL388</f>
        <v/>
      </c>
      <c r="AN388" s="14">
        <f>AN387+AM388</f>
        <v/>
      </c>
    </row>
    <row r="389">
      <c r="A389" s="8" t="n">
        <v>15</v>
      </c>
      <c r="B389" s="8" t="n">
        <v>12</v>
      </c>
      <c r="C389" s="8" t="n">
        <v>2</v>
      </c>
      <c r="D389" s="8" t="inlineStr">
        <is>
          <t>月卡收益</t>
        </is>
      </c>
      <c r="E389" s="9">
        <f>K388</f>
        <v/>
      </c>
      <c r="F389" s="9" t="n">
        <v>1540</v>
      </c>
      <c r="G389" s="9" t="n">
        <v>0</v>
      </c>
      <c r="H389" s="9" t="n">
        <v>0</v>
      </c>
      <c r="I389" s="9" t="n">
        <v>0</v>
      </c>
      <c r="J389" s="9" t="n">
        <v>13280</v>
      </c>
      <c r="K389" s="9">
        <f>E389+F389+G389+H389+I389-J389</f>
        <v/>
      </c>
      <c r="L389" s="10">
        <f>Q388</f>
        <v/>
      </c>
      <c r="M389" s="10" t="n">
        <v>0</v>
      </c>
      <c r="N389" s="10" t="n">
        <v>11</v>
      </c>
      <c r="O389" s="10">
        <f>J389/160</f>
        <v/>
      </c>
      <c r="P389" s="10" t="n">
        <v>90</v>
      </c>
      <c r="Q389" s="10">
        <f>L389+M389+N389+O389-P389</f>
        <v/>
      </c>
      <c r="R389" s="11">
        <f>T388</f>
        <v/>
      </c>
      <c r="S389" s="11">
        <f>N(V389) + N(X389) + N(Z389)</f>
        <v/>
      </c>
      <c r="T389" s="11">
        <f>R389+P389-S389</f>
        <v/>
      </c>
      <c r="U389" s="11" t="inlineStr">
        <is>
          <t>是</t>
        </is>
      </c>
      <c r="V389" s="11" t="n">
        <v>38</v>
      </c>
      <c r="W389" s="11" t="inlineStr">
        <is>
          <t>是</t>
        </is>
      </c>
      <c r="X389" s="11" t="n">
        <v>50</v>
      </c>
      <c r="Y389" s="11" t="inlineStr">
        <is>
          <t>-</t>
        </is>
      </c>
      <c r="Z389" s="11" t="n">
        <v>0</v>
      </c>
      <c r="AA389" s="11" t="inlineStr">
        <is>
          <t>无</t>
        </is>
      </c>
      <c r="AB389" s="12">
        <f>AE388</f>
        <v/>
      </c>
      <c r="AC389" s="12" t="n">
        <v>0</v>
      </c>
      <c r="AD389" s="12" t="n">
        <v>0</v>
      </c>
      <c r="AE389" s="12">
        <f>AB389+AC389+AD389</f>
        <v/>
      </c>
      <c r="AF389" s="13">
        <f>AI388</f>
        <v/>
      </c>
      <c r="AG389" s="13" t="n">
        <v>0</v>
      </c>
      <c r="AH389" s="13" t="n">
        <v>0</v>
      </c>
      <c r="AI389" s="13">
        <f>AF389+AG389+AH389</f>
        <v/>
      </c>
      <c r="AJ389" s="14" t="n">
        <v>0</v>
      </c>
      <c r="AK389" s="14" t="n">
        <v>0</v>
      </c>
      <c r="AL389" s="14" t="n">
        <v>0</v>
      </c>
      <c r="AM389" s="14">
        <f>AJ389+AK389+AL389</f>
        <v/>
      </c>
      <c r="AN389" s="14">
        <f>AN388+AM389</f>
        <v/>
      </c>
    </row>
    <row r="390">
      <c r="A390" s="8" t="n">
        <v>15</v>
      </c>
      <c r="B390" s="8" t="n">
        <v>13</v>
      </c>
      <c r="C390" s="8" t="n">
        <v>1</v>
      </c>
      <c r="D390" s="8" t="inlineStr">
        <is>
          <t>版本免费+义相逢 + 月卡收益 [月卡续费-30元]</t>
        </is>
      </c>
      <c r="E390" s="9">
        <f>K389</f>
        <v/>
      </c>
      <c r="F390" s="9" t="n">
        <v>1540</v>
      </c>
      <c r="G390" s="9" t="n">
        <v>4800</v>
      </c>
      <c r="H390" s="9" t="n">
        <v>0</v>
      </c>
      <c r="I390" s="9" t="n">
        <v>0</v>
      </c>
      <c r="J390" s="9" t="n">
        <v>0</v>
      </c>
      <c r="K390" s="9">
        <f>E390+F390+G390+H390+I390-J390</f>
        <v/>
      </c>
      <c r="L390" s="10">
        <f>Q389</f>
        <v/>
      </c>
      <c r="M390" s="10" t="n">
        <v>85</v>
      </c>
      <c r="N390" s="10" t="n">
        <v>11</v>
      </c>
      <c r="O390" s="10">
        <f>J390/160</f>
        <v/>
      </c>
      <c r="P390" s="10" t="n">
        <v>100</v>
      </c>
      <c r="Q390" s="10">
        <f>L390+M390+N390+O390-P390</f>
        <v/>
      </c>
      <c r="R390" s="11">
        <f>T389</f>
        <v/>
      </c>
      <c r="S390" s="11">
        <f>N(V390) + N(X390) + N(Z390)</f>
        <v/>
      </c>
      <c r="T390" s="11">
        <f>R390+P390-S390</f>
        <v/>
      </c>
      <c r="U390" s="11" t="inlineStr">
        <is>
          <t>是</t>
        </is>
      </c>
      <c r="V390" s="11" t="n">
        <v>50</v>
      </c>
      <c r="W390" s="11" t="inlineStr">
        <is>
          <t>是</t>
        </is>
      </c>
      <c r="X390" s="11" t="n">
        <v>49</v>
      </c>
      <c r="Y390" s="11" t="inlineStr">
        <is>
          <t>-</t>
        </is>
      </c>
      <c r="Z390" s="11" t="n">
        <v>0</v>
      </c>
      <c r="AA390" s="11" t="inlineStr">
        <is>
          <t>无</t>
        </is>
      </c>
      <c r="AB390" s="12">
        <f>AE389</f>
        <v/>
      </c>
      <c r="AC390" s="12" t="n">
        <v>4</v>
      </c>
      <c r="AD390" s="12" t="n">
        <v>0</v>
      </c>
      <c r="AE390" s="12">
        <f>AB390+AC390+AD390</f>
        <v/>
      </c>
      <c r="AF390" s="13">
        <f>AI389</f>
        <v/>
      </c>
      <c r="AG390" s="13" t="n">
        <v>0</v>
      </c>
      <c r="AH390" s="13" t="n">
        <v>0</v>
      </c>
      <c r="AI390" s="13">
        <f>AF390+AG390+AH390</f>
        <v/>
      </c>
      <c r="AJ390" s="14" t="n">
        <v>30</v>
      </c>
      <c r="AK390" s="14" t="n">
        <v>50</v>
      </c>
      <c r="AL390" s="14" t="n">
        <v>0</v>
      </c>
      <c r="AM390" s="14">
        <f>AJ390+AK390+AL390</f>
        <v/>
      </c>
      <c r="AN390" s="14">
        <f>AN389+AM390</f>
        <v/>
      </c>
    </row>
    <row r="391">
      <c r="A391" s="8" t="n">
        <v>15</v>
      </c>
      <c r="B391" s="8" t="n">
        <v>13</v>
      </c>
      <c r="C391" s="8" t="n">
        <v>2</v>
      </c>
      <c r="D391" s="8" t="inlineStr">
        <is>
          <t>月卡收益</t>
        </is>
      </c>
      <c r="E391" s="9">
        <f>K390</f>
        <v/>
      </c>
      <c r="F391" s="9" t="n">
        <v>1540</v>
      </c>
      <c r="G391" s="9" t="n">
        <v>0</v>
      </c>
      <c r="H391" s="9" t="n">
        <v>0</v>
      </c>
      <c r="I391" s="9" t="n">
        <v>0</v>
      </c>
      <c r="J391" s="9" t="n">
        <v>14080</v>
      </c>
      <c r="K391" s="9">
        <f>E391+F391+G391+H391+I391-J391</f>
        <v/>
      </c>
      <c r="L391" s="10">
        <f>Q390</f>
        <v/>
      </c>
      <c r="M391" s="10" t="n">
        <v>0</v>
      </c>
      <c r="N391" s="10" t="n">
        <v>11</v>
      </c>
      <c r="O391" s="10">
        <f>J391/160</f>
        <v/>
      </c>
      <c r="P391" s="10" t="n">
        <v>100</v>
      </c>
      <c r="Q391" s="10">
        <f>L391+M391+N391+O391-P391</f>
        <v/>
      </c>
      <c r="R391" s="11">
        <f>T390</f>
        <v/>
      </c>
      <c r="S391" s="11">
        <f>N(V391) + N(X391) + N(Z391)</f>
        <v/>
      </c>
      <c r="T391" s="11">
        <f>R391+P391-S391</f>
        <v/>
      </c>
      <c r="U391" s="11" t="inlineStr">
        <is>
          <t>是</t>
        </is>
      </c>
      <c r="V391" s="11" t="n">
        <v>52</v>
      </c>
      <c r="W391" s="11" t="inlineStr">
        <is>
          <t>是</t>
        </is>
      </c>
      <c r="X391" s="11" t="n">
        <v>50</v>
      </c>
      <c r="Y391" s="11" t="inlineStr">
        <is>
          <t>-</t>
        </is>
      </c>
      <c r="Z391" s="11" t="n">
        <v>0</v>
      </c>
      <c r="AA391" s="11" t="inlineStr">
        <is>
          <t>无</t>
        </is>
      </c>
      <c r="AB391" s="12">
        <f>AE390</f>
        <v/>
      </c>
      <c r="AC391" s="12" t="n">
        <v>0</v>
      </c>
      <c r="AD391" s="12" t="n">
        <v>0</v>
      </c>
      <c r="AE391" s="12">
        <f>AB391+AC391+AD391</f>
        <v/>
      </c>
      <c r="AF391" s="13">
        <f>AI390</f>
        <v/>
      </c>
      <c r="AG391" s="13" t="n">
        <v>0</v>
      </c>
      <c r="AH391" s="13" t="n">
        <v>0</v>
      </c>
      <c r="AI391" s="13">
        <f>AF391+AG391+AH391</f>
        <v/>
      </c>
      <c r="AJ391" s="14" t="n">
        <v>0</v>
      </c>
      <c r="AK391" s="14" t="n">
        <v>0</v>
      </c>
      <c r="AL391" s="14" t="n">
        <v>0</v>
      </c>
      <c r="AM391" s="14">
        <f>AJ391+AK391+AL391</f>
        <v/>
      </c>
      <c r="AN391" s="14">
        <f>AN390+AM391</f>
        <v/>
      </c>
    </row>
    <row r="392">
      <c r="A392" s="8" t="n">
        <v>16</v>
      </c>
      <c r="B392" s="8" t="n">
        <v>1</v>
      </c>
      <c r="C392" s="8" t="n">
        <v>1</v>
      </c>
      <c r="D392" s="8" t="inlineStr">
        <is>
          <t>版本免费+义相逢 + 月卡收益</t>
        </is>
      </c>
      <c r="E392" s="9" t="n">
        <v>1560</v>
      </c>
      <c r="F392" s="9" t="n">
        <v>1540</v>
      </c>
      <c r="G392" s="9" t="n">
        <v>4800</v>
      </c>
      <c r="H392" s="9" t="n">
        <v>0</v>
      </c>
      <c r="I392" s="9" t="n">
        <v>0</v>
      </c>
      <c r="J392" s="9" t="n">
        <v>0</v>
      </c>
      <c r="K392" s="9">
        <f>E392+F392+G392+H392+I392-J392</f>
        <v/>
      </c>
      <c r="L392" s="10" t="n">
        <v>0</v>
      </c>
      <c r="M392" s="10" t="n">
        <v>85</v>
      </c>
      <c r="N392" s="10" t="n">
        <v>6</v>
      </c>
      <c r="O392" s="10">
        <f>J392/160</f>
        <v/>
      </c>
      <c r="P392" s="10" t="n">
        <v>60</v>
      </c>
      <c r="Q392" s="10">
        <f>L392+M392+N392+O392-P392</f>
        <v/>
      </c>
      <c r="R392" s="11" t="n">
        <v>2</v>
      </c>
      <c r="S392" s="11">
        <f>N(V392) + N(X392) + N(Z392)</f>
        <v/>
      </c>
      <c r="T392" s="11">
        <f>R392+P392-S392</f>
        <v/>
      </c>
      <c r="U392" s="11" t="inlineStr">
        <is>
          <t>是</t>
        </is>
      </c>
      <c r="V392" s="11" t="n">
        <v>46</v>
      </c>
      <c r="W392" s="11" t="inlineStr">
        <is>
          <t>否</t>
        </is>
      </c>
      <c r="X392" s="11" t="inlineStr">
        <is>
          <t>-</t>
        </is>
      </c>
      <c r="Y392" s="11" t="inlineStr">
        <is>
          <t>-</t>
        </is>
      </c>
      <c r="Z392" s="11" t="n">
        <v>0</v>
      </c>
      <c r="AA392" s="11" t="inlineStr">
        <is>
          <t>垫到60抽</t>
        </is>
      </c>
      <c r="AB392" s="12" t="n">
        <v>801</v>
      </c>
      <c r="AC392" s="12" t="n">
        <v>4</v>
      </c>
      <c r="AD392" s="12" t="n">
        <v>0</v>
      </c>
      <c r="AE392" s="12">
        <f>AB392+AC392+AD392</f>
        <v/>
      </c>
      <c r="AF392" s="13" t="n">
        <v>105000</v>
      </c>
      <c r="AG392" s="13" t="n">
        <v>0</v>
      </c>
      <c r="AH392" s="13" t="n">
        <v>0</v>
      </c>
      <c r="AI392" s="13">
        <f>AF392+AG392+AH392</f>
        <v/>
      </c>
      <c r="AJ392" s="14" t="n">
        <v>0</v>
      </c>
      <c r="AK392" s="14" t="n">
        <v>50</v>
      </c>
      <c r="AL392" s="14" t="n">
        <v>0</v>
      </c>
      <c r="AM392" s="14">
        <f>AJ392+AK392+AL392</f>
        <v/>
      </c>
      <c r="AN392" s="14">
        <f>AM392</f>
        <v/>
      </c>
    </row>
    <row r="393">
      <c r="A393" s="8" t="n">
        <v>16</v>
      </c>
      <c r="B393" s="8" t="n">
        <v>1</v>
      </c>
      <c r="C393" s="8" t="n">
        <v>2</v>
      </c>
      <c r="D393" s="8" t="inlineStr">
        <is>
          <t>月卡收益 [月卡续费-30元]</t>
        </is>
      </c>
      <c r="E393" s="9">
        <f>K392</f>
        <v/>
      </c>
      <c r="F393" s="9" t="n">
        <v>1540</v>
      </c>
      <c r="G393" s="9" t="n">
        <v>0</v>
      </c>
      <c r="H393" s="9" t="n">
        <v>0</v>
      </c>
      <c r="I393" s="9" t="n">
        <v>0</v>
      </c>
      <c r="J393" s="9" t="n">
        <v>960</v>
      </c>
      <c r="K393" s="9">
        <f>E393+F393+G393+H393+I393-J393</f>
        <v/>
      </c>
      <c r="L393" s="10">
        <f>Q392</f>
        <v/>
      </c>
      <c r="M393" s="10" t="n">
        <v>0</v>
      </c>
      <c r="N393" s="10" t="n">
        <v>3</v>
      </c>
      <c r="O393" s="10">
        <f>J393/160</f>
        <v/>
      </c>
      <c r="P393" s="10" t="n">
        <v>40</v>
      </c>
      <c r="Q393" s="10">
        <f>L393+M393+N393+O393-P393</f>
        <v/>
      </c>
      <c r="R393" s="11">
        <f>T392</f>
        <v/>
      </c>
      <c r="S393" s="11">
        <f>N(V393) + N(X393) + N(Z393)</f>
        <v/>
      </c>
      <c r="T393" s="11">
        <f>R393+P393-S393</f>
        <v/>
      </c>
      <c r="U393" s="11" t="inlineStr">
        <is>
          <t>是</t>
        </is>
      </c>
      <c r="V393" s="11" t="n">
        <v>48</v>
      </c>
      <c r="W393" s="11" t="inlineStr">
        <is>
          <t>否</t>
        </is>
      </c>
      <c r="X393" s="11" t="inlineStr">
        <is>
          <t>-</t>
        </is>
      </c>
      <c r="Y393" s="11" t="inlineStr">
        <is>
          <t>-</t>
        </is>
      </c>
      <c r="Z393" s="11" t="n">
        <v>0</v>
      </c>
      <c r="AA393" s="11" t="inlineStr">
        <is>
          <t>无</t>
        </is>
      </c>
      <c r="AB393" s="12">
        <f>AE392</f>
        <v/>
      </c>
      <c r="AC393" s="12" t="n">
        <v>0</v>
      </c>
      <c r="AD393" s="12" t="n">
        <v>0</v>
      </c>
      <c r="AE393" s="12">
        <f>AB393+AC393+AD393</f>
        <v/>
      </c>
      <c r="AF393" s="13">
        <f>AI392</f>
        <v/>
      </c>
      <c r="AG393" s="13" t="n">
        <v>0</v>
      </c>
      <c r="AH393" s="13" t="n">
        <v>0</v>
      </c>
      <c r="AI393" s="13">
        <f>AF393+AG393+AH393</f>
        <v/>
      </c>
      <c r="AJ393" s="14" t="n">
        <v>30</v>
      </c>
      <c r="AK393" s="14" t="n">
        <v>0</v>
      </c>
      <c r="AL393" s="14" t="n">
        <v>0</v>
      </c>
      <c r="AM393" s="14">
        <f>AJ393+AK393+AL393</f>
        <v/>
      </c>
      <c r="AN393" s="14">
        <f>AN392+AM393</f>
        <v/>
      </c>
    </row>
    <row r="394">
      <c r="A394" s="8" t="n">
        <v>16</v>
      </c>
      <c r="B394" s="8" t="n">
        <v>2</v>
      </c>
      <c r="C394" s="8" t="n">
        <v>1</v>
      </c>
      <c r="D394" s="8" t="inlineStr">
        <is>
          <t>版本免费+义相逢 + 月卡收益</t>
        </is>
      </c>
      <c r="E394" s="9">
        <f>K393</f>
        <v/>
      </c>
      <c r="F394" s="9" t="n">
        <v>1540</v>
      </c>
      <c r="G394" s="9" t="n">
        <v>4800</v>
      </c>
      <c r="H394" s="9" t="n">
        <v>0</v>
      </c>
      <c r="I394" s="9" t="n">
        <v>0</v>
      </c>
      <c r="J394" s="9" t="n">
        <v>640</v>
      </c>
      <c r="K394" s="9">
        <f>E394+F394+G394+H394+I394-J394</f>
        <v/>
      </c>
      <c r="L394" s="10">
        <f>Q393</f>
        <v/>
      </c>
      <c r="M394" s="10" t="n">
        <v>85</v>
      </c>
      <c r="N394" s="10" t="n">
        <v>11</v>
      </c>
      <c r="O394" s="10">
        <f>J394/160</f>
        <v/>
      </c>
      <c r="P394" s="10" t="n">
        <v>100</v>
      </c>
      <c r="Q394" s="10">
        <f>L394+M394+N394+O394-P394</f>
        <v/>
      </c>
      <c r="R394" s="11">
        <f>T393</f>
        <v/>
      </c>
      <c r="S394" s="11">
        <f>N(V394) + N(X394) + N(Z394)</f>
        <v/>
      </c>
      <c r="T394" s="11">
        <f>R394+P394-S394</f>
        <v/>
      </c>
      <c r="U394" s="11" t="inlineStr">
        <is>
          <t>是</t>
        </is>
      </c>
      <c r="V394" s="11" t="n">
        <v>50</v>
      </c>
      <c r="W394" s="11" t="inlineStr">
        <is>
          <t>是</t>
        </is>
      </c>
      <c r="X394" s="11" t="n">
        <v>49</v>
      </c>
      <c r="Y394" s="11" t="inlineStr">
        <is>
          <t>-</t>
        </is>
      </c>
      <c r="Z394" s="11" t="n">
        <v>0</v>
      </c>
      <c r="AA394" s="11" t="inlineStr">
        <is>
          <t>无</t>
        </is>
      </c>
      <c r="AB394" s="12">
        <f>AE393</f>
        <v/>
      </c>
      <c r="AC394" s="12" t="n">
        <v>4</v>
      </c>
      <c r="AD394" s="12" t="n">
        <v>0</v>
      </c>
      <c r="AE394" s="12">
        <f>AB394+AC394+AD394</f>
        <v/>
      </c>
      <c r="AF394" s="13">
        <f>AI393</f>
        <v/>
      </c>
      <c r="AG394" s="13" t="n">
        <v>0</v>
      </c>
      <c r="AH394" s="13" t="n">
        <v>0</v>
      </c>
      <c r="AI394" s="13">
        <f>AF394+AG394+AH394</f>
        <v/>
      </c>
      <c r="AJ394" s="14" t="n">
        <v>0</v>
      </c>
      <c r="AK394" s="14" t="n">
        <v>50</v>
      </c>
      <c r="AL394" s="14" t="n">
        <v>0</v>
      </c>
      <c r="AM394" s="14">
        <f>AJ394+AK394+AL394</f>
        <v/>
      </c>
      <c r="AN394" s="14">
        <f>AN393+AM394</f>
        <v/>
      </c>
    </row>
    <row r="395">
      <c r="A395" s="8" t="n">
        <v>16</v>
      </c>
      <c r="B395" s="8" t="n">
        <v>2</v>
      </c>
      <c r="C395" s="8" t="n">
        <v>2</v>
      </c>
      <c r="D395" s="8" t="inlineStr">
        <is>
          <t>月卡收益 [月卡续费-30元]</t>
        </is>
      </c>
      <c r="E395" s="9">
        <f>K394</f>
        <v/>
      </c>
      <c r="F395" s="9" t="n">
        <v>1540</v>
      </c>
      <c r="G395" s="9" t="n">
        <v>0</v>
      </c>
      <c r="H395" s="9" t="n">
        <v>0</v>
      </c>
      <c r="I395" s="9" t="n">
        <v>0</v>
      </c>
      <c r="J395" s="9" t="n">
        <v>13440</v>
      </c>
      <c r="K395" s="9">
        <f>E395+F395+G395+H395+I395-J395</f>
        <v/>
      </c>
      <c r="L395" s="10">
        <f>Q394</f>
        <v/>
      </c>
      <c r="M395" s="10" t="n">
        <v>0</v>
      </c>
      <c r="N395" s="10" t="n">
        <v>11</v>
      </c>
      <c r="O395" s="10">
        <f>J395/160</f>
        <v/>
      </c>
      <c r="P395" s="10" t="n">
        <v>90</v>
      </c>
      <c r="Q395" s="10">
        <f>L395+M395+N395+O395-P395</f>
        <v/>
      </c>
      <c r="R395" s="11">
        <f>T394</f>
        <v/>
      </c>
      <c r="S395" s="11">
        <f>N(V395) + N(X395) + N(Z395)</f>
        <v/>
      </c>
      <c r="T395" s="11">
        <f>R395+P395-S395</f>
        <v/>
      </c>
      <c r="U395" s="11" t="inlineStr">
        <is>
          <t>是</t>
        </is>
      </c>
      <c r="V395" s="11" t="n">
        <v>48</v>
      </c>
      <c r="W395" s="11" t="inlineStr">
        <is>
          <t>是</t>
        </is>
      </c>
      <c r="X395" s="11" t="n">
        <v>51</v>
      </c>
      <c r="Y395" s="11" t="inlineStr">
        <is>
          <t>-</t>
        </is>
      </c>
      <c r="Z395" s="11" t="n">
        <v>0</v>
      </c>
      <c r="AA395" s="11" t="inlineStr">
        <is>
          <t>无</t>
        </is>
      </c>
      <c r="AB395" s="12">
        <f>AE394</f>
        <v/>
      </c>
      <c r="AC395" s="12" t="n">
        <v>0</v>
      </c>
      <c r="AD395" s="12" t="n">
        <v>0</v>
      </c>
      <c r="AE395" s="12">
        <f>AB395+AC395+AD395</f>
        <v/>
      </c>
      <c r="AF395" s="13">
        <f>AI394</f>
        <v/>
      </c>
      <c r="AG395" s="13" t="n">
        <v>0</v>
      </c>
      <c r="AH395" s="13" t="n">
        <v>0</v>
      </c>
      <c r="AI395" s="13">
        <f>AF395+AG395+AH395</f>
        <v/>
      </c>
      <c r="AJ395" s="14" t="n">
        <v>30</v>
      </c>
      <c r="AK395" s="14" t="n">
        <v>0</v>
      </c>
      <c r="AL395" s="14" t="n">
        <v>0</v>
      </c>
      <c r="AM395" s="14">
        <f>AJ395+AK395+AL395</f>
        <v/>
      </c>
      <c r="AN395" s="14">
        <f>AN394+AM395</f>
        <v/>
      </c>
    </row>
    <row r="396">
      <c r="A396" s="8" t="n">
        <v>16</v>
      </c>
      <c r="B396" s="8" t="n">
        <v>3</v>
      </c>
      <c r="C396" s="8" t="n">
        <v>1</v>
      </c>
      <c r="D396" s="8" t="inlineStr">
        <is>
          <t>版本免费+义相逢 + 月卡收益</t>
        </is>
      </c>
      <c r="E396" s="9">
        <f>K395</f>
        <v/>
      </c>
      <c r="F396" s="9" t="n">
        <v>1540</v>
      </c>
      <c r="G396" s="9" t="n">
        <v>4800</v>
      </c>
      <c r="H396" s="9" t="n">
        <v>0</v>
      </c>
      <c r="I396" s="9" t="n">
        <v>0</v>
      </c>
      <c r="J396" s="9" t="n">
        <v>0</v>
      </c>
      <c r="K396" s="9">
        <f>E396+F396+G396+H396+I396-J396</f>
        <v/>
      </c>
      <c r="L396" s="10">
        <f>Q395</f>
        <v/>
      </c>
      <c r="M396" s="10" t="n">
        <v>85</v>
      </c>
      <c r="N396" s="10" t="n">
        <v>6</v>
      </c>
      <c r="O396" s="10">
        <f>J396/160</f>
        <v/>
      </c>
      <c r="P396" s="10" t="n">
        <v>60</v>
      </c>
      <c r="Q396" s="10">
        <f>L396+M396+N396+O396-P396</f>
        <v/>
      </c>
      <c r="R396" s="11">
        <f>T395</f>
        <v/>
      </c>
      <c r="S396" s="11">
        <f>N(V396) + N(X396) + N(Z396)</f>
        <v/>
      </c>
      <c r="T396" s="11">
        <f>R396+P396-S396</f>
        <v/>
      </c>
      <c r="U396" s="11" t="inlineStr">
        <is>
          <t>是</t>
        </is>
      </c>
      <c r="V396" s="11" t="n">
        <v>49</v>
      </c>
      <c r="W396" s="11" t="inlineStr">
        <is>
          <t>否</t>
        </is>
      </c>
      <c r="X396" s="11" t="inlineStr">
        <is>
          <t>-</t>
        </is>
      </c>
      <c r="Y396" s="11" t="inlineStr">
        <is>
          <t>-</t>
        </is>
      </c>
      <c r="Z396" s="11" t="n">
        <v>0</v>
      </c>
      <c r="AA396" s="11" t="inlineStr">
        <is>
          <t>垫到60抽</t>
        </is>
      </c>
      <c r="AB396" s="12">
        <f>AE395</f>
        <v/>
      </c>
      <c r="AC396" s="12" t="n">
        <v>4</v>
      </c>
      <c r="AD396" s="12" t="n">
        <v>0</v>
      </c>
      <c r="AE396" s="12">
        <f>AB396+AC396+AD396</f>
        <v/>
      </c>
      <c r="AF396" s="13">
        <f>AI395</f>
        <v/>
      </c>
      <c r="AG396" s="13" t="n">
        <v>0</v>
      </c>
      <c r="AH396" s="13" t="n">
        <v>0</v>
      </c>
      <c r="AI396" s="13">
        <f>AF396+AG396+AH396</f>
        <v/>
      </c>
      <c r="AJ396" s="14" t="n">
        <v>0</v>
      </c>
      <c r="AK396" s="14" t="n">
        <v>50</v>
      </c>
      <c r="AL396" s="14" t="n">
        <v>0</v>
      </c>
      <c r="AM396" s="14">
        <f>AJ396+AK396+AL396</f>
        <v/>
      </c>
      <c r="AN396" s="14">
        <f>AN395+AM396</f>
        <v/>
      </c>
    </row>
    <row r="397">
      <c r="A397" s="8" t="n">
        <v>16</v>
      </c>
      <c r="B397" s="8" t="n">
        <v>3</v>
      </c>
      <c r="C397" s="8" t="n">
        <v>2</v>
      </c>
      <c r="D397" s="8" t="inlineStr">
        <is>
          <t>月卡收益 [月卡续费-30元]</t>
        </is>
      </c>
      <c r="E397" s="9">
        <f>K396</f>
        <v/>
      </c>
      <c r="F397" s="9" t="n">
        <v>1540</v>
      </c>
      <c r="G397" s="9" t="n">
        <v>0</v>
      </c>
      <c r="H397" s="9" t="n">
        <v>0</v>
      </c>
      <c r="I397" s="9" t="n">
        <v>0</v>
      </c>
      <c r="J397" s="9" t="n">
        <v>7680</v>
      </c>
      <c r="K397" s="9">
        <f>E397+F397+G397+H397+I397-J397</f>
        <v/>
      </c>
      <c r="L397" s="10">
        <f>Q396</f>
        <v/>
      </c>
      <c r="M397" s="10" t="n">
        <v>0</v>
      </c>
      <c r="N397" s="10" t="n">
        <v>11</v>
      </c>
      <c r="O397" s="10">
        <f>J397/160</f>
        <v/>
      </c>
      <c r="P397" s="10" t="n">
        <v>90</v>
      </c>
      <c r="Q397" s="10">
        <f>L397+M397+N397+O397-P397</f>
        <v/>
      </c>
      <c r="R397" s="11">
        <f>T396</f>
        <v/>
      </c>
      <c r="S397" s="11">
        <f>N(V397) + N(X397) + N(Z397)</f>
        <v/>
      </c>
      <c r="T397" s="11">
        <f>R397+P397-S397</f>
        <v/>
      </c>
      <c r="U397" s="11" t="inlineStr">
        <is>
          <t>是</t>
        </is>
      </c>
      <c r="V397" s="11" t="n">
        <v>49</v>
      </c>
      <c r="W397" s="11" t="inlineStr">
        <is>
          <t>是</t>
        </is>
      </c>
      <c r="X397" s="11" t="n">
        <v>46</v>
      </c>
      <c r="Y397" s="11" t="inlineStr">
        <is>
          <t>-</t>
        </is>
      </c>
      <c r="Z397" s="11" t="n">
        <v>0</v>
      </c>
      <c r="AA397" s="11" t="inlineStr">
        <is>
          <t>无</t>
        </is>
      </c>
      <c r="AB397" s="12">
        <f>AE396</f>
        <v/>
      </c>
      <c r="AC397" s="12" t="n">
        <v>0</v>
      </c>
      <c r="AD397" s="12" t="n">
        <v>0</v>
      </c>
      <c r="AE397" s="12">
        <f>AB397+AC397+AD397</f>
        <v/>
      </c>
      <c r="AF397" s="13">
        <f>AI396</f>
        <v/>
      </c>
      <c r="AG397" s="13" t="n">
        <v>0</v>
      </c>
      <c r="AH397" s="13" t="n">
        <v>0</v>
      </c>
      <c r="AI397" s="13">
        <f>AF397+AG397+AH397</f>
        <v/>
      </c>
      <c r="AJ397" s="14" t="n">
        <v>30</v>
      </c>
      <c r="AK397" s="14" t="n">
        <v>0</v>
      </c>
      <c r="AL397" s="14" t="n">
        <v>0</v>
      </c>
      <c r="AM397" s="14">
        <f>AJ397+AK397+AL397</f>
        <v/>
      </c>
      <c r="AN397" s="14">
        <f>AN396+AM397</f>
        <v/>
      </c>
    </row>
    <row r="398">
      <c r="A398" s="8" t="n">
        <v>16</v>
      </c>
      <c r="B398" s="8" t="n">
        <v>4</v>
      </c>
      <c r="C398" s="8" t="n">
        <v>1</v>
      </c>
      <c r="D398" s="8" t="inlineStr">
        <is>
          <t>版本免费+义相逢 + 月卡收益</t>
        </is>
      </c>
      <c r="E398" s="9">
        <f>K397</f>
        <v/>
      </c>
      <c r="F398" s="9" t="n">
        <v>1540</v>
      </c>
      <c r="G398" s="9" t="n">
        <v>4800</v>
      </c>
      <c r="H398" s="9" t="n">
        <v>0</v>
      </c>
      <c r="I398" s="9" t="n">
        <v>0</v>
      </c>
      <c r="J398" s="9" t="n">
        <v>0</v>
      </c>
      <c r="K398" s="9">
        <f>E398+F398+G398+H398+I398-J398</f>
        <v/>
      </c>
      <c r="L398" s="10">
        <f>Q397</f>
        <v/>
      </c>
      <c r="M398" s="10" t="n">
        <v>85</v>
      </c>
      <c r="N398" s="10" t="n">
        <v>6</v>
      </c>
      <c r="O398" s="10">
        <f>J398/160</f>
        <v/>
      </c>
      <c r="P398" s="10" t="n">
        <v>60</v>
      </c>
      <c r="Q398" s="10">
        <f>L398+M398+N398+O398-P398</f>
        <v/>
      </c>
      <c r="R398" s="11">
        <f>T397</f>
        <v/>
      </c>
      <c r="S398" s="11">
        <f>N(V398) + N(X398) + N(Z398)</f>
        <v/>
      </c>
      <c r="T398" s="11">
        <f>R398+P398-S398</f>
        <v/>
      </c>
      <c r="U398" s="11" t="inlineStr">
        <is>
          <t>是</t>
        </is>
      </c>
      <c r="V398" s="11" t="n">
        <v>47</v>
      </c>
      <c r="W398" s="11" t="inlineStr">
        <is>
          <t>否</t>
        </is>
      </c>
      <c r="X398" s="11" t="inlineStr">
        <is>
          <t>-</t>
        </is>
      </c>
      <c r="Y398" s="11" t="inlineStr">
        <is>
          <t>-</t>
        </is>
      </c>
      <c r="Z398" s="11" t="n">
        <v>0</v>
      </c>
      <c r="AA398" s="11" t="inlineStr">
        <is>
          <t>垫到60抽</t>
        </is>
      </c>
      <c r="AB398" s="12">
        <f>AE397</f>
        <v/>
      </c>
      <c r="AC398" s="12" t="n">
        <v>4</v>
      </c>
      <c r="AD398" s="12" t="n">
        <v>0</v>
      </c>
      <c r="AE398" s="12">
        <f>AB398+AC398+AD398</f>
        <v/>
      </c>
      <c r="AF398" s="13">
        <f>AI397</f>
        <v/>
      </c>
      <c r="AG398" s="13" t="n">
        <v>0</v>
      </c>
      <c r="AH398" s="13" t="n">
        <v>0</v>
      </c>
      <c r="AI398" s="13">
        <f>AF398+AG398+AH398</f>
        <v/>
      </c>
      <c r="AJ398" s="14" t="n">
        <v>0</v>
      </c>
      <c r="AK398" s="14" t="n">
        <v>50</v>
      </c>
      <c r="AL398" s="14" t="n">
        <v>0</v>
      </c>
      <c r="AM398" s="14">
        <f>AJ398+AK398+AL398</f>
        <v/>
      </c>
      <c r="AN398" s="14">
        <f>AN397+AM398</f>
        <v/>
      </c>
    </row>
    <row r="399">
      <c r="A399" s="8" t="n">
        <v>16</v>
      </c>
      <c r="B399" s="8" t="n">
        <v>4</v>
      </c>
      <c r="C399" s="8" t="n">
        <v>2</v>
      </c>
      <c r="D399" s="8" t="inlineStr">
        <is>
          <t>月卡收益 [月卡续费-30元]</t>
        </is>
      </c>
      <c r="E399" s="9">
        <f>K398</f>
        <v/>
      </c>
      <c r="F399" s="9" t="n">
        <v>1540</v>
      </c>
      <c r="G399" s="9" t="n">
        <v>0</v>
      </c>
      <c r="H399" s="9" t="n">
        <v>0</v>
      </c>
      <c r="I399" s="9" t="n">
        <v>0</v>
      </c>
      <c r="J399" s="9" t="n">
        <v>7680</v>
      </c>
      <c r="K399" s="9">
        <f>E399+F399+G399+H399+I399-J399</f>
        <v/>
      </c>
      <c r="L399" s="10">
        <f>Q398</f>
        <v/>
      </c>
      <c r="M399" s="10" t="n">
        <v>0</v>
      </c>
      <c r="N399" s="10" t="n">
        <v>11</v>
      </c>
      <c r="O399" s="10">
        <f>J399/160</f>
        <v/>
      </c>
      <c r="P399" s="10" t="n">
        <v>90</v>
      </c>
      <c r="Q399" s="10">
        <f>L399+M399+N399+O399-P399</f>
        <v/>
      </c>
      <c r="R399" s="11">
        <f>T398</f>
        <v/>
      </c>
      <c r="S399" s="11">
        <f>N(V399) + N(X399) + N(Z399)</f>
        <v/>
      </c>
      <c r="T399" s="11">
        <f>R399+P399-S399</f>
        <v/>
      </c>
      <c r="U399" s="11" t="inlineStr">
        <is>
          <t>是</t>
        </is>
      </c>
      <c r="V399" s="11" t="n">
        <v>48</v>
      </c>
      <c r="W399" s="11" t="inlineStr">
        <is>
          <t>是</t>
        </is>
      </c>
      <c r="X399" s="11" t="n">
        <v>49</v>
      </c>
      <c r="Y399" s="11" t="inlineStr">
        <is>
          <t>-</t>
        </is>
      </c>
      <c r="Z399" s="11" t="n">
        <v>0</v>
      </c>
      <c r="AA399" s="11" t="inlineStr">
        <is>
          <t>垫到90抽</t>
        </is>
      </c>
      <c r="AB399" s="12">
        <f>AE398</f>
        <v/>
      </c>
      <c r="AC399" s="12" t="n">
        <v>0</v>
      </c>
      <c r="AD399" s="12" t="n">
        <v>0</v>
      </c>
      <c r="AE399" s="12">
        <f>AB399+AC399+AD399</f>
        <v/>
      </c>
      <c r="AF399" s="13">
        <f>AI398</f>
        <v/>
      </c>
      <c r="AG399" s="13" t="n">
        <v>0</v>
      </c>
      <c r="AH399" s="13" t="n">
        <v>0</v>
      </c>
      <c r="AI399" s="13">
        <f>AF399+AG399+AH399</f>
        <v/>
      </c>
      <c r="AJ399" s="14" t="n">
        <v>30</v>
      </c>
      <c r="AK399" s="14" t="n">
        <v>0</v>
      </c>
      <c r="AL399" s="14" t="n">
        <v>0</v>
      </c>
      <c r="AM399" s="14">
        <f>AJ399+AK399+AL399</f>
        <v/>
      </c>
      <c r="AN399" s="14">
        <f>AN398+AM399</f>
        <v/>
      </c>
    </row>
    <row r="400">
      <c r="A400" s="8" t="n">
        <v>16</v>
      </c>
      <c r="B400" s="8" t="n">
        <v>5</v>
      </c>
      <c r="C400" s="8" t="n">
        <v>1</v>
      </c>
      <c r="D400" s="8" t="inlineStr">
        <is>
          <t>版本免费+义相逢 + 月卡收益</t>
        </is>
      </c>
      <c r="E400" s="9">
        <f>K399</f>
        <v/>
      </c>
      <c r="F400" s="9" t="n">
        <v>1540</v>
      </c>
      <c r="G400" s="9" t="n">
        <v>4800</v>
      </c>
      <c r="H400" s="9" t="n">
        <v>0</v>
      </c>
      <c r="I400" s="9" t="n">
        <v>0</v>
      </c>
      <c r="J400" s="9" t="n">
        <v>0</v>
      </c>
      <c r="K400" s="9">
        <f>E400+F400+G400+H400+I400-J400</f>
        <v/>
      </c>
      <c r="L400" s="10">
        <f>Q399</f>
        <v/>
      </c>
      <c r="M400" s="10" t="n">
        <v>85</v>
      </c>
      <c r="N400" s="10" t="n">
        <v>11</v>
      </c>
      <c r="O400" s="10">
        <f>J400/160</f>
        <v/>
      </c>
      <c r="P400" s="10" t="n">
        <v>90</v>
      </c>
      <c r="Q400" s="10">
        <f>L400+M400+N400+O400-P400</f>
        <v/>
      </c>
      <c r="R400" s="11">
        <f>T399</f>
        <v/>
      </c>
      <c r="S400" s="11">
        <f>N(V400) + N(X400) + N(Z400)</f>
        <v/>
      </c>
      <c r="T400" s="11">
        <f>R400+P400-S400</f>
        <v/>
      </c>
      <c r="U400" s="11" t="inlineStr">
        <is>
          <t>是</t>
        </is>
      </c>
      <c r="V400" s="11" t="n">
        <v>50</v>
      </c>
      <c r="W400" s="11" t="inlineStr">
        <is>
          <t>是</t>
        </is>
      </c>
      <c r="X400" s="11" t="n">
        <v>49</v>
      </c>
      <c r="Y400" s="11" t="inlineStr">
        <is>
          <t>-</t>
        </is>
      </c>
      <c r="Z400" s="11" t="n">
        <v>0</v>
      </c>
      <c r="AA400" s="11" t="inlineStr">
        <is>
          <t>无</t>
        </is>
      </c>
      <c r="AB400" s="12">
        <f>AE399</f>
        <v/>
      </c>
      <c r="AC400" s="12" t="n">
        <v>4</v>
      </c>
      <c r="AD400" s="12" t="n">
        <v>0</v>
      </c>
      <c r="AE400" s="12">
        <f>AB400+AC400+AD400</f>
        <v/>
      </c>
      <c r="AF400" s="13">
        <f>AI399</f>
        <v/>
      </c>
      <c r="AG400" s="13" t="n">
        <v>0</v>
      </c>
      <c r="AH400" s="13" t="n">
        <v>0</v>
      </c>
      <c r="AI400" s="13">
        <f>AF400+AG400+AH400</f>
        <v/>
      </c>
      <c r="AJ400" s="14" t="n">
        <v>0</v>
      </c>
      <c r="AK400" s="14" t="n">
        <v>50</v>
      </c>
      <c r="AL400" s="14" t="n">
        <v>0</v>
      </c>
      <c r="AM400" s="14">
        <f>AJ400+AK400+AL400</f>
        <v/>
      </c>
      <c r="AN400" s="14">
        <f>AN399+AM400</f>
        <v/>
      </c>
    </row>
    <row r="401">
      <c r="A401" s="8" t="n">
        <v>16</v>
      </c>
      <c r="B401" s="8" t="n">
        <v>5</v>
      </c>
      <c r="C401" s="8" t="n">
        <v>2</v>
      </c>
      <c r="D401" s="8" t="inlineStr">
        <is>
          <t>月卡收益 [月卡续费-30元]</t>
        </is>
      </c>
      <c r="E401" s="9">
        <f>K400</f>
        <v/>
      </c>
      <c r="F401" s="9" t="n">
        <v>1540</v>
      </c>
      <c r="G401" s="9" t="n">
        <v>0</v>
      </c>
      <c r="H401" s="9" t="n">
        <v>0</v>
      </c>
      <c r="I401" s="9" t="n">
        <v>0</v>
      </c>
      <c r="J401" s="9" t="n">
        <v>10080</v>
      </c>
      <c r="K401" s="9">
        <f>E401+F401+G401+H401+I401-J401</f>
        <v/>
      </c>
      <c r="L401" s="10">
        <f>Q400</f>
        <v/>
      </c>
      <c r="M401" s="10" t="n">
        <v>0</v>
      </c>
      <c r="N401" s="10" t="n">
        <v>6</v>
      </c>
      <c r="O401" s="10">
        <f>J401/160</f>
        <v/>
      </c>
      <c r="P401" s="10" t="n">
        <v>80</v>
      </c>
      <c r="Q401" s="10">
        <f>L401+M401+N401+O401-P401</f>
        <v/>
      </c>
      <c r="R401" s="11">
        <f>T400</f>
        <v/>
      </c>
      <c r="S401" s="11">
        <f>N(V401) + N(X401) + N(Z401)</f>
        <v/>
      </c>
      <c r="T401" s="11">
        <f>R401+P401-S401</f>
        <v/>
      </c>
      <c r="U401" s="11" t="inlineStr">
        <is>
          <t>否</t>
        </is>
      </c>
      <c r="V401" s="11" t="inlineStr">
        <is>
          <t>-</t>
        </is>
      </c>
      <c r="W401" s="11" t="inlineStr">
        <is>
          <t>是</t>
        </is>
      </c>
      <c r="X401" s="11" t="n">
        <v>48</v>
      </c>
      <c r="Y401" s="11" t="inlineStr">
        <is>
          <t>-</t>
        </is>
      </c>
      <c r="Z401" s="11" t="n">
        <v>0</v>
      </c>
      <c r="AA401" s="11" t="inlineStr">
        <is>
          <t>无</t>
        </is>
      </c>
      <c r="AB401" s="12">
        <f>AE400</f>
        <v/>
      </c>
      <c r="AC401" s="12" t="n">
        <v>0</v>
      </c>
      <c r="AD401" s="12" t="n">
        <v>0</v>
      </c>
      <c r="AE401" s="12">
        <f>AB401+AC401+AD401</f>
        <v/>
      </c>
      <c r="AF401" s="13">
        <f>AI400</f>
        <v/>
      </c>
      <c r="AG401" s="13" t="n">
        <v>0</v>
      </c>
      <c r="AH401" s="13" t="n">
        <v>0</v>
      </c>
      <c r="AI401" s="13">
        <f>AF401+AG401+AH401</f>
        <v/>
      </c>
      <c r="AJ401" s="14" t="n">
        <v>30</v>
      </c>
      <c r="AK401" s="14" t="n">
        <v>0</v>
      </c>
      <c r="AL401" s="14" t="n">
        <v>0</v>
      </c>
      <c r="AM401" s="14">
        <f>AJ401+AK401+AL401</f>
        <v/>
      </c>
      <c r="AN401" s="14">
        <f>AN400+AM401</f>
        <v/>
      </c>
    </row>
    <row r="402">
      <c r="A402" s="8" t="n">
        <v>16</v>
      </c>
      <c r="B402" s="8" t="n">
        <v>6</v>
      </c>
      <c r="C402" s="8" t="n">
        <v>1</v>
      </c>
      <c r="D402" s="8" t="inlineStr">
        <is>
          <t>版本免费+义相逢 + 月卡收益</t>
        </is>
      </c>
      <c r="E402" s="9">
        <f>K401</f>
        <v/>
      </c>
      <c r="F402" s="9" t="n">
        <v>1540</v>
      </c>
      <c r="G402" s="9" t="n">
        <v>4800</v>
      </c>
      <c r="H402" s="9" t="n">
        <v>0</v>
      </c>
      <c r="I402" s="9" t="n">
        <v>0</v>
      </c>
      <c r="J402" s="9" t="n">
        <v>0</v>
      </c>
      <c r="K402" s="9">
        <f>E402+F402+G402+H402+I402-J402</f>
        <v/>
      </c>
      <c r="L402" s="10">
        <f>Q401</f>
        <v/>
      </c>
      <c r="M402" s="10" t="n">
        <v>85</v>
      </c>
      <c r="N402" s="10" t="n">
        <v>1</v>
      </c>
      <c r="O402" s="10">
        <f>J402/160</f>
        <v/>
      </c>
      <c r="P402" s="10" t="n">
        <v>20</v>
      </c>
      <c r="Q402" s="10">
        <f>L402+M402+N402+O402-P402</f>
        <v/>
      </c>
      <c r="R402" s="11">
        <f>T401</f>
        <v/>
      </c>
      <c r="S402" s="11">
        <f>N(V402) + N(X402) + N(Z402)</f>
        <v/>
      </c>
      <c r="T402" s="11">
        <f>R402+P402-S402</f>
        <v/>
      </c>
      <c r="U402" s="11" t="inlineStr">
        <is>
          <t>是</t>
        </is>
      </c>
      <c r="V402" s="11" t="n">
        <v>48</v>
      </c>
      <c r="W402" s="11" t="inlineStr">
        <is>
          <t>否</t>
        </is>
      </c>
      <c r="X402" s="11" t="inlineStr">
        <is>
          <t>-</t>
        </is>
      </c>
      <c r="Y402" s="11" t="inlineStr">
        <is>
          <t>-</t>
        </is>
      </c>
      <c r="Z402" s="11" t="n">
        <v>0</v>
      </c>
      <c r="AA402" s="11" t="inlineStr">
        <is>
          <t>无</t>
        </is>
      </c>
      <c r="AB402" s="12">
        <f>AE401</f>
        <v/>
      </c>
      <c r="AC402" s="12" t="n">
        <v>4</v>
      </c>
      <c r="AD402" s="12" t="n">
        <v>0</v>
      </c>
      <c r="AE402" s="12">
        <f>AB402+AC402+AD402</f>
        <v/>
      </c>
      <c r="AF402" s="13">
        <f>AI401</f>
        <v/>
      </c>
      <c r="AG402" s="13" t="n">
        <v>0</v>
      </c>
      <c r="AH402" s="13" t="n">
        <v>0</v>
      </c>
      <c r="AI402" s="13">
        <f>AF402+AG402+AH402</f>
        <v/>
      </c>
      <c r="AJ402" s="14" t="n">
        <v>0</v>
      </c>
      <c r="AK402" s="14" t="n">
        <v>50</v>
      </c>
      <c r="AL402" s="14" t="n">
        <v>0</v>
      </c>
      <c r="AM402" s="14">
        <f>AJ402+AK402+AL402</f>
        <v/>
      </c>
      <c r="AN402" s="14">
        <f>AN401+AM402</f>
        <v/>
      </c>
    </row>
    <row r="403">
      <c r="A403" s="8" t="n">
        <v>16</v>
      </c>
      <c r="B403" s="8" t="n">
        <v>6</v>
      </c>
      <c r="C403" s="8" t="n">
        <v>2</v>
      </c>
      <c r="D403" s="8" t="inlineStr">
        <is>
          <t>月卡收益 [月卡续费-30元]</t>
        </is>
      </c>
      <c r="E403" s="9">
        <f>K402</f>
        <v/>
      </c>
      <c r="F403" s="9" t="n">
        <v>1540</v>
      </c>
      <c r="G403" s="9" t="n">
        <v>0</v>
      </c>
      <c r="H403" s="9" t="n">
        <v>0</v>
      </c>
      <c r="I403" s="9" t="n">
        <v>0</v>
      </c>
      <c r="J403" s="9" t="n">
        <v>2880</v>
      </c>
      <c r="K403" s="9">
        <f>E403+F403+G403+H403+I403-J403</f>
        <v/>
      </c>
      <c r="L403" s="10">
        <f>Q402</f>
        <v/>
      </c>
      <c r="M403" s="10" t="n">
        <v>0</v>
      </c>
      <c r="N403" s="10" t="n">
        <v>11</v>
      </c>
      <c r="O403" s="10">
        <f>J403/160</f>
        <v/>
      </c>
      <c r="P403" s="10" t="n">
        <v>90</v>
      </c>
      <c r="Q403" s="10">
        <f>L403+M403+N403+O403-P403</f>
        <v/>
      </c>
      <c r="R403" s="11">
        <f>T402</f>
        <v/>
      </c>
      <c r="S403" s="11">
        <f>N(V403) + N(X403) + N(Z403)</f>
        <v/>
      </c>
      <c r="T403" s="11">
        <f>R403+P403-S403</f>
        <v/>
      </c>
      <c r="U403" s="11" t="inlineStr">
        <is>
          <t>是</t>
        </is>
      </c>
      <c r="V403" s="11" t="n">
        <v>47</v>
      </c>
      <c r="W403" s="11" t="inlineStr">
        <is>
          <t>是</t>
        </is>
      </c>
      <c r="X403" s="11" t="n">
        <v>49</v>
      </c>
      <c r="Y403" s="11" t="inlineStr">
        <is>
          <t>-</t>
        </is>
      </c>
      <c r="Z403" s="11" t="n">
        <v>0</v>
      </c>
      <c r="AA403" s="11" t="inlineStr">
        <is>
          <t>无</t>
        </is>
      </c>
      <c r="AB403" s="12">
        <f>AE402</f>
        <v/>
      </c>
      <c r="AC403" s="12" t="n">
        <v>0</v>
      </c>
      <c r="AD403" s="12" t="n">
        <v>0</v>
      </c>
      <c r="AE403" s="12">
        <f>AB403+AC403+AD403</f>
        <v/>
      </c>
      <c r="AF403" s="13">
        <f>AI402</f>
        <v/>
      </c>
      <c r="AG403" s="13" t="n">
        <v>0</v>
      </c>
      <c r="AH403" s="13" t="n">
        <v>0</v>
      </c>
      <c r="AI403" s="13">
        <f>AF403+AG403+AH403</f>
        <v/>
      </c>
      <c r="AJ403" s="14" t="n">
        <v>30</v>
      </c>
      <c r="AK403" s="14" t="n">
        <v>0</v>
      </c>
      <c r="AL403" s="14" t="n">
        <v>0</v>
      </c>
      <c r="AM403" s="14">
        <f>AJ403+AK403+AL403</f>
        <v/>
      </c>
      <c r="AN403" s="14">
        <f>AN402+AM403</f>
        <v/>
      </c>
    </row>
    <row r="404">
      <c r="A404" s="8" t="n">
        <v>16</v>
      </c>
      <c r="B404" s="8" t="n">
        <v>7</v>
      </c>
      <c r="C404" s="8" t="n">
        <v>1</v>
      </c>
      <c r="D404" s="8" t="inlineStr">
        <is>
          <t>版本免费+义相逢 + 月卡收益</t>
        </is>
      </c>
      <c r="E404" s="9">
        <f>K403</f>
        <v/>
      </c>
      <c r="F404" s="9" t="n">
        <v>1540</v>
      </c>
      <c r="G404" s="9" t="n">
        <v>4800</v>
      </c>
      <c r="H404" s="9" t="n">
        <v>0</v>
      </c>
      <c r="I404" s="9" t="n">
        <v>0</v>
      </c>
      <c r="J404" s="9" t="n">
        <v>0</v>
      </c>
      <c r="K404" s="9">
        <f>E404+F404+G404+H404+I404-J404</f>
        <v/>
      </c>
      <c r="L404" s="10">
        <f>Q403</f>
        <v/>
      </c>
      <c r="M404" s="10" t="n">
        <v>85</v>
      </c>
      <c r="N404" s="10" t="n">
        <v>6</v>
      </c>
      <c r="O404" s="10">
        <f>J404/160</f>
        <v/>
      </c>
      <c r="P404" s="10" t="n">
        <v>60</v>
      </c>
      <c r="Q404" s="10">
        <f>L404+M404+N404+O404-P404</f>
        <v/>
      </c>
      <c r="R404" s="11">
        <f>T403</f>
        <v/>
      </c>
      <c r="S404" s="11">
        <f>N(V404) + N(X404) + N(Z404)</f>
        <v/>
      </c>
      <c r="T404" s="11">
        <f>R404+P404-S404</f>
        <v/>
      </c>
      <c r="U404" s="11" t="inlineStr">
        <is>
          <t>是</t>
        </is>
      </c>
      <c r="V404" s="11" t="n">
        <v>49</v>
      </c>
      <c r="W404" s="11" t="inlineStr">
        <is>
          <t>否</t>
        </is>
      </c>
      <c r="X404" s="11" t="inlineStr">
        <is>
          <t>-</t>
        </is>
      </c>
      <c r="Y404" s="11" t="inlineStr">
        <is>
          <t>-</t>
        </is>
      </c>
      <c r="Z404" s="11" t="n">
        <v>0</v>
      </c>
      <c r="AA404" s="11" t="inlineStr">
        <is>
          <t>垫到60抽</t>
        </is>
      </c>
      <c r="AB404" s="12">
        <f>AE403</f>
        <v/>
      </c>
      <c r="AC404" s="12" t="n">
        <v>4</v>
      </c>
      <c r="AD404" s="12" t="n">
        <v>0</v>
      </c>
      <c r="AE404" s="12">
        <f>AB404+AC404+AD404</f>
        <v/>
      </c>
      <c r="AF404" s="13">
        <f>AI403</f>
        <v/>
      </c>
      <c r="AG404" s="13" t="n">
        <v>0</v>
      </c>
      <c r="AH404" s="13" t="n">
        <v>0</v>
      </c>
      <c r="AI404" s="13">
        <f>AF404+AG404+AH404</f>
        <v/>
      </c>
      <c r="AJ404" s="14" t="n">
        <v>0</v>
      </c>
      <c r="AK404" s="14" t="n">
        <v>50</v>
      </c>
      <c r="AL404" s="14" t="n">
        <v>0</v>
      </c>
      <c r="AM404" s="14">
        <f>AJ404+AK404+AL404</f>
        <v/>
      </c>
      <c r="AN404" s="14">
        <f>AN403+AM404</f>
        <v/>
      </c>
    </row>
    <row r="405">
      <c r="A405" s="8" t="n">
        <v>16</v>
      </c>
      <c r="B405" s="8" t="n">
        <v>7</v>
      </c>
      <c r="C405" s="8" t="n">
        <v>2</v>
      </c>
      <c r="D405" s="8" t="inlineStr">
        <is>
          <t>月卡收益 [月卡续费-30元]</t>
        </is>
      </c>
      <c r="E405" s="9">
        <f>K404</f>
        <v/>
      </c>
      <c r="F405" s="9" t="n">
        <v>1540</v>
      </c>
      <c r="G405" s="9" t="n">
        <v>0</v>
      </c>
      <c r="H405" s="9" t="n">
        <v>0</v>
      </c>
      <c r="I405" s="9" t="n">
        <v>0</v>
      </c>
      <c r="J405" s="9" t="n">
        <v>7680</v>
      </c>
      <c r="K405" s="9">
        <f>E405+F405+G405+H405+I405-J405</f>
        <v/>
      </c>
      <c r="L405" s="10">
        <f>Q404</f>
        <v/>
      </c>
      <c r="M405" s="10" t="n">
        <v>0</v>
      </c>
      <c r="N405" s="10" t="n">
        <v>11</v>
      </c>
      <c r="O405" s="10">
        <f>J405/160</f>
        <v/>
      </c>
      <c r="P405" s="10" t="n">
        <v>90</v>
      </c>
      <c r="Q405" s="10">
        <f>L405+M405+N405+O405-P405</f>
        <v/>
      </c>
      <c r="R405" s="11">
        <f>T404</f>
        <v/>
      </c>
      <c r="S405" s="11">
        <f>N(V405) + N(X405) + N(Z405)</f>
        <v/>
      </c>
      <c r="T405" s="11">
        <f>R405+P405-S405</f>
        <v/>
      </c>
      <c r="U405" s="11" t="inlineStr">
        <is>
          <t>是</t>
        </is>
      </c>
      <c r="V405" s="11" t="n">
        <v>40</v>
      </c>
      <c r="W405" s="11" t="inlineStr">
        <is>
          <t>是</t>
        </is>
      </c>
      <c r="X405" s="11" t="n">
        <v>49</v>
      </c>
      <c r="Y405" s="11" t="inlineStr">
        <is>
          <t>-</t>
        </is>
      </c>
      <c r="Z405" s="11" t="n">
        <v>0</v>
      </c>
      <c r="AA405" s="11" t="inlineStr">
        <is>
          <t>垫到90抽</t>
        </is>
      </c>
      <c r="AB405" s="12">
        <f>AE404</f>
        <v/>
      </c>
      <c r="AC405" s="12" t="n">
        <v>0</v>
      </c>
      <c r="AD405" s="12" t="n">
        <v>0</v>
      </c>
      <c r="AE405" s="12">
        <f>AB405+AC405+AD405</f>
        <v/>
      </c>
      <c r="AF405" s="13">
        <f>AI404</f>
        <v/>
      </c>
      <c r="AG405" s="13" t="n">
        <v>0</v>
      </c>
      <c r="AH405" s="13" t="n">
        <v>0</v>
      </c>
      <c r="AI405" s="13">
        <f>AF405+AG405+AH405</f>
        <v/>
      </c>
      <c r="AJ405" s="14" t="n">
        <v>30</v>
      </c>
      <c r="AK405" s="14" t="n">
        <v>0</v>
      </c>
      <c r="AL405" s="14" t="n">
        <v>0</v>
      </c>
      <c r="AM405" s="14">
        <f>AJ405+AK405+AL405</f>
        <v/>
      </c>
      <c r="AN405" s="14">
        <f>AN404+AM405</f>
        <v/>
      </c>
    </row>
    <row r="406">
      <c r="A406" s="8" t="n">
        <v>16</v>
      </c>
      <c r="B406" s="8" t="n">
        <v>8</v>
      </c>
      <c r="C406" s="8" t="n">
        <v>1</v>
      </c>
      <c r="D406" s="8" t="inlineStr">
        <is>
          <t>版本免费+义相逢 + 月卡收益</t>
        </is>
      </c>
      <c r="E406" s="9">
        <f>K405</f>
        <v/>
      </c>
      <c r="F406" s="9" t="n">
        <v>1540</v>
      </c>
      <c r="G406" s="9" t="n">
        <v>4800</v>
      </c>
      <c r="H406" s="9" t="n">
        <v>0</v>
      </c>
      <c r="I406" s="9" t="n">
        <v>0</v>
      </c>
      <c r="J406" s="9" t="n">
        <v>0</v>
      </c>
      <c r="K406" s="9">
        <f>E406+F406+G406+H406+I406-J406</f>
        <v/>
      </c>
      <c r="L406" s="10">
        <f>Q405</f>
        <v/>
      </c>
      <c r="M406" s="10" t="n">
        <v>85</v>
      </c>
      <c r="N406" s="10" t="n">
        <v>3</v>
      </c>
      <c r="O406" s="10">
        <f>J406/160</f>
        <v/>
      </c>
      <c r="P406" s="10" t="n">
        <v>40</v>
      </c>
      <c r="Q406" s="10">
        <f>L406+M406+N406+O406-P406</f>
        <v/>
      </c>
      <c r="R406" s="11">
        <f>T405</f>
        <v/>
      </c>
      <c r="S406" s="11">
        <f>N(V406) + N(X406) + N(Z406)</f>
        <v/>
      </c>
      <c r="T406" s="11">
        <f>R406+P406-S406</f>
        <v/>
      </c>
      <c r="U406" s="11" t="inlineStr">
        <is>
          <t>是</t>
        </is>
      </c>
      <c r="V406" s="11" t="n">
        <v>50</v>
      </c>
      <c r="W406" s="11" t="inlineStr">
        <is>
          <t>否</t>
        </is>
      </c>
      <c r="X406" s="11" t="inlineStr">
        <is>
          <t>-</t>
        </is>
      </c>
      <c r="Y406" s="11" t="inlineStr">
        <is>
          <t>-</t>
        </is>
      </c>
      <c r="Z406" s="11" t="n">
        <v>0</v>
      </c>
      <c r="AA406" s="11" t="inlineStr">
        <is>
          <t>无</t>
        </is>
      </c>
      <c r="AB406" s="12">
        <f>AE405</f>
        <v/>
      </c>
      <c r="AC406" s="12" t="n">
        <v>4</v>
      </c>
      <c r="AD406" s="12" t="n">
        <v>0</v>
      </c>
      <c r="AE406" s="12">
        <f>AB406+AC406+AD406</f>
        <v/>
      </c>
      <c r="AF406" s="13">
        <f>AI405</f>
        <v/>
      </c>
      <c r="AG406" s="13" t="n">
        <v>0</v>
      </c>
      <c r="AH406" s="13" t="n">
        <v>0</v>
      </c>
      <c r="AI406" s="13">
        <f>AF406+AG406+AH406</f>
        <v/>
      </c>
      <c r="AJ406" s="14" t="n">
        <v>0</v>
      </c>
      <c r="AK406" s="14" t="n">
        <v>50</v>
      </c>
      <c r="AL406" s="14" t="n">
        <v>0</v>
      </c>
      <c r="AM406" s="14">
        <f>AJ406+AK406+AL406</f>
        <v/>
      </c>
      <c r="AN406" s="14">
        <f>AN405+AM406</f>
        <v/>
      </c>
    </row>
    <row r="407">
      <c r="A407" s="8" t="n">
        <v>16</v>
      </c>
      <c r="B407" s="8" t="n">
        <v>8</v>
      </c>
      <c r="C407" s="8" t="n">
        <v>2</v>
      </c>
      <c r="D407" s="8" t="inlineStr">
        <is>
          <t>月卡收益</t>
        </is>
      </c>
      <c r="E407" s="9">
        <f>K406</f>
        <v/>
      </c>
      <c r="F407" s="9" t="n">
        <v>1540</v>
      </c>
      <c r="G407" s="9" t="n">
        <v>0</v>
      </c>
      <c r="H407" s="9" t="n">
        <v>0</v>
      </c>
      <c r="I407" s="9" t="n">
        <v>0</v>
      </c>
      <c r="J407" s="9" t="n">
        <v>5760</v>
      </c>
      <c r="K407" s="9">
        <f>E407+F407+G407+H407+I407-J407</f>
        <v/>
      </c>
      <c r="L407" s="10">
        <f>Q406</f>
        <v/>
      </c>
      <c r="M407" s="10" t="n">
        <v>0</v>
      </c>
      <c r="N407" s="10" t="n">
        <v>11</v>
      </c>
      <c r="O407" s="10">
        <f>J407/160</f>
        <v/>
      </c>
      <c r="P407" s="10" t="n">
        <v>100</v>
      </c>
      <c r="Q407" s="10">
        <f>L407+M407+N407+O407-P407</f>
        <v/>
      </c>
      <c r="R407" s="11">
        <f>T406</f>
        <v/>
      </c>
      <c r="S407" s="11">
        <f>N(V407) + N(X407) + N(Z407)</f>
        <v/>
      </c>
      <c r="T407" s="11">
        <f>R407+P407-S407</f>
        <v/>
      </c>
      <c r="U407" s="11" t="inlineStr">
        <is>
          <t>是</t>
        </is>
      </c>
      <c r="V407" s="11" t="n">
        <v>48</v>
      </c>
      <c r="W407" s="11" t="inlineStr">
        <is>
          <t>是</t>
        </is>
      </c>
      <c r="X407" s="11" t="n">
        <v>53</v>
      </c>
      <c r="Y407" s="11" t="inlineStr">
        <is>
          <t>-</t>
        </is>
      </c>
      <c r="Z407" s="11" t="n">
        <v>0</v>
      </c>
      <c r="AA407" s="11" t="inlineStr">
        <is>
          <t>无</t>
        </is>
      </c>
      <c r="AB407" s="12">
        <f>AE406</f>
        <v/>
      </c>
      <c r="AC407" s="12" t="n">
        <v>0</v>
      </c>
      <c r="AD407" s="12" t="n">
        <v>0</v>
      </c>
      <c r="AE407" s="12">
        <f>AB407+AC407+AD407</f>
        <v/>
      </c>
      <c r="AF407" s="13">
        <f>AI406</f>
        <v/>
      </c>
      <c r="AG407" s="13" t="n">
        <v>0</v>
      </c>
      <c r="AH407" s="13" t="n">
        <v>0</v>
      </c>
      <c r="AI407" s="13">
        <f>AF407+AG407+AH407</f>
        <v/>
      </c>
      <c r="AJ407" s="14" t="n">
        <v>0</v>
      </c>
      <c r="AK407" s="14" t="n">
        <v>0</v>
      </c>
      <c r="AL407" s="14" t="n">
        <v>0</v>
      </c>
      <c r="AM407" s="14">
        <f>AJ407+AK407+AL407</f>
        <v/>
      </c>
      <c r="AN407" s="14">
        <f>AN406+AM407</f>
        <v/>
      </c>
    </row>
    <row r="408">
      <c r="A408" s="8" t="n">
        <v>16</v>
      </c>
      <c r="B408" s="8" t="n">
        <v>9</v>
      </c>
      <c r="C408" s="8" t="n">
        <v>1</v>
      </c>
      <c r="D408" s="8" t="inlineStr">
        <is>
          <t>版本免费+义相逢 + 月卡收益 [月卡续费-30元]</t>
        </is>
      </c>
      <c r="E408" s="9">
        <f>K407</f>
        <v/>
      </c>
      <c r="F408" s="9" t="n">
        <v>1540</v>
      </c>
      <c r="G408" s="9" t="n">
        <v>4800</v>
      </c>
      <c r="H408" s="9" t="n">
        <v>0</v>
      </c>
      <c r="I408" s="9" t="n">
        <v>0</v>
      </c>
      <c r="J408" s="9" t="n">
        <v>0</v>
      </c>
      <c r="K408" s="9">
        <f>E408+F408+G408+H408+I408-J408</f>
        <v/>
      </c>
      <c r="L408" s="10">
        <f>Q407</f>
        <v/>
      </c>
      <c r="M408" s="10" t="n">
        <v>85</v>
      </c>
      <c r="N408" s="10" t="n">
        <v>6</v>
      </c>
      <c r="O408" s="10">
        <f>J408/160</f>
        <v/>
      </c>
      <c r="P408" s="10" t="n">
        <v>60</v>
      </c>
      <c r="Q408" s="10">
        <f>L408+M408+N408+O408-P408</f>
        <v/>
      </c>
      <c r="R408" s="11">
        <f>T407</f>
        <v/>
      </c>
      <c r="S408" s="11">
        <f>N(V408) + N(X408) + N(Z408)</f>
        <v/>
      </c>
      <c r="T408" s="11">
        <f>R408+P408-S408</f>
        <v/>
      </c>
      <c r="U408" s="11" t="inlineStr">
        <is>
          <t>是</t>
        </is>
      </c>
      <c r="V408" s="11" t="n">
        <v>52</v>
      </c>
      <c r="W408" s="11" t="inlineStr">
        <is>
          <t>否</t>
        </is>
      </c>
      <c r="X408" s="11" t="inlineStr">
        <is>
          <t>-</t>
        </is>
      </c>
      <c r="Y408" s="11" t="inlineStr">
        <is>
          <t>-</t>
        </is>
      </c>
      <c r="Z408" s="11" t="n">
        <v>0</v>
      </c>
      <c r="AA408" s="11" t="inlineStr">
        <is>
          <t>垫到60抽</t>
        </is>
      </c>
      <c r="AB408" s="12">
        <f>AE407</f>
        <v/>
      </c>
      <c r="AC408" s="12" t="n">
        <v>4</v>
      </c>
      <c r="AD408" s="12" t="n">
        <v>0</v>
      </c>
      <c r="AE408" s="12">
        <f>AB408+AC408+AD408</f>
        <v/>
      </c>
      <c r="AF408" s="13">
        <f>AI407</f>
        <v/>
      </c>
      <c r="AG408" s="13" t="n">
        <v>0</v>
      </c>
      <c r="AH408" s="13" t="n">
        <v>0</v>
      </c>
      <c r="AI408" s="13">
        <f>AF408+AG408+AH408</f>
        <v/>
      </c>
      <c r="AJ408" s="14" t="n">
        <v>30</v>
      </c>
      <c r="AK408" s="14" t="n">
        <v>50</v>
      </c>
      <c r="AL408" s="14" t="n">
        <v>0</v>
      </c>
      <c r="AM408" s="14">
        <f>AJ408+AK408+AL408</f>
        <v/>
      </c>
      <c r="AN408" s="14">
        <f>AN407+AM408</f>
        <v/>
      </c>
    </row>
    <row r="409">
      <c r="A409" s="8" t="n">
        <v>16</v>
      </c>
      <c r="B409" s="8" t="n">
        <v>9</v>
      </c>
      <c r="C409" s="8" t="n">
        <v>2</v>
      </c>
      <c r="D409" s="8" t="inlineStr">
        <is>
          <t>月卡收益</t>
        </is>
      </c>
      <c r="E409" s="9">
        <f>K408</f>
        <v/>
      </c>
      <c r="F409" s="9" t="n">
        <v>1540</v>
      </c>
      <c r="G409" s="9" t="n">
        <v>0</v>
      </c>
      <c r="H409" s="9" t="n">
        <v>0</v>
      </c>
      <c r="I409" s="9" t="n">
        <v>0</v>
      </c>
      <c r="J409" s="9" t="n">
        <v>4160</v>
      </c>
      <c r="K409" s="9">
        <f>E409+F409+G409+H409+I409-J409</f>
        <v/>
      </c>
      <c r="L409" s="10">
        <f>Q408</f>
        <v/>
      </c>
      <c r="M409" s="10" t="n">
        <v>0</v>
      </c>
      <c r="N409" s="10" t="n">
        <v>6</v>
      </c>
      <c r="O409" s="10">
        <f>J409/160</f>
        <v/>
      </c>
      <c r="P409" s="10" t="n">
        <v>60</v>
      </c>
      <c r="Q409" s="10">
        <f>L409+M409+N409+O409-P409</f>
        <v/>
      </c>
      <c r="R409" s="11">
        <f>T408</f>
        <v/>
      </c>
      <c r="S409" s="11">
        <f>N(V409) + N(X409) + N(Z409)</f>
        <v/>
      </c>
      <c r="T409" s="11">
        <f>R409+P409-S409</f>
        <v/>
      </c>
      <c r="U409" s="11" t="inlineStr">
        <is>
          <t>是</t>
        </is>
      </c>
      <c r="V409" s="11" t="n">
        <v>52</v>
      </c>
      <c r="W409" s="11" t="inlineStr">
        <is>
          <t>否</t>
        </is>
      </c>
      <c r="X409" s="11" t="inlineStr">
        <is>
          <t>-</t>
        </is>
      </c>
      <c r="Y409" s="11" t="inlineStr">
        <is>
          <t>-</t>
        </is>
      </c>
      <c r="Z409" s="11" t="n">
        <v>0</v>
      </c>
      <c r="AA409" s="11" t="inlineStr">
        <is>
          <t>垫到60抽</t>
        </is>
      </c>
      <c r="AB409" s="12">
        <f>AE408</f>
        <v/>
      </c>
      <c r="AC409" s="12" t="n">
        <v>0</v>
      </c>
      <c r="AD409" s="12" t="n">
        <v>0</v>
      </c>
      <c r="AE409" s="12">
        <f>AB409+AC409+AD409</f>
        <v/>
      </c>
      <c r="AF409" s="13">
        <f>AI408</f>
        <v/>
      </c>
      <c r="AG409" s="13" t="n">
        <v>0</v>
      </c>
      <c r="AH409" s="13" t="n">
        <v>0</v>
      </c>
      <c r="AI409" s="13">
        <f>AF409+AG409+AH409</f>
        <v/>
      </c>
      <c r="AJ409" s="14" t="n">
        <v>0</v>
      </c>
      <c r="AK409" s="14" t="n">
        <v>0</v>
      </c>
      <c r="AL409" s="14" t="n">
        <v>0</v>
      </c>
      <c r="AM409" s="14">
        <f>AJ409+AK409+AL409</f>
        <v/>
      </c>
      <c r="AN409" s="14">
        <f>AN408+AM409</f>
        <v/>
      </c>
    </row>
    <row r="410">
      <c r="A410" s="8" t="n">
        <v>16</v>
      </c>
      <c r="B410" s="8" t="n">
        <v>10</v>
      </c>
      <c r="C410" s="8" t="n">
        <v>1</v>
      </c>
      <c r="D410" s="8" t="inlineStr">
        <is>
          <t>版本免费+义相逢 + 月卡收益 [月卡续费-30元]</t>
        </is>
      </c>
      <c r="E410" s="9">
        <f>K409</f>
        <v/>
      </c>
      <c r="F410" s="9" t="n">
        <v>1540</v>
      </c>
      <c r="G410" s="9" t="n">
        <v>4800</v>
      </c>
      <c r="H410" s="9" t="n">
        <v>0</v>
      </c>
      <c r="I410" s="9" t="n">
        <v>0</v>
      </c>
      <c r="J410" s="9" t="n">
        <v>0</v>
      </c>
      <c r="K410" s="9">
        <f>E410+F410+G410+H410+I410-J410</f>
        <v/>
      </c>
      <c r="L410" s="10">
        <f>Q409</f>
        <v/>
      </c>
      <c r="M410" s="10" t="n">
        <v>85</v>
      </c>
      <c r="N410" s="10" t="n">
        <v>11</v>
      </c>
      <c r="O410" s="10">
        <f>J410/160</f>
        <v/>
      </c>
      <c r="P410" s="10" t="n">
        <v>90</v>
      </c>
      <c r="Q410" s="10">
        <f>L410+M410+N410+O410-P410</f>
        <v/>
      </c>
      <c r="R410" s="11">
        <f>T409</f>
        <v/>
      </c>
      <c r="S410" s="11">
        <f>N(V410) + N(X410) + N(Z410)</f>
        <v/>
      </c>
      <c r="T410" s="11">
        <f>R410+P410-S410</f>
        <v/>
      </c>
      <c r="U410" s="11" t="inlineStr">
        <is>
          <t>是</t>
        </is>
      </c>
      <c r="V410" s="11" t="n">
        <v>50</v>
      </c>
      <c r="W410" s="11" t="inlineStr">
        <is>
          <t>是</t>
        </is>
      </c>
      <c r="X410" s="11" t="n">
        <v>50</v>
      </c>
      <c r="Y410" s="11" t="inlineStr">
        <is>
          <t>-</t>
        </is>
      </c>
      <c r="Z410" s="11" t="n">
        <v>0</v>
      </c>
      <c r="AA410" s="11" t="inlineStr">
        <is>
          <t>无</t>
        </is>
      </c>
      <c r="AB410" s="12">
        <f>AE409</f>
        <v/>
      </c>
      <c r="AC410" s="12" t="n">
        <v>4</v>
      </c>
      <c r="AD410" s="12" t="n">
        <v>0</v>
      </c>
      <c r="AE410" s="12">
        <f>AB410+AC410+AD410</f>
        <v/>
      </c>
      <c r="AF410" s="13">
        <f>AI409</f>
        <v/>
      </c>
      <c r="AG410" s="13" t="n">
        <v>0</v>
      </c>
      <c r="AH410" s="13" t="n">
        <v>0</v>
      </c>
      <c r="AI410" s="13">
        <f>AF410+AG410+AH410</f>
        <v/>
      </c>
      <c r="AJ410" s="14" t="n">
        <v>30</v>
      </c>
      <c r="AK410" s="14" t="n">
        <v>50</v>
      </c>
      <c r="AL410" s="14" t="n">
        <v>0</v>
      </c>
      <c r="AM410" s="14">
        <f>AJ410+AK410+AL410</f>
        <v/>
      </c>
      <c r="AN410" s="14">
        <f>AN409+AM410</f>
        <v/>
      </c>
    </row>
    <row r="411">
      <c r="A411" s="8" t="n">
        <v>16</v>
      </c>
      <c r="B411" s="8" t="n">
        <v>10</v>
      </c>
      <c r="C411" s="8" t="n">
        <v>2</v>
      </c>
      <c r="D411" s="8" t="inlineStr">
        <is>
          <t>月卡收益</t>
        </is>
      </c>
      <c r="E411" s="9">
        <f>K410</f>
        <v/>
      </c>
      <c r="F411" s="9" t="n">
        <v>1540</v>
      </c>
      <c r="G411" s="9" t="n">
        <v>0</v>
      </c>
      <c r="H411" s="9" t="n">
        <v>0</v>
      </c>
      <c r="I411" s="9" t="n">
        <v>0</v>
      </c>
      <c r="J411" s="9" t="n">
        <v>7680</v>
      </c>
      <c r="K411" s="9">
        <f>E411+F411+G411+H411+I411-J411</f>
        <v/>
      </c>
      <c r="L411" s="10">
        <f>Q410</f>
        <v/>
      </c>
      <c r="M411" s="10" t="n">
        <v>0</v>
      </c>
      <c r="N411" s="10" t="n">
        <v>6</v>
      </c>
      <c r="O411" s="10">
        <f>J411/160</f>
        <v/>
      </c>
      <c r="P411" s="10" t="n">
        <v>60</v>
      </c>
      <c r="Q411" s="10">
        <f>L411+M411+N411+O411-P411</f>
        <v/>
      </c>
      <c r="R411" s="11">
        <f>T410</f>
        <v/>
      </c>
      <c r="S411" s="11">
        <f>N(V411) + N(X411) + N(Z411)</f>
        <v/>
      </c>
      <c r="T411" s="11">
        <f>R411+P411-S411</f>
        <v/>
      </c>
      <c r="U411" s="11" t="inlineStr">
        <is>
          <t>是</t>
        </is>
      </c>
      <c r="V411" s="11" t="n">
        <v>53</v>
      </c>
      <c r="W411" s="11" t="inlineStr">
        <is>
          <t>否</t>
        </is>
      </c>
      <c r="X411" s="11" t="inlineStr">
        <is>
          <t>-</t>
        </is>
      </c>
      <c r="Y411" s="11" t="inlineStr">
        <is>
          <t>-</t>
        </is>
      </c>
      <c r="Z411" s="11" t="n">
        <v>0</v>
      </c>
      <c r="AA411" s="11" t="inlineStr">
        <is>
          <t>垫到60抽</t>
        </is>
      </c>
      <c r="AB411" s="12">
        <f>AE410</f>
        <v/>
      </c>
      <c r="AC411" s="12" t="n">
        <v>0</v>
      </c>
      <c r="AD411" s="12" t="n">
        <v>0</v>
      </c>
      <c r="AE411" s="12">
        <f>AB411+AC411+AD411</f>
        <v/>
      </c>
      <c r="AF411" s="13">
        <f>AI410</f>
        <v/>
      </c>
      <c r="AG411" s="13" t="n">
        <v>0</v>
      </c>
      <c r="AH411" s="13" t="n">
        <v>0</v>
      </c>
      <c r="AI411" s="13">
        <f>AF411+AG411+AH411</f>
        <v/>
      </c>
      <c r="AJ411" s="14" t="n">
        <v>0</v>
      </c>
      <c r="AK411" s="14" t="n">
        <v>0</v>
      </c>
      <c r="AL411" s="14" t="n">
        <v>0</v>
      </c>
      <c r="AM411" s="14">
        <f>AJ411+AK411+AL411</f>
        <v/>
      </c>
      <c r="AN411" s="14">
        <f>AN410+AM411</f>
        <v/>
      </c>
    </row>
    <row r="412">
      <c r="A412" s="8" t="n">
        <v>16</v>
      </c>
      <c r="B412" s="8" t="n">
        <v>11</v>
      </c>
      <c r="C412" s="8" t="n">
        <v>1</v>
      </c>
      <c r="D412" s="8" t="inlineStr">
        <is>
          <t>版本免费+义相逢 + 月卡收益 [月卡续费-30元]</t>
        </is>
      </c>
      <c r="E412" s="9">
        <f>K411</f>
        <v/>
      </c>
      <c r="F412" s="9" t="n">
        <v>1540</v>
      </c>
      <c r="G412" s="9" t="n">
        <v>4800</v>
      </c>
      <c r="H412" s="9" t="n">
        <v>0</v>
      </c>
      <c r="I412" s="9" t="n">
        <v>0</v>
      </c>
      <c r="J412" s="9" t="n">
        <v>0</v>
      </c>
      <c r="K412" s="9">
        <f>E412+F412+G412+H412+I412-J412</f>
        <v/>
      </c>
      <c r="L412" s="10">
        <f>Q411</f>
        <v/>
      </c>
      <c r="M412" s="10" t="n">
        <v>85</v>
      </c>
      <c r="N412" s="10" t="n">
        <v>3</v>
      </c>
      <c r="O412" s="10">
        <f>J412/160</f>
        <v/>
      </c>
      <c r="P412" s="10" t="n">
        <v>40</v>
      </c>
      <c r="Q412" s="10">
        <f>L412+M412+N412+O412-P412</f>
        <v/>
      </c>
      <c r="R412" s="11">
        <f>T411</f>
        <v/>
      </c>
      <c r="S412" s="11">
        <f>N(V412) + N(X412) + N(Z412)</f>
        <v/>
      </c>
      <c r="T412" s="11">
        <f>R412+P412-S412</f>
        <v/>
      </c>
      <c r="U412" s="11" t="inlineStr">
        <is>
          <t>是</t>
        </is>
      </c>
      <c r="V412" s="11" t="n">
        <v>48</v>
      </c>
      <c r="W412" s="11" t="inlineStr">
        <is>
          <t>否</t>
        </is>
      </c>
      <c r="X412" s="11" t="inlineStr">
        <is>
          <t>-</t>
        </is>
      </c>
      <c r="Y412" s="11" t="inlineStr">
        <is>
          <t>-</t>
        </is>
      </c>
      <c r="Z412" s="11" t="n">
        <v>0</v>
      </c>
      <c r="AA412" s="11" t="inlineStr">
        <is>
          <t>无</t>
        </is>
      </c>
      <c r="AB412" s="12">
        <f>AE411</f>
        <v/>
      </c>
      <c r="AC412" s="12" t="n">
        <v>4</v>
      </c>
      <c r="AD412" s="12" t="n">
        <v>0</v>
      </c>
      <c r="AE412" s="12">
        <f>AB412+AC412+AD412</f>
        <v/>
      </c>
      <c r="AF412" s="13">
        <f>AI411</f>
        <v/>
      </c>
      <c r="AG412" s="13" t="n">
        <v>0</v>
      </c>
      <c r="AH412" s="13" t="n">
        <v>0</v>
      </c>
      <c r="AI412" s="13">
        <f>AF412+AG412+AH412</f>
        <v/>
      </c>
      <c r="AJ412" s="14" t="n">
        <v>30</v>
      </c>
      <c r="AK412" s="14" t="n">
        <v>50</v>
      </c>
      <c r="AL412" s="14" t="n">
        <v>0</v>
      </c>
      <c r="AM412" s="14">
        <f>AJ412+AK412+AL412</f>
        <v/>
      </c>
      <c r="AN412" s="14">
        <f>AN411+AM412</f>
        <v/>
      </c>
    </row>
    <row r="413">
      <c r="A413" s="8" t="n">
        <v>16</v>
      </c>
      <c r="B413" s="8" t="n">
        <v>11</v>
      </c>
      <c r="C413" s="8" t="n">
        <v>2</v>
      </c>
      <c r="D413" s="8" t="inlineStr">
        <is>
          <t>月卡收益</t>
        </is>
      </c>
      <c r="E413" s="9">
        <f>K412</f>
        <v/>
      </c>
      <c r="F413" s="9" t="n">
        <v>1540</v>
      </c>
      <c r="G413" s="9" t="n">
        <v>0</v>
      </c>
      <c r="H413" s="9" t="n">
        <v>0</v>
      </c>
      <c r="I413" s="9" t="n">
        <v>0</v>
      </c>
      <c r="J413" s="9" t="n">
        <v>960</v>
      </c>
      <c r="K413" s="9">
        <f>E413+F413+G413+H413+I413-J413</f>
        <v/>
      </c>
      <c r="L413" s="10">
        <f>Q412</f>
        <v/>
      </c>
      <c r="M413" s="10" t="n">
        <v>0</v>
      </c>
      <c r="N413" s="10" t="n">
        <v>6</v>
      </c>
      <c r="O413" s="10">
        <f>J413/160</f>
        <v/>
      </c>
      <c r="P413" s="10" t="n">
        <v>60</v>
      </c>
      <c r="Q413" s="10">
        <f>L413+M413+N413+O413-P413</f>
        <v/>
      </c>
      <c r="R413" s="11">
        <f>T412</f>
        <v/>
      </c>
      <c r="S413" s="11">
        <f>N(V413) + N(X413) + N(Z413)</f>
        <v/>
      </c>
      <c r="T413" s="11">
        <f>R413+P413-S413</f>
        <v/>
      </c>
      <c r="U413" s="11" t="inlineStr">
        <is>
          <t>是</t>
        </is>
      </c>
      <c r="V413" s="11" t="n">
        <v>54</v>
      </c>
      <c r="W413" s="11" t="inlineStr">
        <is>
          <t>否</t>
        </is>
      </c>
      <c r="X413" s="11" t="inlineStr">
        <is>
          <t>-</t>
        </is>
      </c>
      <c r="Y413" s="11" t="inlineStr">
        <is>
          <t>-</t>
        </is>
      </c>
      <c r="Z413" s="11" t="n">
        <v>0</v>
      </c>
      <c r="AA413" s="11" t="inlineStr">
        <is>
          <t>垫到60抽</t>
        </is>
      </c>
      <c r="AB413" s="12">
        <f>AE412</f>
        <v/>
      </c>
      <c r="AC413" s="12" t="n">
        <v>0</v>
      </c>
      <c r="AD413" s="12" t="n">
        <v>0</v>
      </c>
      <c r="AE413" s="12">
        <f>AB413+AC413+AD413</f>
        <v/>
      </c>
      <c r="AF413" s="13">
        <f>AI412</f>
        <v/>
      </c>
      <c r="AG413" s="13" t="n">
        <v>0</v>
      </c>
      <c r="AH413" s="13" t="n">
        <v>0</v>
      </c>
      <c r="AI413" s="13">
        <f>AF413+AG413+AH413</f>
        <v/>
      </c>
      <c r="AJ413" s="14" t="n">
        <v>0</v>
      </c>
      <c r="AK413" s="14" t="n">
        <v>0</v>
      </c>
      <c r="AL413" s="14" t="n">
        <v>0</v>
      </c>
      <c r="AM413" s="14">
        <f>AJ413+AK413+AL413</f>
        <v/>
      </c>
      <c r="AN413" s="14">
        <f>AN412+AM413</f>
        <v/>
      </c>
    </row>
    <row r="414">
      <c r="A414" s="8" t="n">
        <v>16</v>
      </c>
      <c r="B414" s="8" t="n">
        <v>12</v>
      </c>
      <c r="C414" s="8" t="n">
        <v>1</v>
      </c>
      <c r="D414" s="8" t="inlineStr">
        <is>
          <t>版本免费+义相逢 + 月卡收益 [月卡续费-30元]</t>
        </is>
      </c>
      <c r="E414" s="9">
        <f>K413</f>
        <v/>
      </c>
      <c r="F414" s="9" t="n">
        <v>1540</v>
      </c>
      <c r="G414" s="9" t="n">
        <v>4800</v>
      </c>
      <c r="H414" s="9" t="n">
        <v>0</v>
      </c>
      <c r="I414" s="9" t="n">
        <v>0</v>
      </c>
      <c r="J414" s="9" t="n">
        <v>0</v>
      </c>
      <c r="K414" s="9">
        <f>E414+F414+G414+H414+I414-J414</f>
        <v/>
      </c>
      <c r="L414" s="10">
        <f>Q413</f>
        <v/>
      </c>
      <c r="M414" s="10" t="n">
        <v>85</v>
      </c>
      <c r="N414" s="10" t="n">
        <v>11</v>
      </c>
      <c r="O414" s="10">
        <f>J414/160</f>
        <v/>
      </c>
      <c r="P414" s="10" t="n">
        <v>90</v>
      </c>
      <c r="Q414" s="10">
        <f>L414+M414+N414+O414-P414</f>
        <v/>
      </c>
      <c r="R414" s="11">
        <f>T413</f>
        <v/>
      </c>
      <c r="S414" s="11">
        <f>N(V414) + N(X414) + N(Z414)</f>
        <v/>
      </c>
      <c r="T414" s="11">
        <f>R414+P414-S414</f>
        <v/>
      </c>
      <c r="U414" s="11" t="inlineStr">
        <is>
          <t>是</t>
        </is>
      </c>
      <c r="V414" s="11" t="n">
        <v>47</v>
      </c>
      <c r="W414" s="11" t="inlineStr">
        <is>
          <t>是</t>
        </is>
      </c>
      <c r="X414" s="11" t="n">
        <v>48</v>
      </c>
      <c r="Y414" s="11" t="inlineStr">
        <is>
          <t>-</t>
        </is>
      </c>
      <c r="Z414" s="11" t="n">
        <v>0</v>
      </c>
      <c r="AA414" s="11" t="inlineStr">
        <is>
          <t>无</t>
        </is>
      </c>
      <c r="AB414" s="12">
        <f>AE413</f>
        <v/>
      </c>
      <c r="AC414" s="12" t="n">
        <v>4</v>
      </c>
      <c r="AD414" s="12" t="n">
        <v>0</v>
      </c>
      <c r="AE414" s="12">
        <f>AB414+AC414+AD414</f>
        <v/>
      </c>
      <c r="AF414" s="13">
        <f>AI413</f>
        <v/>
      </c>
      <c r="AG414" s="13" t="n">
        <v>0</v>
      </c>
      <c r="AH414" s="13" t="n">
        <v>0</v>
      </c>
      <c r="AI414" s="13">
        <f>AF414+AG414+AH414</f>
        <v/>
      </c>
      <c r="AJ414" s="14" t="n">
        <v>30</v>
      </c>
      <c r="AK414" s="14" t="n">
        <v>50</v>
      </c>
      <c r="AL414" s="14" t="n">
        <v>0</v>
      </c>
      <c r="AM414" s="14">
        <f>AJ414+AK414+AL414</f>
        <v/>
      </c>
      <c r="AN414" s="14">
        <f>AN413+AM414</f>
        <v/>
      </c>
    </row>
    <row r="415">
      <c r="A415" s="8" t="n">
        <v>16</v>
      </c>
      <c r="B415" s="8" t="n">
        <v>12</v>
      </c>
      <c r="C415" s="8" t="n">
        <v>2</v>
      </c>
      <c r="D415" s="8" t="inlineStr">
        <is>
          <t>月卡收益</t>
        </is>
      </c>
      <c r="E415" s="9">
        <f>K414</f>
        <v/>
      </c>
      <c r="F415" s="9" t="n">
        <v>1540</v>
      </c>
      <c r="G415" s="9" t="n">
        <v>0</v>
      </c>
      <c r="H415" s="9" t="n">
        <v>0</v>
      </c>
      <c r="I415" s="9" t="n">
        <v>0</v>
      </c>
      <c r="J415" s="9" t="n">
        <v>12000</v>
      </c>
      <c r="K415" s="9">
        <f>E415+F415+G415+H415+I415-J415</f>
        <v/>
      </c>
      <c r="L415" s="10">
        <f>Q414</f>
        <v/>
      </c>
      <c r="M415" s="10" t="n">
        <v>0</v>
      </c>
      <c r="N415" s="10" t="n">
        <v>11</v>
      </c>
      <c r="O415" s="10">
        <f>J415/160</f>
        <v/>
      </c>
      <c r="P415" s="10" t="n">
        <v>90</v>
      </c>
      <c r="Q415" s="10">
        <f>L415+M415+N415+O415-P415</f>
        <v/>
      </c>
      <c r="R415" s="11">
        <f>T414</f>
        <v/>
      </c>
      <c r="S415" s="11">
        <f>N(V415) + N(X415) + N(Z415)</f>
        <v/>
      </c>
      <c r="T415" s="11">
        <f>R415+P415-S415</f>
        <v/>
      </c>
      <c r="U415" s="11" t="inlineStr">
        <is>
          <t>是</t>
        </is>
      </c>
      <c r="V415" s="11" t="n">
        <v>47</v>
      </c>
      <c r="W415" s="11" t="inlineStr">
        <is>
          <t>是</t>
        </is>
      </c>
      <c r="X415" s="11" t="n">
        <v>47</v>
      </c>
      <c r="Y415" s="11" t="inlineStr">
        <is>
          <t>-</t>
        </is>
      </c>
      <c r="Z415" s="11" t="n">
        <v>0</v>
      </c>
      <c r="AA415" s="11" t="inlineStr">
        <is>
          <t>无</t>
        </is>
      </c>
      <c r="AB415" s="12">
        <f>AE414</f>
        <v/>
      </c>
      <c r="AC415" s="12" t="n">
        <v>0</v>
      </c>
      <c r="AD415" s="12" t="n">
        <v>0</v>
      </c>
      <c r="AE415" s="12">
        <f>AB415+AC415+AD415</f>
        <v/>
      </c>
      <c r="AF415" s="13">
        <f>AI414</f>
        <v/>
      </c>
      <c r="AG415" s="13" t="n">
        <v>0</v>
      </c>
      <c r="AH415" s="13" t="n">
        <v>0</v>
      </c>
      <c r="AI415" s="13">
        <f>AF415+AG415+AH415</f>
        <v/>
      </c>
      <c r="AJ415" s="14" t="n">
        <v>0</v>
      </c>
      <c r="AK415" s="14" t="n">
        <v>0</v>
      </c>
      <c r="AL415" s="14" t="n">
        <v>0</v>
      </c>
      <c r="AM415" s="14">
        <f>AJ415+AK415+AL415</f>
        <v/>
      </c>
      <c r="AN415" s="14">
        <f>AN414+AM415</f>
        <v/>
      </c>
    </row>
    <row r="416">
      <c r="A416" s="8" t="n">
        <v>16</v>
      </c>
      <c r="B416" s="8" t="n">
        <v>13</v>
      </c>
      <c r="C416" s="8" t="n">
        <v>1</v>
      </c>
      <c r="D416" s="8" t="inlineStr">
        <is>
          <t>版本免费+义相逢 + 月卡收益 [月卡续费-30元]</t>
        </is>
      </c>
      <c r="E416" s="9">
        <f>K415</f>
        <v/>
      </c>
      <c r="F416" s="9" t="n">
        <v>1540</v>
      </c>
      <c r="G416" s="9" t="n">
        <v>4800</v>
      </c>
      <c r="H416" s="9" t="n">
        <v>0</v>
      </c>
      <c r="I416" s="9" t="n">
        <v>0</v>
      </c>
      <c r="J416" s="9" t="n">
        <v>0</v>
      </c>
      <c r="K416" s="9">
        <f>E416+F416+G416+H416+I416-J416</f>
        <v/>
      </c>
      <c r="L416" s="10">
        <f>Q415</f>
        <v/>
      </c>
      <c r="M416" s="10" t="n">
        <v>85</v>
      </c>
      <c r="N416" s="10" t="n">
        <v>11</v>
      </c>
      <c r="O416" s="10">
        <f>J416/160</f>
        <v/>
      </c>
      <c r="P416" s="10" t="n">
        <v>100</v>
      </c>
      <c r="Q416" s="10">
        <f>L416+M416+N416+O416-P416</f>
        <v/>
      </c>
      <c r="R416" s="11">
        <f>T415</f>
        <v/>
      </c>
      <c r="S416" s="11">
        <f>N(V416) + N(X416) + N(Z416)</f>
        <v/>
      </c>
      <c r="T416" s="11">
        <f>R416+P416-S416</f>
        <v/>
      </c>
      <c r="U416" s="11" t="inlineStr">
        <is>
          <t>是</t>
        </is>
      </c>
      <c r="V416" s="11" t="n">
        <v>48</v>
      </c>
      <c r="W416" s="11" t="inlineStr">
        <is>
          <t>是</t>
        </is>
      </c>
      <c r="X416" s="11" t="n">
        <v>48</v>
      </c>
      <c r="Y416" s="11" t="inlineStr">
        <is>
          <t>-</t>
        </is>
      </c>
      <c r="Z416" s="11" t="n">
        <v>0</v>
      </c>
      <c r="AA416" s="11" t="inlineStr">
        <is>
          <t>无</t>
        </is>
      </c>
      <c r="AB416" s="12">
        <f>AE415</f>
        <v/>
      </c>
      <c r="AC416" s="12" t="n">
        <v>4</v>
      </c>
      <c r="AD416" s="12" t="n">
        <v>0</v>
      </c>
      <c r="AE416" s="12">
        <f>AB416+AC416+AD416</f>
        <v/>
      </c>
      <c r="AF416" s="13">
        <f>AI415</f>
        <v/>
      </c>
      <c r="AG416" s="13" t="n">
        <v>0</v>
      </c>
      <c r="AH416" s="13" t="n">
        <v>0</v>
      </c>
      <c r="AI416" s="13">
        <f>AF416+AG416+AH416</f>
        <v/>
      </c>
      <c r="AJ416" s="14" t="n">
        <v>30</v>
      </c>
      <c r="AK416" s="14" t="n">
        <v>50</v>
      </c>
      <c r="AL416" s="14" t="n">
        <v>0</v>
      </c>
      <c r="AM416" s="14">
        <f>AJ416+AK416+AL416</f>
        <v/>
      </c>
      <c r="AN416" s="14">
        <f>AN415+AM416</f>
        <v/>
      </c>
    </row>
    <row r="417">
      <c r="A417" s="8" t="n">
        <v>16</v>
      </c>
      <c r="B417" s="8" t="n">
        <v>13</v>
      </c>
      <c r="C417" s="8" t="n">
        <v>2</v>
      </c>
      <c r="D417" s="8" t="inlineStr">
        <is>
          <t>月卡收益</t>
        </is>
      </c>
      <c r="E417" s="9">
        <f>K416</f>
        <v/>
      </c>
      <c r="F417" s="9" t="n">
        <v>1540</v>
      </c>
      <c r="G417" s="9" t="n">
        <v>0</v>
      </c>
      <c r="H417" s="9" t="n">
        <v>0</v>
      </c>
      <c r="I417" s="9" t="n">
        <v>0</v>
      </c>
      <c r="J417" s="9" t="n">
        <v>13280</v>
      </c>
      <c r="K417" s="9">
        <f>E417+F417+G417+H417+I417-J417</f>
        <v/>
      </c>
      <c r="L417" s="10">
        <f>Q416</f>
        <v/>
      </c>
      <c r="M417" s="10" t="n">
        <v>0</v>
      </c>
      <c r="N417" s="10" t="n">
        <v>11</v>
      </c>
      <c r="O417" s="10">
        <f>J417/160</f>
        <v/>
      </c>
      <c r="P417" s="10" t="n">
        <v>90</v>
      </c>
      <c r="Q417" s="10">
        <f>L417+M417+N417+O417-P417</f>
        <v/>
      </c>
      <c r="R417" s="11">
        <f>T416</f>
        <v/>
      </c>
      <c r="S417" s="11">
        <f>N(V417) + N(X417) + N(Z417)</f>
        <v/>
      </c>
      <c r="T417" s="11">
        <f>R417+P417-S417</f>
        <v/>
      </c>
      <c r="U417" s="11" t="inlineStr">
        <is>
          <t>是</t>
        </is>
      </c>
      <c r="V417" s="11" t="n">
        <v>46</v>
      </c>
      <c r="W417" s="11" t="inlineStr">
        <is>
          <t>是</t>
        </is>
      </c>
      <c r="X417" s="11" t="n">
        <v>47</v>
      </c>
      <c r="Y417" s="11" t="inlineStr">
        <is>
          <t>-</t>
        </is>
      </c>
      <c r="Z417" s="11" t="n">
        <v>0</v>
      </c>
      <c r="AA417" s="11" t="inlineStr">
        <is>
          <t>无</t>
        </is>
      </c>
      <c r="AB417" s="12">
        <f>AE416</f>
        <v/>
      </c>
      <c r="AC417" s="12" t="n">
        <v>0</v>
      </c>
      <c r="AD417" s="12" t="n">
        <v>0</v>
      </c>
      <c r="AE417" s="12">
        <f>AB417+AC417+AD417</f>
        <v/>
      </c>
      <c r="AF417" s="13">
        <f>AI416</f>
        <v/>
      </c>
      <c r="AG417" s="13" t="n">
        <v>0</v>
      </c>
      <c r="AH417" s="13" t="n">
        <v>0</v>
      </c>
      <c r="AI417" s="13">
        <f>AF417+AG417+AH417</f>
        <v/>
      </c>
      <c r="AJ417" s="14" t="n">
        <v>0</v>
      </c>
      <c r="AK417" s="14" t="n">
        <v>0</v>
      </c>
      <c r="AL417" s="14" t="n">
        <v>0</v>
      </c>
      <c r="AM417" s="14">
        <f>AJ417+AK417+AL417</f>
        <v/>
      </c>
      <c r="AN417" s="14">
        <f>AN416+AM417</f>
        <v/>
      </c>
    </row>
    <row r="418">
      <c r="A418" s="8" t="n">
        <v>17</v>
      </c>
      <c r="B418" s="8" t="n">
        <v>1</v>
      </c>
      <c r="C418" s="8" t="n">
        <v>1</v>
      </c>
      <c r="D418" s="8" t="inlineStr">
        <is>
          <t>版本免费+义相逢 + 月卡收益 [月卡续费-30元]</t>
        </is>
      </c>
      <c r="E418" s="9" t="n">
        <v>9120</v>
      </c>
      <c r="F418" s="9" t="n">
        <v>1540</v>
      </c>
      <c r="G418" s="9" t="n">
        <v>4800</v>
      </c>
      <c r="H418" s="9" t="n">
        <v>0</v>
      </c>
      <c r="I418" s="9" t="n">
        <v>0</v>
      </c>
      <c r="J418" s="9" t="n">
        <v>0</v>
      </c>
      <c r="K418" s="9">
        <f>E418+F418+G418+H418+I418-J418</f>
        <v/>
      </c>
      <c r="L418" s="10" t="n">
        <v>5</v>
      </c>
      <c r="M418" s="10" t="n">
        <v>85</v>
      </c>
      <c r="N418" s="10" t="n">
        <v>11</v>
      </c>
      <c r="O418" s="10">
        <f>J418/160</f>
        <v/>
      </c>
      <c r="P418" s="10" t="n">
        <v>100</v>
      </c>
      <c r="Q418" s="10">
        <f>L418+M418+N418+O418-P418</f>
        <v/>
      </c>
      <c r="R418" s="11" t="n">
        <v>5</v>
      </c>
      <c r="S418" s="11">
        <f>N(V418) + N(X418) + N(Z418)</f>
        <v/>
      </c>
      <c r="T418" s="11">
        <f>R418+P418-S418</f>
        <v/>
      </c>
      <c r="U418" s="11" t="inlineStr">
        <is>
          <t>是</t>
        </is>
      </c>
      <c r="V418" s="11" t="n">
        <v>49</v>
      </c>
      <c r="W418" s="11" t="inlineStr">
        <is>
          <t>是</t>
        </is>
      </c>
      <c r="X418" s="11" t="n">
        <v>50</v>
      </c>
      <c r="Y418" s="11" t="inlineStr">
        <is>
          <t>-</t>
        </is>
      </c>
      <c r="Z418" s="11" t="n">
        <v>0</v>
      </c>
      <c r="AA418" s="11" t="inlineStr">
        <is>
          <t>无</t>
        </is>
      </c>
      <c r="AB418" s="12" t="n">
        <v>853</v>
      </c>
      <c r="AC418" s="12" t="n">
        <v>4</v>
      </c>
      <c r="AD418" s="12" t="n">
        <v>0</v>
      </c>
      <c r="AE418" s="12">
        <f>AB418+AC418+AD418</f>
        <v/>
      </c>
      <c r="AF418" s="13" t="n">
        <v>105000</v>
      </c>
      <c r="AG418" s="13" t="n">
        <v>0</v>
      </c>
      <c r="AH418" s="13" t="n">
        <v>0</v>
      </c>
      <c r="AI418" s="13">
        <f>AF418+AG418+AH418</f>
        <v/>
      </c>
      <c r="AJ418" s="14" t="n">
        <v>30</v>
      </c>
      <c r="AK418" s="14" t="n">
        <v>50</v>
      </c>
      <c r="AL418" s="14" t="n">
        <v>0</v>
      </c>
      <c r="AM418" s="14">
        <f>AJ418+AK418+AL418</f>
        <v/>
      </c>
      <c r="AN418" s="14">
        <f>AM418</f>
        <v/>
      </c>
    </row>
    <row r="419">
      <c r="A419" s="8" t="n">
        <v>17</v>
      </c>
      <c r="B419" s="8" t="n">
        <v>1</v>
      </c>
      <c r="C419" s="8" t="n">
        <v>2</v>
      </c>
      <c r="D419" s="8" t="inlineStr">
        <is>
          <t>月卡收益</t>
        </is>
      </c>
      <c r="E419" s="9">
        <f>K418</f>
        <v/>
      </c>
      <c r="F419" s="9" t="n">
        <v>1540</v>
      </c>
      <c r="G419" s="9" t="n">
        <v>0</v>
      </c>
      <c r="H419" s="9" t="n">
        <v>0</v>
      </c>
      <c r="I419" s="9" t="n">
        <v>0</v>
      </c>
      <c r="J419" s="9" t="n">
        <v>8960</v>
      </c>
      <c r="K419" s="9">
        <f>E419+F419+G419+H419+I419-J419</f>
        <v/>
      </c>
      <c r="L419" s="10">
        <f>Q418</f>
        <v/>
      </c>
      <c r="M419" s="10" t="n">
        <v>0</v>
      </c>
      <c r="N419" s="10" t="n">
        <v>6</v>
      </c>
      <c r="O419" s="10">
        <f>J419/160</f>
        <v/>
      </c>
      <c r="P419" s="10" t="n">
        <v>60</v>
      </c>
      <c r="Q419" s="10">
        <f>L419+M419+N419+O419-P419</f>
        <v/>
      </c>
      <c r="R419" s="11">
        <f>T418</f>
        <v/>
      </c>
      <c r="S419" s="11">
        <f>N(V419) + N(X419) + N(Z419)</f>
        <v/>
      </c>
      <c r="T419" s="11">
        <f>R419+P419-S419</f>
        <v/>
      </c>
      <c r="U419" s="11" t="inlineStr">
        <is>
          <t>是</t>
        </is>
      </c>
      <c r="V419" s="11" t="n">
        <v>51</v>
      </c>
      <c r="W419" s="11" t="inlineStr">
        <is>
          <t>否</t>
        </is>
      </c>
      <c r="X419" s="11" t="inlineStr">
        <is>
          <t>-</t>
        </is>
      </c>
      <c r="Y419" s="11" t="inlineStr">
        <is>
          <t>-</t>
        </is>
      </c>
      <c r="Z419" s="11" t="n">
        <v>0</v>
      </c>
      <c r="AA419" s="11" t="inlineStr">
        <is>
          <t>垫到60抽</t>
        </is>
      </c>
      <c r="AB419" s="12">
        <f>AE418</f>
        <v/>
      </c>
      <c r="AC419" s="12" t="n">
        <v>0</v>
      </c>
      <c r="AD419" s="12" t="n">
        <v>0</v>
      </c>
      <c r="AE419" s="12">
        <f>AB419+AC419+AD419</f>
        <v/>
      </c>
      <c r="AF419" s="13">
        <f>AI418</f>
        <v/>
      </c>
      <c r="AG419" s="13" t="n">
        <v>0</v>
      </c>
      <c r="AH419" s="13" t="n">
        <v>0</v>
      </c>
      <c r="AI419" s="13">
        <f>AF419+AG419+AH419</f>
        <v/>
      </c>
      <c r="AJ419" s="14" t="n">
        <v>0</v>
      </c>
      <c r="AK419" s="14" t="n">
        <v>0</v>
      </c>
      <c r="AL419" s="14" t="n">
        <v>0</v>
      </c>
      <c r="AM419" s="14">
        <f>AJ419+AK419+AL419</f>
        <v/>
      </c>
      <c r="AN419" s="14">
        <f>AN418+AM419</f>
        <v/>
      </c>
    </row>
    <row r="420">
      <c r="A420" s="8" t="n">
        <v>17</v>
      </c>
      <c r="B420" s="8" t="n">
        <v>2</v>
      </c>
      <c r="C420" s="8" t="n">
        <v>1</v>
      </c>
      <c r="D420" s="8" t="inlineStr">
        <is>
          <t>版本免费+义相逢 + 月卡收益 [月卡续费-30元]</t>
        </is>
      </c>
      <c r="E420" s="9">
        <f>K419</f>
        <v/>
      </c>
      <c r="F420" s="9" t="n">
        <v>1540</v>
      </c>
      <c r="G420" s="9" t="n">
        <v>4800</v>
      </c>
      <c r="H420" s="9" t="n">
        <v>0</v>
      </c>
      <c r="I420" s="9" t="n">
        <v>0</v>
      </c>
      <c r="J420" s="9" t="n">
        <v>0</v>
      </c>
      <c r="K420" s="9">
        <f>E420+F420+G420+H420+I420-J420</f>
        <v/>
      </c>
      <c r="L420" s="10">
        <f>Q419</f>
        <v/>
      </c>
      <c r="M420" s="10" t="n">
        <v>85</v>
      </c>
      <c r="N420" s="10" t="n">
        <v>11</v>
      </c>
      <c r="O420" s="10">
        <f>J420/160</f>
        <v/>
      </c>
      <c r="P420" s="10" t="n">
        <v>90</v>
      </c>
      <c r="Q420" s="10">
        <f>L420+M420+N420+O420-P420</f>
        <v/>
      </c>
      <c r="R420" s="11">
        <f>T419</f>
        <v/>
      </c>
      <c r="S420" s="11">
        <f>N(V420) + N(X420) + N(Z420)</f>
        <v/>
      </c>
      <c r="T420" s="11">
        <f>R420+P420-S420</f>
        <v/>
      </c>
      <c r="U420" s="11" t="inlineStr">
        <is>
          <t>是</t>
        </is>
      </c>
      <c r="V420" s="11" t="n">
        <v>48</v>
      </c>
      <c r="W420" s="11" t="inlineStr">
        <is>
          <t>是</t>
        </is>
      </c>
      <c r="X420" s="11" t="n">
        <v>49</v>
      </c>
      <c r="Y420" s="11" t="inlineStr">
        <is>
          <t>-</t>
        </is>
      </c>
      <c r="Z420" s="11" t="n">
        <v>0</v>
      </c>
      <c r="AA420" s="11" t="inlineStr">
        <is>
          <t>无</t>
        </is>
      </c>
      <c r="AB420" s="12">
        <f>AE419</f>
        <v/>
      </c>
      <c r="AC420" s="12" t="n">
        <v>4</v>
      </c>
      <c r="AD420" s="12" t="n">
        <v>0</v>
      </c>
      <c r="AE420" s="12">
        <f>AB420+AC420+AD420</f>
        <v/>
      </c>
      <c r="AF420" s="13">
        <f>AI419</f>
        <v/>
      </c>
      <c r="AG420" s="13" t="n">
        <v>0</v>
      </c>
      <c r="AH420" s="13" t="n">
        <v>0</v>
      </c>
      <c r="AI420" s="13">
        <f>AF420+AG420+AH420</f>
        <v/>
      </c>
      <c r="AJ420" s="14" t="n">
        <v>30</v>
      </c>
      <c r="AK420" s="14" t="n">
        <v>50</v>
      </c>
      <c r="AL420" s="14" t="n">
        <v>0</v>
      </c>
      <c r="AM420" s="14">
        <f>AJ420+AK420+AL420</f>
        <v/>
      </c>
      <c r="AN420" s="14">
        <f>AN419+AM420</f>
        <v/>
      </c>
    </row>
    <row r="421">
      <c r="A421" s="8" t="n">
        <v>17</v>
      </c>
      <c r="B421" s="8" t="n">
        <v>2</v>
      </c>
      <c r="C421" s="8" t="n">
        <v>2</v>
      </c>
      <c r="D421" s="8" t="inlineStr">
        <is>
          <t>月卡收益</t>
        </is>
      </c>
      <c r="E421" s="9">
        <f>K420</f>
        <v/>
      </c>
      <c r="F421" s="9" t="n">
        <v>1540</v>
      </c>
      <c r="G421" s="9" t="n">
        <v>0</v>
      </c>
      <c r="H421" s="9" t="n">
        <v>0</v>
      </c>
      <c r="I421" s="9" t="n">
        <v>0</v>
      </c>
      <c r="J421" s="9" t="n">
        <v>7680</v>
      </c>
      <c r="K421" s="9">
        <f>E421+F421+G421+H421+I421-J421</f>
        <v/>
      </c>
      <c r="L421" s="10">
        <f>Q420</f>
        <v/>
      </c>
      <c r="M421" s="10" t="n">
        <v>0</v>
      </c>
      <c r="N421" s="10" t="n">
        <v>6</v>
      </c>
      <c r="O421" s="10">
        <f>J421/160</f>
        <v/>
      </c>
      <c r="P421" s="10" t="n">
        <v>60</v>
      </c>
      <c r="Q421" s="10">
        <f>L421+M421+N421+O421-P421</f>
        <v/>
      </c>
      <c r="R421" s="11">
        <f>T420</f>
        <v/>
      </c>
      <c r="S421" s="11">
        <f>N(V421) + N(X421) + N(Z421)</f>
        <v/>
      </c>
      <c r="T421" s="11">
        <f>R421+P421-S421</f>
        <v/>
      </c>
      <c r="U421" s="11" t="inlineStr">
        <is>
          <t>是</t>
        </is>
      </c>
      <c r="V421" s="11" t="n">
        <v>49</v>
      </c>
      <c r="W421" s="11" t="inlineStr">
        <is>
          <t>否</t>
        </is>
      </c>
      <c r="X421" s="11" t="inlineStr">
        <is>
          <t>-</t>
        </is>
      </c>
      <c r="Y421" s="11" t="inlineStr">
        <is>
          <t>-</t>
        </is>
      </c>
      <c r="Z421" s="11" t="n">
        <v>0</v>
      </c>
      <c r="AA421" s="11" t="inlineStr">
        <is>
          <t>垫到60抽</t>
        </is>
      </c>
      <c r="AB421" s="12">
        <f>AE420</f>
        <v/>
      </c>
      <c r="AC421" s="12" t="n">
        <v>0</v>
      </c>
      <c r="AD421" s="12" t="n">
        <v>0</v>
      </c>
      <c r="AE421" s="12">
        <f>AB421+AC421+AD421</f>
        <v/>
      </c>
      <c r="AF421" s="13">
        <f>AI420</f>
        <v/>
      </c>
      <c r="AG421" s="13" t="n">
        <v>0</v>
      </c>
      <c r="AH421" s="13" t="n">
        <v>0</v>
      </c>
      <c r="AI421" s="13">
        <f>AF421+AG421+AH421</f>
        <v/>
      </c>
      <c r="AJ421" s="14" t="n">
        <v>0</v>
      </c>
      <c r="AK421" s="14" t="n">
        <v>0</v>
      </c>
      <c r="AL421" s="14" t="n">
        <v>0</v>
      </c>
      <c r="AM421" s="14">
        <f>AJ421+AK421+AL421</f>
        <v/>
      </c>
      <c r="AN421" s="14">
        <f>AN420+AM421</f>
        <v/>
      </c>
    </row>
    <row r="422">
      <c r="A422" s="8" t="n">
        <v>17</v>
      </c>
      <c r="B422" s="8" t="n">
        <v>3</v>
      </c>
      <c r="C422" s="8" t="n">
        <v>1</v>
      </c>
      <c r="D422" s="8" t="inlineStr">
        <is>
          <t>版本免费+义相逢 + 月卡收益</t>
        </is>
      </c>
      <c r="E422" s="9">
        <f>K421</f>
        <v/>
      </c>
      <c r="F422" s="9" t="n">
        <v>1540</v>
      </c>
      <c r="G422" s="9" t="n">
        <v>4800</v>
      </c>
      <c r="H422" s="9" t="n">
        <v>0</v>
      </c>
      <c r="I422" s="9" t="n">
        <v>0</v>
      </c>
      <c r="J422" s="9" t="n">
        <v>0</v>
      </c>
      <c r="K422" s="9">
        <f>E422+F422+G422+H422+I422-J422</f>
        <v/>
      </c>
      <c r="L422" s="10">
        <f>Q421</f>
        <v/>
      </c>
      <c r="M422" s="10" t="n">
        <v>85</v>
      </c>
      <c r="N422" s="10" t="n">
        <v>3</v>
      </c>
      <c r="O422" s="10">
        <f>J422/160</f>
        <v/>
      </c>
      <c r="P422" s="10" t="n">
        <v>30</v>
      </c>
      <c r="Q422" s="10">
        <f>L422+M422+N422+O422-P422</f>
        <v/>
      </c>
      <c r="R422" s="11">
        <f>T421</f>
        <v/>
      </c>
      <c r="S422" s="11">
        <f>N(V422) + N(X422) + N(Z422)</f>
        <v/>
      </c>
      <c r="T422" s="11">
        <f>R422+P422-S422</f>
        <v/>
      </c>
      <c r="U422" s="11" t="inlineStr">
        <is>
          <t>是</t>
        </is>
      </c>
      <c r="V422" s="11" t="n">
        <v>49</v>
      </c>
      <c r="W422" s="11" t="inlineStr">
        <is>
          <t>否</t>
        </is>
      </c>
      <c r="X422" s="11" t="inlineStr">
        <is>
          <t>-</t>
        </is>
      </c>
      <c r="Y422" s="11" t="inlineStr">
        <is>
          <t>-</t>
        </is>
      </c>
      <c r="Z422" s="11" t="n">
        <v>0</v>
      </c>
      <c r="AA422" s="11" t="inlineStr">
        <is>
          <t>无</t>
        </is>
      </c>
      <c r="AB422" s="12">
        <f>AE421</f>
        <v/>
      </c>
      <c r="AC422" s="12" t="n">
        <v>4</v>
      </c>
      <c r="AD422" s="12" t="n">
        <v>0</v>
      </c>
      <c r="AE422" s="12">
        <f>AB422+AC422+AD422</f>
        <v/>
      </c>
      <c r="AF422" s="13">
        <f>AI421</f>
        <v/>
      </c>
      <c r="AG422" s="13" t="n">
        <v>0</v>
      </c>
      <c r="AH422" s="13" t="n">
        <v>0</v>
      </c>
      <c r="AI422" s="13">
        <f>AF422+AG422+AH422</f>
        <v/>
      </c>
      <c r="AJ422" s="14" t="n">
        <v>0</v>
      </c>
      <c r="AK422" s="14" t="n">
        <v>50</v>
      </c>
      <c r="AL422" s="14" t="n">
        <v>0</v>
      </c>
      <c r="AM422" s="14">
        <f>AJ422+AK422+AL422</f>
        <v/>
      </c>
      <c r="AN422" s="14">
        <f>AN421+AM422</f>
        <v/>
      </c>
    </row>
    <row r="423">
      <c r="A423" s="8" t="n">
        <v>17</v>
      </c>
      <c r="B423" s="8" t="n">
        <v>3</v>
      </c>
      <c r="C423" s="8" t="n">
        <v>2</v>
      </c>
      <c r="D423" s="8" t="inlineStr">
        <is>
          <t>月卡收益 [月卡续费-30元]</t>
        </is>
      </c>
      <c r="E423" s="9">
        <f>K422</f>
        <v/>
      </c>
      <c r="F423" s="9" t="n">
        <v>1540</v>
      </c>
      <c r="G423" s="9" t="n">
        <v>0</v>
      </c>
      <c r="H423" s="9" t="n">
        <v>0</v>
      </c>
      <c r="I423" s="9" t="n">
        <v>0</v>
      </c>
      <c r="J423" s="9" t="n">
        <v>0</v>
      </c>
      <c r="K423" s="9">
        <f>E423+F423+G423+H423+I423-J423</f>
        <v/>
      </c>
      <c r="L423" s="10">
        <f>Q422</f>
        <v/>
      </c>
      <c r="M423" s="10" t="n">
        <v>0</v>
      </c>
      <c r="N423" s="10" t="n">
        <v>6</v>
      </c>
      <c r="O423" s="10">
        <f>J423/160</f>
        <v/>
      </c>
      <c r="P423" s="10" t="n">
        <v>60</v>
      </c>
      <c r="Q423" s="10">
        <f>L423+M423+N423+O423-P423</f>
        <v/>
      </c>
      <c r="R423" s="11">
        <f>T422</f>
        <v/>
      </c>
      <c r="S423" s="11">
        <f>N(V423) + N(X423) + N(Z423)</f>
        <v/>
      </c>
      <c r="T423" s="11">
        <f>R423+P423-S423</f>
        <v/>
      </c>
      <c r="U423" s="11" t="inlineStr">
        <is>
          <t>是</t>
        </is>
      </c>
      <c r="V423" s="11" t="n">
        <v>42</v>
      </c>
      <c r="W423" s="11" t="inlineStr">
        <is>
          <t>否</t>
        </is>
      </c>
      <c r="X423" s="11" t="inlineStr">
        <is>
          <t>-</t>
        </is>
      </c>
      <c r="Y423" s="11" t="inlineStr">
        <is>
          <t>-</t>
        </is>
      </c>
      <c r="Z423" s="11" t="n">
        <v>0</v>
      </c>
      <c r="AA423" s="11" t="inlineStr">
        <is>
          <t>垫到60抽</t>
        </is>
      </c>
      <c r="AB423" s="12">
        <f>AE422</f>
        <v/>
      </c>
      <c r="AC423" s="12" t="n">
        <v>0</v>
      </c>
      <c r="AD423" s="12" t="n">
        <v>0</v>
      </c>
      <c r="AE423" s="12">
        <f>AB423+AC423+AD423</f>
        <v/>
      </c>
      <c r="AF423" s="13">
        <f>AI422</f>
        <v/>
      </c>
      <c r="AG423" s="13" t="n">
        <v>0</v>
      </c>
      <c r="AH423" s="13" t="n">
        <v>0</v>
      </c>
      <c r="AI423" s="13">
        <f>AF423+AG423+AH423</f>
        <v/>
      </c>
      <c r="AJ423" s="14" t="n">
        <v>30</v>
      </c>
      <c r="AK423" s="14" t="n">
        <v>0</v>
      </c>
      <c r="AL423" s="14" t="n">
        <v>0</v>
      </c>
      <c r="AM423" s="14">
        <f>AJ423+AK423+AL423</f>
        <v/>
      </c>
      <c r="AN423" s="14">
        <f>AN422+AM423</f>
        <v/>
      </c>
    </row>
    <row r="424">
      <c r="A424" s="8" t="n">
        <v>17</v>
      </c>
      <c r="B424" s="8" t="n">
        <v>4</v>
      </c>
      <c r="C424" s="8" t="n">
        <v>1</v>
      </c>
      <c r="D424" s="8" t="inlineStr">
        <is>
          <t>版本免费+义相逢 + 月卡收益</t>
        </is>
      </c>
      <c r="E424" s="9">
        <f>K423</f>
        <v/>
      </c>
      <c r="F424" s="9" t="n">
        <v>1540</v>
      </c>
      <c r="G424" s="9" t="n">
        <v>4800</v>
      </c>
      <c r="H424" s="9" t="n">
        <v>0</v>
      </c>
      <c r="I424" s="9" t="n">
        <v>0</v>
      </c>
      <c r="J424" s="9" t="n">
        <v>0</v>
      </c>
      <c r="K424" s="9">
        <f>E424+F424+G424+H424+I424-J424</f>
        <v/>
      </c>
      <c r="L424" s="10">
        <f>Q423</f>
        <v/>
      </c>
      <c r="M424" s="10" t="n">
        <v>85</v>
      </c>
      <c r="N424" s="10" t="n">
        <v>3</v>
      </c>
      <c r="O424" s="10">
        <f>J424/160</f>
        <v/>
      </c>
      <c r="P424" s="10" t="n">
        <v>40</v>
      </c>
      <c r="Q424" s="10">
        <f>L424+M424+N424+O424-P424</f>
        <v/>
      </c>
      <c r="R424" s="11">
        <f>T423</f>
        <v/>
      </c>
      <c r="S424" s="11">
        <f>N(V424) + N(X424) + N(Z424)</f>
        <v/>
      </c>
      <c r="T424" s="11">
        <f>R424+P424-S424</f>
        <v/>
      </c>
      <c r="U424" s="11" t="inlineStr">
        <is>
          <t>是</t>
        </is>
      </c>
      <c r="V424" s="11" t="n">
        <v>50</v>
      </c>
      <c r="W424" s="11" t="inlineStr">
        <is>
          <t>否</t>
        </is>
      </c>
      <c r="X424" s="11" t="inlineStr">
        <is>
          <t>-</t>
        </is>
      </c>
      <c r="Y424" s="11" t="inlineStr">
        <is>
          <t>-</t>
        </is>
      </c>
      <c r="Z424" s="11" t="n">
        <v>0</v>
      </c>
      <c r="AA424" s="11" t="inlineStr">
        <is>
          <t>无</t>
        </is>
      </c>
      <c r="AB424" s="12">
        <f>AE423</f>
        <v/>
      </c>
      <c r="AC424" s="12" t="n">
        <v>4</v>
      </c>
      <c r="AD424" s="12" t="n">
        <v>0</v>
      </c>
      <c r="AE424" s="12">
        <f>AB424+AC424+AD424</f>
        <v/>
      </c>
      <c r="AF424" s="13">
        <f>AI423</f>
        <v/>
      </c>
      <c r="AG424" s="13" t="n">
        <v>0</v>
      </c>
      <c r="AH424" s="13" t="n">
        <v>0</v>
      </c>
      <c r="AI424" s="13">
        <f>AF424+AG424+AH424</f>
        <v/>
      </c>
      <c r="AJ424" s="14" t="n">
        <v>0</v>
      </c>
      <c r="AK424" s="14" t="n">
        <v>50</v>
      </c>
      <c r="AL424" s="14" t="n">
        <v>0</v>
      </c>
      <c r="AM424" s="14">
        <f>AJ424+AK424+AL424</f>
        <v/>
      </c>
      <c r="AN424" s="14">
        <f>AN423+AM424</f>
        <v/>
      </c>
    </row>
    <row r="425">
      <c r="A425" s="8" t="n">
        <v>17</v>
      </c>
      <c r="B425" s="8" t="n">
        <v>4</v>
      </c>
      <c r="C425" s="8" t="n">
        <v>2</v>
      </c>
      <c r="D425" s="8" t="inlineStr">
        <is>
          <t>月卡收益 [月卡续费-30元]</t>
        </is>
      </c>
      <c r="E425" s="9">
        <f>K424</f>
        <v/>
      </c>
      <c r="F425" s="9" t="n">
        <v>1540</v>
      </c>
      <c r="G425" s="9" t="n">
        <v>0</v>
      </c>
      <c r="H425" s="9" t="n">
        <v>0</v>
      </c>
      <c r="I425" s="9" t="n">
        <v>0</v>
      </c>
      <c r="J425" s="9" t="n">
        <v>0</v>
      </c>
      <c r="K425" s="9">
        <f>E425+F425+G425+H425+I425-J425</f>
        <v/>
      </c>
      <c r="L425" s="10">
        <f>Q424</f>
        <v/>
      </c>
      <c r="M425" s="10" t="n">
        <v>0</v>
      </c>
      <c r="N425" s="10" t="n">
        <v>3</v>
      </c>
      <c r="O425" s="10">
        <f>J425/160</f>
        <v/>
      </c>
      <c r="P425" s="10" t="n">
        <v>40</v>
      </c>
      <c r="Q425" s="10">
        <f>L425+M425+N425+O425-P425</f>
        <v/>
      </c>
      <c r="R425" s="11">
        <f>T424</f>
        <v/>
      </c>
      <c r="S425" s="11">
        <f>N(V425) + N(X425) + N(Z425)</f>
        <v/>
      </c>
      <c r="T425" s="11">
        <f>R425+P425-S425</f>
        <v/>
      </c>
      <c r="U425" s="11" t="inlineStr">
        <is>
          <t>是</t>
        </is>
      </c>
      <c r="V425" s="11" t="n">
        <v>48</v>
      </c>
      <c r="W425" s="11" t="inlineStr">
        <is>
          <t>否</t>
        </is>
      </c>
      <c r="X425" s="11" t="inlineStr">
        <is>
          <t>-</t>
        </is>
      </c>
      <c r="Y425" s="11" t="inlineStr">
        <is>
          <t>-</t>
        </is>
      </c>
      <c r="Z425" s="11" t="n">
        <v>0</v>
      </c>
      <c r="AA425" s="11" t="inlineStr">
        <is>
          <t>无</t>
        </is>
      </c>
      <c r="AB425" s="12">
        <f>AE424</f>
        <v/>
      </c>
      <c r="AC425" s="12" t="n">
        <v>0</v>
      </c>
      <c r="AD425" s="12" t="n">
        <v>0</v>
      </c>
      <c r="AE425" s="12">
        <f>AB425+AC425+AD425</f>
        <v/>
      </c>
      <c r="AF425" s="13">
        <f>AI424</f>
        <v/>
      </c>
      <c r="AG425" s="13" t="n">
        <v>0</v>
      </c>
      <c r="AH425" s="13" t="n">
        <v>0</v>
      </c>
      <c r="AI425" s="13">
        <f>AF425+AG425+AH425</f>
        <v/>
      </c>
      <c r="AJ425" s="14" t="n">
        <v>30</v>
      </c>
      <c r="AK425" s="14" t="n">
        <v>0</v>
      </c>
      <c r="AL425" s="14" t="n">
        <v>0</v>
      </c>
      <c r="AM425" s="14">
        <f>AJ425+AK425+AL425</f>
        <v/>
      </c>
      <c r="AN425" s="14">
        <f>AN424+AM425</f>
        <v/>
      </c>
    </row>
    <row r="426">
      <c r="A426" s="8" t="n">
        <v>17</v>
      </c>
      <c r="B426" s="8" t="n">
        <v>5</v>
      </c>
      <c r="C426" s="8" t="n">
        <v>1</v>
      </c>
      <c r="D426" s="8" t="inlineStr">
        <is>
          <t>版本免费+义相逢 + 月卡收益</t>
        </is>
      </c>
      <c r="E426" s="9">
        <f>K425</f>
        <v/>
      </c>
      <c r="F426" s="9" t="n">
        <v>1540</v>
      </c>
      <c r="G426" s="9" t="n">
        <v>4800</v>
      </c>
      <c r="H426" s="9" t="n">
        <v>0</v>
      </c>
      <c r="I426" s="9" t="n">
        <v>0</v>
      </c>
      <c r="J426" s="9" t="n">
        <v>0</v>
      </c>
      <c r="K426" s="9">
        <f>E426+F426+G426+H426+I426-J426</f>
        <v/>
      </c>
      <c r="L426" s="10">
        <f>Q425</f>
        <v/>
      </c>
      <c r="M426" s="10" t="n">
        <v>85</v>
      </c>
      <c r="N426" s="10" t="n">
        <v>6</v>
      </c>
      <c r="O426" s="10">
        <f>J426/160</f>
        <v/>
      </c>
      <c r="P426" s="10" t="n">
        <v>60</v>
      </c>
      <c r="Q426" s="10">
        <f>L426+M426+N426+O426-P426</f>
        <v/>
      </c>
      <c r="R426" s="11">
        <f>T425</f>
        <v/>
      </c>
      <c r="S426" s="11">
        <f>N(V426) + N(X426) + N(Z426)</f>
        <v/>
      </c>
      <c r="T426" s="11">
        <f>R426+P426-S426</f>
        <v/>
      </c>
      <c r="U426" s="11" t="inlineStr">
        <is>
          <t>是</t>
        </is>
      </c>
      <c r="V426" s="11" t="n">
        <v>49</v>
      </c>
      <c r="W426" s="11" t="inlineStr">
        <is>
          <t>否</t>
        </is>
      </c>
      <c r="X426" s="11" t="inlineStr">
        <is>
          <t>-</t>
        </is>
      </c>
      <c r="Y426" s="11" t="inlineStr">
        <is>
          <t>-</t>
        </is>
      </c>
      <c r="Z426" s="11" t="n">
        <v>0</v>
      </c>
      <c r="AA426" s="11" t="inlineStr">
        <is>
          <t>垫到60抽</t>
        </is>
      </c>
      <c r="AB426" s="12">
        <f>AE425</f>
        <v/>
      </c>
      <c r="AC426" s="12" t="n">
        <v>4</v>
      </c>
      <c r="AD426" s="12" t="n">
        <v>0</v>
      </c>
      <c r="AE426" s="12">
        <f>AB426+AC426+AD426</f>
        <v/>
      </c>
      <c r="AF426" s="13">
        <f>AI425</f>
        <v/>
      </c>
      <c r="AG426" s="13" t="n">
        <v>0</v>
      </c>
      <c r="AH426" s="13" t="n">
        <v>0</v>
      </c>
      <c r="AI426" s="13">
        <f>AF426+AG426+AH426</f>
        <v/>
      </c>
      <c r="AJ426" s="14" t="n">
        <v>0</v>
      </c>
      <c r="AK426" s="14" t="n">
        <v>50</v>
      </c>
      <c r="AL426" s="14" t="n">
        <v>0</v>
      </c>
      <c r="AM426" s="14">
        <f>AJ426+AK426+AL426</f>
        <v/>
      </c>
      <c r="AN426" s="14">
        <f>AN425+AM426</f>
        <v/>
      </c>
    </row>
    <row r="427">
      <c r="A427" s="8" t="n">
        <v>17</v>
      </c>
      <c r="B427" s="8" t="n">
        <v>5</v>
      </c>
      <c r="C427" s="8" t="n">
        <v>2</v>
      </c>
      <c r="D427" s="8" t="inlineStr">
        <is>
          <t>月卡收益 [月卡续费-30元]</t>
        </is>
      </c>
      <c r="E427" s="9">
        <f>K426</f>
        <v/>
      </c>
      <c r="F427" s="9" t="n">
        <v>1540</v>
      </c>
      <c r="G427" s="9" t="n">
        <v>0</v>
      </c>
      <c r="H427" s="9" t="n">
        <v>0</v>
      </c>
      <c r="I427" s="9" t="n">
        <v>0</v>
      </c>
      <c r="J427" s="9" t="n">
        <v>0</v>
      </c>
      <c r="K427" s="9">
        <f>E427+F427+G427+H427+I427-J427</f>
        <v/>
      </c>
      <c r="L427" s="10">
        <f>Q426</f>
        <v/>
      </c>
      <c r="M427" s="10" t="n">
        <v>0</v>
      </c>
      <c r="N427" s="10" t="n">
        <v>3</v>
      </c>
      <c r="O427" s="10">
        <f>J427/160</f>
        <v/>
      </c>
      <c r="P427" s="10" t="n">
        <v>40</v>
      </c>
      <c r="Q427" s="10">
        <f>L427+M427+N427+O427-P427</f>
        <v/>
      </c>
      <c r="R427" s="11">
        <f>T426</f>
        <v/>
      </c>
      <c r="S427" s="11">
        <f>N(V427) + N(X427) + N(Z427)</f>
        <v/>
      </c>
      <c r="T427" s="11">
        <f>R427+P427-S427</f>
        <v/>
      </c>
      <c r="U427" s="11" t="inlineStr">
        <is>
          <t>是</t>
        </is>
      </c>
      <c r="V427" s="11" t="n">
        <v>50</v>
      </c>
      <c r="W427" s="11" t="inlineStr">
        <is>
          <t>否</t>
        </is>
      </c>
      <c r="X427" s="11" t="inlineStr">
        <is>
          <t>-</t>
        </is>
      </c>
      <c r="Y427" s="11" t="inlineStr">
        <is>
          <t>-</t>
        </is>
      </c>
      <c r="Z427" s="11" t="n">
        <v>0</v>
      </c>
      <c r="AA427" s="11" t="inlineStr">
        <is>
          <t>无</t>
        </is>
      </c>
      <c r="AB427" s="12">
        <f>AE426</f>
        <v/>
      </c>
      <c r="AC427" s="12" t="n">
        <v>0</v>
      </c>
      <c r="AD427" s="12" t="n">
        <v>0</v>
      </c>
      <c r="AE427" s="12">
        <f>AB427+AC427+AD427</f>
        <v/>
      </c>
      <c r="AF427" s="13">
        <f>AI426</f>
        <v/>
      </c>
      <c r="AG427" s="13" t="n">
        <v>0</v>
      </c>
      <c r="AH427" s="13" t="n">
        <v>0</v>
      </c>
      <c r="AI427" s="13">
        <f>AF427+AG427+AH427</f>
        <v/>
      </c>
      <c r="AJ427" s="14" t="n">
        <v>30</v>
      </c>
      <c r="AK427" s="14" t="n">
        <v>0</v>
      </c>
      <c r="AL427" s="14" t="n">
        <v>0</v>
      </c>
      <c r="AM427" s="14">
        <f>AJ427+AK427+AL427</f>
        <v/>
      </c>
      <c r="AN427" s="14">
        <f>AN426+AM427</f>
        <v/>
      </c>
    </row>
    <row r="428">
      <c r="A428" s="8" t="n">
        <v>17</v>
      </c>
      <c r="B428" s="8" t="n">
        <v>6</v>
      </c>
      <c r="C428" s="8" t="n">
        <v>1</v>
      </c>
      <c r="D428" s="8" t="inlineStr">
        <is>
          <t>版本免费+义相逢 + 月卡收益</t>
        </is>
      </c>
      <c r="E428" s="9">
        <f>K427</f>
        <v/>
      </c>
      <c r="F428" s="9" t="n">
        <v>1540</v>
      </c>
      <c r="G428" s="9" t="n">
        <v>4800</v>
      </c>
      <c r="H428" s="9" t="n">
        <v>0</v>
      </c>
      <c r="I428" s="9" t="n">
        <v>0</v>
      </c>
      <c r="J428" s="9" t="n">
        <v>13120</v>
      </c>
      <c r="K428" s="9">
        <f>E428+F428+G428+H428+I428-J428</f>
        <v/>
      </c>
      <c r="L428" s="10">
        <f>Q427</f>
        <v/>
      </c>
      <c r="M428" s="10" t="n">
        <v>85</v>
      </c>
      <c r="N428" s="10" t="n">
        <v>21</v>
      </c>
      <c r="O428" s="10">
        <f>J428/160</f>
        <v/>
      </c>
      <c r="P428" s="10" t="n">
        <v>200</v>
      </c>
      <c r="Q428" s="10">
        <f>L428+M428+N428+O428-P428</f>
        <v/>
      </c>
      <c r="R428" s="11">
        <f>T427</f>
        <v/>
      </c>
      <c r="S428" s="11">
        <f>N(V428) + N(X428) + N(Z428)</f>
        <v/>
      </c>
      <c r="T428" s="11">
        <f>R428+P428-S428</f>
        <v/>
      </c>
      <c r="U428" s="11" t="inlineStr">
        <is>
          <t>是</t>
        </is>
      </c>
      <c r="V428" s="11" t="n">
        <v>47</v>
      </c>
      <c r="W428" s="11" t="inlineStr">
        <is>
          <t>是</t>
        </is>
      </c>
      <c r="X428" s="11" t="n">
        <v>47</v>
      </c>
      <c r="Y428" s="11" t="inlineStr">
        <is>
          <t>UP(56)</t>
        </is>
      </c>
      <c r="Z428" s="11" t="n">
        <v>56</v>
      </c>
      <c r="AA428" s="11" t="inlineStr">
        <is>
          <t>冲刺200(动态100)</t>
        </is>
      </c>
      <c r="AB428" s="12">
        <f>AE427</f>
        <v/>
      </c>
      <c r="AC428" s="12" t="n">
        <v>4</v>
      </c>
      <c r="AD428" s="12" t="n">
        <v>1</v>
      </c>
      <c r="AE428" s="12">
        <f>AB428+AC428+AD428</f>
        <v/>
      </c>
      <c r="AF428" s="13">
        <f>AI427</f>
        <v/>
      </c>
      <c r="AG428" s="13" t="n">
        <v>0</v>
      </c>
      <c r="AH428" s="13" t="n">
        <v>5000</v>
      </c>
      <c r="AI428" s="13">
        <f>AF428+AG428+AH428</f>
        <v/>
      </c>
      <c r="AJ428" s="14" t="n">
        <v>0</v>
      </c>
      <c r="AK428" s="14" t="n">
        <v>50</v>
      </c>
      <c r="AL428" s="14" t="n">
        <v>0</v>
      </c>
      <c r="AM428" s="14">
        <f>AJ428+AK428+AL428</f>
        <v/>
      </c>
      <c r="AN428" s="14">
        <f>AN427+AM428</f>
        <v/>
      </c>
    </row>
    <row r="429">
      <c r="A429" s="8" t="n">
        <v>17</v>
      </c>
      <c r="B429" s="8" t="n">
        <v>6</v>
      </c>
      <c r="C429" s="8" t="n">
        <v>2</v>
      </c>
      <c r="D429" s="8" t="inlineStr">
        <is>
          <t>月卡收益 [月卡续费-30元]</t>
        </is>
      </c>
      <c r="E429" s="9">
        <f>K428</f>
        <v/>
      </c>
      <c r="F429" s="9" t="n">
        <v>1540</v>
      </c>
      <c r="G429" s="9" t="n">
        <v>0</v>
      </c>
      <c r="H429" s="9" t="n">
        <v>0</v>
      </c>
      <c r="I429" s="9" t="n">
        <v>0</v>
      </c>
      <c r="J429" s="9" t="n">
        <v>1600</v>
      </c>
      <c r="K429" s="9">
        <f>E429+F429+G429+H429+I429-J429</f>
        <v/>
      </c>
      <c r="L429" s="10">
        <f>Q428</f>
        <v/>
      </c>
      <c r="M429" s="10" t="n">
        <v>0</v>
      </c>
      <c r="N429" s="10" t="n">
        <v>1</v>
      </c>
      <c r="O429" s="10">
        <f>J429/160</f>
        <v/>
      </c>
      <c r="P429" s="10" t="n">
        <v>10</v>
      </c>
      <c r="Q429" s="10">
        <f>L429+M429+N429+O429-P429</f>
        <v/>
      </c>
      <c r="R429" s="11">
        <f>T428</f>
        <v/>
      </c>
      <c r="S429" s="11">
        <f>N(V429) + N(X429) + N(Z429)</f>
        <v/>
      </c>
      <c r="T429" s="11">
        <f>R429+P429-S429</f>
        <v/>
      </c>
      <c r="U429" s="11" t="inlineStr">
        <is>
          <t>是</t>
        </is>
      </c>
      <c r="V429" s="11" t="n">
        <v>53</v>
      </c>
      <c r="W429" s="11" t="inlineStr">
        <is>
          <t>否</t>
        </is>
      </c>
      <c r="X429" s="11" t="inlineStr">
        <is>
          <t>-</t>
        </is>
      </c>
      <c r="Y429" s="11" t="inlineStr">
        <is>
          <t>-</t>
        </is>
      </c>
      <c r="Z429" s="11" t="n">
        <v>0</v>
      </c>
      <c r="AA429" s="11" t="inlineStr">
        <is>
          <t>无</t>
        </is>
      </c>
      <c r="AB429" s="12">
        <f>AE428</f>
        <v/>
      </c>
      <c r="AC429" s="12" t="n">
        <v>0</v>
      </c>
      <c r="AD429" s="12" t="n">
        <v>0</v>
      </c>
      <c r="AE429" s="12">
        <f>AB429+AC429+AD429</f>
        <v/>
      </c>
      <c r="AF429" s="13">
        <f>AI428</f>
        <v/>
      </c>
      <c r="AG429" s="13" t="n">
        <v>0</v>
      </c>
      <c r="AH429" s="13" t="n">
        <v>0</v>
      </c>
      <c r="AI429" s="13">
        <f>AF429+AG429+AH429</f>
        <v/>
      </c>
      <c r="AJ429" s="14" t="n">
        <v>30</v>
      </c>
      <c r="AK429" s="14" t="n">
        <v>0</v>
      </c>
      <c r="AL429" s="14" t="n">
        <v>0</v>
      </c>
      <c r="AM429" s="14">
        <f>AJ429+AK429+AL429</f>
        <v/>
      </c>
      <c r="AN429" s="14">
        <f>AN428+AM429</f>
        <v/>
      </c>
    </row>
    <row r="430">
      <c r="A430" s="8" t="n">
        <v>17</v>
      </c>
      <c r="B430" s="8" t="n">
        <v>7</v>
      </c>
      <c r="C430" s="8" t="n">
        <v>1</v>
      </c>
      <c r="D430" s="8" t="inlineStr">
        <is>
          <t>版本免费+义相逢 + 月卡收益</t>
        </is>
      </c>
      <c r="E430" s="9">
        <f>K429</f>
        <v/>
      </c>
      <c r="F430" s="9" t="n">
        <v>1540</v>
      </c>
      <c r="G430" s="9" t="n">
        <v>4800</v>
      </c>
      <c r="H430" s="9" t="n">
        <v>0</v>
      </c>
      <c r="I430" s="9" t="n">
        <v>0</v>
      </c>
      <c r="J430" s="9" t="n">
        <v>0</v>
      </c>
      <c r="K430" s="9">
        <f>E430+F430+G430+H430+I430-J430</f>
        <v/>
      </c>
      <c r="L430" s="10">
        <f>Q429</f>
        <v/>
      </c>
      <c r="M430" s="10" t="n">
        <v>85</v>
      </c>
      <c r="N430" s="10" t="n">
        <v>11</v>
      </c>
      <c r="O430" s="10">
        <f>J430/160</f>
        <v/>
      </c>
      <c r="P430" s="10" t="n">
        <v>90</v>
      </c>
      <c r="Q430" s="10">
        <f>L430+M430+N430+O430-P430</f>
        <v/>
      </c>
      <c r="R430" s="11">
        <f>T429</f>
        <v/>
      </c>
      <c r="S430" s="11">
        <f>N(V430) + N(X430) + N(Z430)</f>
        <v/>
      </c>
      <c r="T430" s="11">
        <f>R430+P430-S430</f>
        <v/>
      </c>
      <c r="U430" s="11" t="inlineStr">
        <is>
          <t>是</t>
        </is>
      </c>
      <c r="V430" s="11" t="n">
        <v>48</v>
      </c>
      <c r="W430" s="11" t="inlineStr">
        <is>
          <t>是</t>
        </is>
      </c>
      <c r="X430" s="11" t="n">
        <v>49</v>
      </c>
      <c r="Y430" s="11" t="inlineStr">
        <is>
          <t>-</t>
        </is>
      </c>
      <c r="Z430" s="11" t="n">
        <v>0</v>
      </c>
      <c r="AA430" s="11" t="inlineStr">
        <is>
          <t>无</t>
        </is>
      </c>
      <c r="AB430" s="12">
        <f>AE429</f>
        <v/>
      </c>
      <c r="AC430" s="12" t="n">
        <v>4</v>
      </c>
      <c r="AD430" s="12" t="n">
        <v>0</v>
      </c>
      <c r="AE430" s="12">
        <f>AB430+AC430+AD430</f>
        <v/>
      </c>
      <c r="AF430" s="13">
        <f>AI429</f>
        <v/>
      </c>
      <c r="AG430" s="13" t="n">
        <v>0</v>
      </c>
      <c r="AH430" s="13" t="n">
        <v>0</v>
      </c>
      <c r="AI430" s="13">
        <f>AF430+AG430+AH430</f>
        <v/>
      </c>
      <c r="AJ430" s="14" t="n">
        <v>0</v>
      </c>
      <c r="AK430" s="14" t="n">
        <v>50</v>
      </c>
      <c r="AL430" s="14" t="n">
        <v>0</v>
      </c>
      <c r="AM430" s="14">
        <f>AJ430+AK430+AL430</f>
        <v/>
      </c>
      <c r="AN430" s="14">
        <f>AN429+AM430</f>
        <v/>
      </c>
    </row>
    <row r="431">
      <c r="A431" s="8" t="n">
        <v>17</v>
      </c>
      <c r="B431" s="8" t="n">
        <v>7</v>
      </c>
      <c r="C431" s="8" t="n">
        <v>2</v>
      </c>
      <c r="D431" s="8" t="inlineStr">
        <is>
          <t>月卡收益 [月卡续费-30元]</t>
        </is>
      </c>
      <c r="E431" s="9">
        <f>K430</f>
        <v/>
      </c>
      <c r="F431" s="9" t="n">
        <v>1540</v>
      </c>
      <c r="G431" s="9" t="n">
        <v>0</v>
      </c>
      <c r="H431" s="9" t="n">
        <v>0</v>
      </c>
      <c r="I431" s="9" t="n">
        <v>0</v>
      </c>
      <c r="J431" s="9" t="n">
        <v>8000</v>
      </c>
      <c r="K431" s="9">
        <f>E431+F431+G431+H431+I431-J431</f>
        <v/>
      </c>
      <c r="L431" s="10">
        <f>Q430</f>
        <v/>
      </c>
      <c r="M431" s="10" t="n">
        <v>0</v>
      </c>
      <c r="N431" s="10" t="n">
        <v>6</v>
      </c>
      <c r="O431" s="10">
        <f>J431/160</f>
        <v/>
      </c>
      <c r="P431" s="10" t="n">
        <v>60</v>
      </c>
      <c r="Q431" s="10">
        <f>L431+M431+N431+O431-P431</f>
        <v/>
      </c>
      <c r="R431" s="11">
        <f>T430</f>
        <v/>
      </c>
      <c r="S431" s="11">
        <f>N(V431) + N(X431) + N(Z431)</f>
        <v/>
      </c>
      <c r="T431" s="11">
        <f>R431+P431-S431</f>
        <v/>
      </c>
      <c r="U431" s="11" t="inlineStr">
        <is>
          <t>是</t>
        </is>
      </c>
      <c r="V431" s="11" t="n">
        <v>48</v>
      </c>
      <c r="W431" s="11" t="inlineStr">
        <is>
          <t>否</t>
        </is>
      </c>
      <c r="X431" s="11" t="inlineStr">
        <is>
          <t>-</t>
        </is>
      </c>
      <c r="Y431" s="11" t="inlineStr">
        <is>
          <t>-</t>
        </is>
      </c>
      <c r="Z431" s="11" t="n">
        <v>0</v>
      </c>
      <c r="AA431" s="11" t="inlineStr">
        <is>
          <t>垫到60抽</t>
        </is>
      </c>
      <c r="AB431" s="12">
        <f>AE430</f>
        <v/>
      </c>
      <c r="AC431" s="12" t="n">
        <v>0</v>
      </c>
      <c r="AD431" s="12" t="n">
        <v>0</v>
      </c>
      <c r="AE431" s="12">
        <f>AB431+AC431+AD431</f>
        <v/>
      </c>
      <c r="AF431" s="13">
        <f>AI430</f>
        <v/>
      </c>
      <c r="AG431" s="13" t="n">
        <v>0</v>
      </c>
      <c r="AH431" s="13" t="n">
        <v>0</v>
      </c>
      <c r="AI431" s="13">
        <f>AF431+AG431+AH431</f>
        <v/>
      </c>
      <c r="AJ431" s="14" t="n">
        <v>30</v>
      </c>
      <c r="AK431" s="14" t="n">
        <v>0</v>
      </c>
      <c r="AL431" s="14" t="n">
        <v>0</v>
      </c>
      <c r="AM431" s="14">
        <f>AJ431+AK431+AL431</f>
        <v/>
      </c>
      <c r="AN431" s="14">
        <f>AN430+AM431</f>
        <v/>
      </c>
    </row>
    <row r="432">
      <c r="A432" s="8" t="n">
        <v>17</v>
      </c>
      <c r="B432" s="8" t="n">
        <v>8</v>
      </c>
      <c r="C432" s="8" t="n">
        <v>1</v>
      </c>
      <c r="D432" s="8" t="inlineStr">
        <is>
          <t>版本免费+义相逢 + 月卡收益</t>
        </is>
      </c>
      <c r="E432" s="9">
        <f>K431</f>
        <v/>
      </c>
      <c r="F432" s="9" t="n">
        <v>1540</v>
      </c>
      <c r="G432" s="9" t="n">
        <v>4800</v>
      </c>
      <c r="H432" s="9" t="n">
        <v>0</v>
      </c>
      <c r="I432" s="9" t="n">
        <v>0</v>
      </c>
      <c r="J432" s="9" t="n">
        <v>0</v>
      </c>
      <c r="K432" s="9">
        <f>E432+F432+G432+H432+I432-J432</f>
        <v/>
      </c>
      <c r="L432" s="10">
        <f>Q431</f>
        <v/>
      </c>
      <c r="M432" s="10" t="n">
        <v>85</v>
      </c>
      <c r="N432" s="10" t="n">
        <v>11</v>
      </c>
      <c r="O432" s="10">
        <f>J432/160</f>
        <v/>
      </c>
      <c r="P432" s="10" t="n">
        <v>90</v>
      </c>
      <c r="Q432" s="10">
        <f>L432+M432+N432+O432-P432</f>
        <v/>
      </c>
      <c r="R432" s="11">
        <f>T431</f>
        <v/>
      </c>
      <c r="S432" s="11">
        <f>N(V432) + N(X432) + N(Z432)</f>
        <v/>
      </c>
      <c r="T432" s="11">
        <f>R432+P432-S432</f>
        <v/>
      </c>
      <c r="U432" s="11" t="inlineStr">
        <is>
          <t>是</t>
        </is>
      </c>
      <c r="V432" s="11" t="n">
        <v>40</v>
      </c>
      <c r="W432" s="11" t="inlineStr">
        <is>
          <t>是</t>
        </is>
      </c>
      <c r="X432" s="11" t="n">
        <v>46</v>
      </c>
      <c r="Y432" s="11" t="inlineStr">
        <is>
          <t>-</t>
        </is>
      </c>
      <c r="Z432" s="11" t="n">
        <v>0</v>
      </c>
      <c r="AA432" s="11" t="inlineStr">
        <is>
          <t>垫到90抽</t>
        </is>
      </c>
      <c r="AB432" s="12">
        <f>AE431</f>
        <v/>
      </c>
      <c r="AC432" s="12" t="n">
        <v>4</v>
      </c>
      <c r="AD432" s="12" t="n">
        <v>0</v>
      </c>
      <c r="AE432" s="12">
        <f>AB432+AC432+AD432</f>
        <v/>
      </c>
      <c r="AF432" s="13">
        <f>AI431</f>
        <v/>
      </c>
      <c r="AG432" s="13" t="n">
        <v>0</v>
      </c>
      <c r="AH432" s="13" t="n">
        <v>0</v>
      </c>
      <c r="AI432" s="13">
        <f>AF432+AG432+AH432</f>
        <v/>
      </c>
      <c r="AJ432" s="14" t="n">
        <v>0</v>
      </c>
      <c r="AK432" s="14" t="n">
        <v>50</v>
      </c>
      <c r="AL432" s="14" t="n">
        <v>0</v>
      </c>
      <c r="AM432" s="14">
        <f>AJ432+AK432+AL432</f>
        <v/>
      </c>
      <c r="AN432" s="14">
        <f>AN431+AM432</f>
        <v/>
      </c>
    </row>
    <row r="433">
      <c r="A433" s="8" t="n">
        <v>17</v>
      </c>
      <c r="B433" s="8" t="n">
        <v>8</v>
      </c>
      <c r="C433" s="8" t="n">
        <v>2</v>
      </c>
      <c r="D433" s="8" t="inlineStr">
        <is>
          <t>月卡收益 [月卡续费-30元]</t>
        </is>
      </c>
      <c r="E433" s="9">
        <f>K432</f>
        <v/>
      </c>
      <c r="F433" s="9" t="n">
        <v>1540</v>
      </c>
      <c r="G433" s="9" t="n">
        <v>0</v>
      </c>
      <c r="H433" s="9" t="n">
        <v>0</v>
      </c>
      <c r="I433" s="9" t="n">
        <v>0</v>
      </c>
      <c r="J433" s="9" t="n">
        <v>3200</v>
      </c>
      <c r="K433" s="9">
        <f>E433+F433+G433+H433+I433-J433</f>
        <v/>
      </c>
      <c r="L433" s="10">
        <f>Q432</f>
        <v/>
      </c>
      <c r="M433" s="10" t="n">
        <v>0</v>
      </c>
      <c r="N433" s="10" t="n">
        <v>3</v>
      </c>
      <c r="O433" s="10">
        <f>J433/160</f>
        <v/>
      </c>
      <c r="P433" s="10" t="n">
        <v>30</v>
      </c>
      <c r="Q433" s="10">
        <f>L433+M433+N433+O433-P433</f>
        <v/>
      </c>
      <c r="R433" s="11">
        <f>T432</f>
        <v/>
      </c>
      <c r="S433" s="11">
        <f>N(V433) + N(X433) + N(Z433)</f>
        <v/>
      </c>
      <c r="T433" s="11">
        <f>R433+P433-S433</f>
        <v/>
      </c>
      <c r="U433" s="11" t="inlineStr">
        <is>
          <t>是</t>
        </is>
      </c>
      <c r="V433" s="11" t="n">
        <v>46</v>
      </c>
      <c r="W433" s="11" t="inlineStr">
        <is>
          <t>否</t>
        </is>
      </c>
      <c r="X433" s="11" t="inlineStr">
        <is>
          <t>-</t>
        </is>
      </c>
      <c r="Y433" s="11" t="inlineStr">
        <is>
          <t>-</t>
        </is>
      </c>
      <c r="Z433" s="11" t="n">
        <v>0</v>
      </c>
      <c r="AA433" s="11" t="inlineStr">
        <is>
          <t>无</t>
        </is>
      </c>
      <c r="AB433" s="12">
        <f>AE432</f>
        <v/>
      </c>
      <c r="AC433" s="12" t="n">
        <v>0</v>
      </c>
      <c r="AD433" s="12" t="n">
        <v>0</v>
      </c>
      <c r="AE433" s="12">
        <f>AB433+AC433+AD433</f>
        <v/>
      </c>
      <c r="AF433" s="13">
        <f>AI432</f>
        <v/>
      </c>
      <c r="AG433" s="13" t="n">
        <v>0</v>
      </c>
      <c r="AH433" s="13" t="n">
        <v>0</v>
      </c>
      <c r="AI433" s="13">
        <f>AF433+AG433+AH433</f>
        <v/>
      </c>
      <c r="AJ433" s="14" t="n">
        <v>30</v>
      </c>
      <c r="AK433" s="14" t="n">
        <v>0</v>
      </c>
      <c r="AL433" s="14" t="n">
        <v>0</v>
      </c>
      <c r="AM433" s="14">
        <f>AJ433+AK433+AL433</f>
        <v/>
      </c>
      <c r="AN433" s="14">
        <f>AN432+AM433</f>
        <v/>
      </c>
    </row>
    <row r="434">
      <c r="A434" s="8" t="n">
        <v>17</v>
      </c>
      <c r="B434" s="8" t="n">
        <v>9</v>
      </c>
      <c r="C434" s="8" t="n">
        <v>1</v>
      </c>
      <c r="D434" s="8" t="inlineStr">
        <is>
          <t>版本免费+义相逢 + 月卡收益</t>
        </is>
      </c>
      <c r="E434" s="9">
        <f>K433</f>
        <v/>
      </c>
      <c r="F434" s="9" t="n">
        <v>1540</v>
      </c>
      <c r="G434" s="9" t="n">
        <v>4800</v>
      </c>
      <c r="H434" s="9" t="n">
        <v>0</v>
      </c>
      <c r="I434" s="9" t="n">
        <v>0</v>
      </c>
      <c r="J434" s="9" t="n">
        <v>0</v>
      </c>
      <c r="K434" s="9">
        <f>E434+F434+G434+H434+I434-J434</f>
        <v/>
      </c>
      <c r="L434" s="10">
        <f>Q433</f>
        <v/>
      </c>
      <c r="M434" s="10" t="n">
        <v>85</v>
      </c>
      <c r="N434" s="10" t="n">
        <v>11</v>
      </c>
      <c r="O434" s="10">
        <f>J434/160</f>
        <v/>
      </c>
      <c r="P434" s="10" t="n">
        <v>90</v>
      </c>
      <c r="Q434" s="10">
        <f>L434+M434+N434+O434-P434</f>
        <v/>
      </c>
      <c r="R434" s="11">
        <f>T433</f>
        <v/>
      </c>
      <c r="S434" s="11">
        <f>N(V434) + N(X434) + N(Z434)</f>
        <v/>
      </c>
      <c r="T434" s="11">
        <f>R434+P434-S434</f>
        <v/>
      </c>
      <c r="U434" s="11" t="inlineStr">
        <is>
          <t>是</t>
        </is>
      </c>
      <c r="V434" s="11" t="n">
        <v>50</v>
      </c>
      <c r="W434" s="11" t="inlineStr">
        <is>
          <t>是</t>
        </is>
      </c>
      <c r="X434" s="11" t="n">
        <v>22</v>
      </c>
      <c r="Y434" s="11" t="inlineStr">
        <is>
          <t>-</t>
        </is>
      </c>
      <c r="Z434" s="11" t="n">
        <v>0</v>
      </c>
      <c r="AA434" s="11" t="inlineStr">
        <is>
          <t>垫到90抽</t>
        </is>
      </c>
      <c r="AB434" s="12">
        <f>AE433</f>
        <v/>
      </c>
      <c r="AC434" s="12" t="n">
        <v>4</v>
      </c>
      <c r="AD434" s="12" t="n">
        <v>0</v>
      </c>
      <c r="AE434" s="12">
        <f>AB434+AC434+AD434</f>
        <v/>
      </c>
      <c r="AF434" s="13">
        <f>AI433</f>
        <v/>
      </c>
      <c r="AG434" s="13" t="n">
        <v>0</v>
      </c>
      <c r="AH434" s="13" t="n">
        <v>0</v>
      </c>
      <c r="AI434" s="13">
        <f>AF434+AG434+AH434</f>
        <v/>
      </c>
      <c r="AJ434" s="14" t="n">
        <v>0</v>
      </c>
      <c r="AK434" s="14" t="n">
        <v>50</v>
      </c>
      <c r="AL434" s="14" t="n">
        <v>0</v>
      </c>
      <c r="AM434" s="14">
        <f>AJ434+AK434+AL434</f>
        <v/>
      </c>
      <c r="AN434" s="14">
        <f>AN433+AM434</f>
        <v/>
      </c>
    </row>
    <row r="435">
      <c r="A435" s="8" t="n">
        <v>17</v>
      </c>
      <c r="B435" s="8" t="n">
        <v>9</v>
      </c>
      <c r="C435" s="8" t="n">
        <v>2</v>
      </c>
      <c r="D435" s="8" t="inlineStr">
        <is>
          <t>月卡收益 [月卡续费-30元]</t>
        </is>
      </c>
      <c r="E435" s="9">
        <f>K434</f>
        <v/>
      </c>
      <c r="F435" s="9" t="n">
        <v>1540</v>
      </c>
      <c r="G435" s="9" t="n">
        <v>0</v>
      </c>
      <c r="H435" s="9" t="n">
        <v>0</v>
      </c>
      <c r="I435" s="9" t="n">
        <v>0</v>
      </c>
      <c r="J435" s="9" t="n">
        <v>12160</v>
      </c>
      <c r="K435" s="9">
        <f>E435+F435+G435+H435+I435-J435</f>
        <v/>
      </c>
      <c r="L435" s="10">
        <f>Q434</f>
        <v/>
      </c>
      <c r="M435" s="10" t="n">
        <v>0</v>
      </c>
      <c r="N435" s="10" t="n">
        <v>11</v>
      </c>
      <c r="O435" s="10">
        <f>J435/160</f>
        <v/>
      </c>
      <c r="P435" s="10" t="n">
        <v>90</v>
      </c>
      <c r="Q435" s="10">
        <f>L435+M435+N435+O435-P435</f>
        <v/>
      </c>
      <c r="R435" s="11">
        <f>T434</f>
        <v/>
      </c>
      <c r="S435" s="11">
        <f>N(V435) + N(X435) + N(Z435)</f>
        <v/>
      </c>
      <c r="T435" s="11">
        <f>R435+P435-S435</f>
        <v/>
      </c>
      <c r="U435" s="11" t="inlineStr">
        <is>
          <t>是</t>
        </is>
      </c>
      <c r="V435" s="11" t="n">
        <v>51</v>
      </c>
      <c r="W435" s="11" t="inlineStr">
        <is>
          <t>是</t>
        </is>
      </c>
      <c r="X435" s="11" t="n">
        <v>47</v>
      </c>
      <c r="Y435" s="11" t="inlineStr">
        <is>
          <t>-</t>
        </is>
      </c>
      <c r="Z435" s="11" t="n">
        <v>0</v>
      </c>
      <c r="AA435" s="11" t="inlineStr">
        <is>
          <t>垫到90抽</t>
        </is>
      </c>
      <c r="AB435" s="12">
        <f>AE434</f>
        <v/>
      </c>
      <c r="AC435" s="12" t="n">
        <v>0</v>
      </c>
      <c r="AD435" s="12" t="n">
        <v>0</v>
      </c>
      <c r="AE435" s="12">
        <f>AB435+AC435+AD435</f>
        <v/>
      </c>
      <c r="AF435" s="13">
        <f>AI434</f>
        <v/>
      </c>
      <c r="AG435" s="13" t="n">
        <v>0</v>
      </c>
      <c r="AH435" s="13" t="n">
        <v>0</v>
      </c>
      <c r="AI435" s="13">
        <f>AF435+AG435+AH435</f>
        <v/>
      </c>
      <c r="AJ435" s="14" t="n">
        <v>30</v>
      </c>
      <c r="AK435" s="14" t="n">
        <v>0</v>
      </c>
      <c r="AL435" s="14" t="n">
        <v>0</v>
      </c>
      <c r="AM435" s="14">
        <f>AJ435+AK435+AL435</f>
        <v/>
      </c>
      <c r="AN435" s="14">
        <f>AN434+AM435</f>
        <v/>
      </c>
    </row>
    <row r="436">
      <c r="A436" s="8" t="n">
        <v>17</v>
      </c>
      <c r="B436" s="8" t="n">
        <v>10</v>
      </c>
      <c r="C436" s="8" t="n">
        <v>1</v>
      </c>
      <c r="D436" s="8" t="inlineStr">
        <is>
          <t>版本免费+义相逢 + 月卡收益</t>
        </is>
      </c>
      <c r="E436" s="9">
        <f>K435</f>
        <v/>
      </c>
      <c r="F436" s="9" t="n">
        <v>1540</v>
      </c>
      <c r="G436" s="9" t="n">
        <v>4800</v>
      </c>
      <c r="H436" s="9" t="n">
        <v>0</v>
      </c>
      <c r="I436" s="9" t="n">
        <v>0</v>
      </c>
      <c r="J436" s="9" t="n">
        <v>14240</v>
      </c>
      <c r="K436" s="9">
        <f>E436+F436+G436+H436+I436-J436</f>
        <v/>
      </c>
      <c r="L436" s="10">
        <f>Q435</f>
        <v/>
      </c>
      <c r="M436" s="10" t="n">
        <v>85</v>
      </c>
      <c r="N436" s="10" t="n">
        <v>21</v>
      </c>
      <c r="O436" s="10">
        <f>J436/160</f>
        <v/>
      </c>
      <c r="P436" s="10" t="n">
        <v>200</v>
      </c>
      <c r="Q436" s="10">
        <f>L436+M436+N436+O436-P436</f>
        <v/>
      </c>
      <c r="R436" s="11">
        <f>T435</f>
        <v/>
      </c>
      <c r="S436" s="11">
        <f>N(V436) + N(X436) + N(Z436)</f>
        <v/>
      </c>
      <c r="T436" s="11">
        <f>R436+P436-S436</f>
        <v/>
      </c>
      <c r="U436" s="11" t="inlineStr">
        <is>
          <t>是</t>
        </is>
      </c>
      <c r="V436" s="11" t="n">
        <v>54</v>
      </c>
      <c r="W436" s="11" t="inlineStr">
        <is>
          <t>是</t>
        </is>
      </c>
      <c r="X436" s="11" t="n">
        <v>48</v>
      </c>
      <c r="Y436" s="11" t="inlineStr">
        <is>
          <t>歪(52), UP(48)</t>
        </is>
      </c>
      <c r="Z436" s="11" t="n">
        <v>100</v>
      </c>
      <c r="AA436" s="11" t="inlineStr">
        <is>
          <t>冲刺200(动态100)</t>
        </is>
      </c>
      <c r="AB436" s="12">
        <f>AE435</f>
        <v/>
      </c>
      <c r="AC436" s="12" t="n">
        <v>4</v>
      </c>
      <c r="AD436" s="12" t="n">
        <v>1</v>
      </c>
      <c r="AE436" s="12">
        <f>AB436+AC436+AD436</f>
        <v/>
      </c>
      <c r="AF436" s="13">
        <f>AI435</f>
        <v/>
      </c>
      <c r="AG436" s="13" t="n">
        <v>0</v>
      </c>
      <c r="AH436" s="13" t="n">
        <v>5000</v>
      </c>
      <c r="AI436" s="13">
        <f>AF436+AG436+AH436</f>
        <v/>
      </c>
      <c r="AJ436" s="14" t="n">
        <v>0</v>
      </c>
      <c r="AK436" s="14" t="n">
        <v>50</v>
      </c>
      <c r="AL436" s="14" t="n">
        <v>0</v>
      </c>
      <c r="AM436" s="14">
        <f>AJ436+AK436+AL436</f>
        <v/>
      </c>
      <c r="AN436" s="14">
        <f>AN435+AM436</f>
        <v/>
      </c>
    </row>
    <row r="437">
      <c r="A437" s="8" t="n">
        <v>17</v>
      </c>
      <c r="B437" s="8" t="n">
        <v>10</v>
      </c>
      <c r="C437" s="8" t="n">
        <v>2</v>
      </c>
      <c r="D437" s="8" t="inlineStr">
        <is>
          <t>月卡收益</t>
        </is>
      </c>
      <c r="E437" s="9">
        <f>K436</f>
        <v/>
      </c>
      <c r="F437" s="9" t="n">
        <v>1540</v>
      </c>
      <c r="G437" s="9" t="n">
        <v>0</v>
      </c>
      <c r="H437" s="9" t="n">
        <v>0</v>
      </c>
      <c r="I437" s="9" t="n">
        <v>0</v>
      </c>
      <c r="J437" s="9" t="n">
        <v>4640</v>
      </c>
      <c r="K437" s="9">
        <f>E437+F437+G437+H437+I437-J437</f>
        <v/>
      </c>
      <c r="L437" s="10">
        <f>Q436</f>
        <v/>
      </c>
      <c r="M437" s="10" t="n">
        <v>0</v>
      </c>
      <c r="N437" s="10" t="n">
        <v>3</v>
      </c>
      <c r="O437" s="10">
        <f>J437/160</f>
        <v/>
      </c>
      <c r="P437" s="10" t="n">
        <v>30</v>
      </c>
      <c r="Q437" s="10">
        <f>L437+M437+N437+O437-P437</f>
        <v/>
      </c>
      <c r="R437" s="11">
        <f>T436</f>
        <v/>
      </c>
      <c r="S437" s="11">
        <f>N(V437) + N(X437) + N(Z437)</f>
        <v/>
      </c>
      <c r="T437" s="11">
        <f>R437+P437-S437</f>
        <v/>
      </c>
      <c r="U437" s="11" t="inlineStr">
        <is>
          <t>是</t>
        </is>
      </c>
      <c r="V437" s="11" t="n">
        <v>36</v>
      </c>
      <c r="W437" s="11" t="inlineStr">
        <is>
          <t>否</t>
        </is>
      </c>
      <c r="X437" s="11" t="inlineStr">
        <is>
          <t>-</t>
        </is>
      </c>
      <c r="Y437" s="11" t="inlineStr">
        <is>
          <t>-</t>
        </is>
      </c>
      <c r="Z437" s="11" t="n">
        <v>0</v>
      </c>
      <c r="AA437" s="11" t="inlineStr">
        <is>
          <t>无</t>
        </is>
      </c>
      <c r="AB437" s="12">
        <f>AE436</f>
        <v/>
      </c>
      <c r="AC437" s="12" t="n">
        <v>0</v>
      </c>
      <c r="AD437" s="12" t="n">
        <v>0</v>
      </c>
      <c r="AE437" s="12">
        <f>AB437+AC437+AD437</f>
        <v/>
      </c>
      <c r="AF437" s="13">
        <f>AI436</f>
        <v/>
      </c>
      <c r="AG437" s="13" t="n">
        <v>0</v>
      </c>
      <c r="AH437" s="13" t="n">
        <v>0</v>
      </c>
      <c r="AI437" s="13">
        <f>AF437+AG437+AH437</f>
        <v/>
      </c>
      <c r="AJ437" s="14" t="n">
        <v>0</v>
      </c>
      <c r="AK437" s="14" t="n">
        <v>0</v>
      </c>
      <c r="AL437" s="14" t="n">
        <v>0</v>
      </c>
      <c r="AM437" s="14">
        <f>AJ437+AK437+AL437</f>
        <v/>
      </c>
      <c r="AN437" s="14">
        <f>AN436+AM437</f>
        <v/>
      </c>
    </row>
    <row r="438">
      <c r="A438" s="8" t="n">
        <v>17</v>
      </c>
      <c r="B438" s="8" t="n">
        <v>11</v>
      </c>
      <c r="C438" s="8" t="n">
        <v>1</v>
      </c>
      <c r="D438" s="8" t="inlineStr">
        <is>
          <t>版本免费+义相逢 + 月卡收益 [月卡续费-30元]</t>
        </is>
      </c>
      <c r="E438" s="9">
        <f>K437</f>
        <v/>
      </c>
      <c r="F438" s="9" t="n">
        <v>1540</v>
      </c>
      <c r="G438" s="9" t="n">
        <v>4800</v>
      </c>
      <c r="H438" s="9" t="n">
        <v>0</v>
      </c>
      <c r="I438" s="9" t="n">
        <v>0</v>
      </c>
      <c r="J438" s="9" t="n">
        <v>0</v>
      </c>
      <c r="K438" s="9">
        <f>E438+F438+G438+H438+I438-J438</f>
        <v/>
      </c>
      <c r="L438" s="10">
        <f>Q437</f>
        <v/>
      </c>
      <c r="M438" s="10" t="n">
        <v>85</v>
      </c>
      <c r="N438" s="10" t="n">
        <v>6</v>
      </c>
      <c r="O438" s="10">
        <f>J438/160</f>
        <v/>
      </c>
      <c r="P438" s="10" t="n">
        <v>60</v>
      </c>
      <c r="Q438" s="10">
        <f>L438+M438+N438+O438-P438</f>
        <v/>
      </c>
      <c r="R438" s="11">
        <f>T437</f>
        <v/>
      </c>
      <c r="S438" s="11">
        <f>N(V438) + N(X438) + N(Z438)</f>
        <v/>
      </c>
      <c r="T438" s="11">
        <f>R438+P438-S438</f>
        <v/>
      </c>
      <c r="U438" s="11" t="inlineStr">
        <is>
          <t>是</t>
        </is>
      </c>
      <c r="V438" s="11" t="n">
        <v>49</v>
      </c>
      <c r="W438" s="11" t="inlineStr">
        <is>
          <t>否</t>
        </is>
      </c>
      <c r="X438" s="11" t="inlineStr">
        <is>
          <t>-</t>
        </is>
      </c>
      <c r="Y438" s="11" t="inlineStr">
        <is>
          <t>-</t>
        </is>
      </c>
      <c r="Z438" s="11" t="n">
        <v>0</v>
      </c>
      <c r="AA438" s="11" t="inlineStr">
        <is>
          <t>垫到60抽</t>
        </is>
      </c>
      <c r="AB438" s="12">
        <f>AE437</f>
        <v/>
      </c>
      <c r="AC438" s="12" t="n">
        <v>4</v>
      </c>
      <c r="AD438" s="12" t="n">
        <v>0</v>
      </c>
      <c r="AE438" s="12">
        <f>AB438+AC438+AD438</f>
        <v/>
      </c>
      <c r="AF438" s="13">
        <f>AI437</f>
        <v/>
      </c>
      <c r="AG438" s="13" t="n">
        <v>0</v>
      </c>
      <c r="AH438" s="13" t="n">
        <v>0</v>
      </c>
      <c r="AI438" s="13">
        <f>AF438+AG438+AH438</f>
        <v/>
      </c>
      <c r="AJ438" s="14" t="n">
        <v>30</v>
      </c>
      <c r="AK438" s="14" t="n">
        <v>50</v>
      </c>
      <c r="AL438" s="14" t="n">
        <v>0</v>
      </c>
      <c r="AM438" s="14">
        <f>AJ438+AK438+AL438</f>
        <v/>
      </c>
      <c r="AN438" s="14">
        <f>AN437+AM438</f>
        <v/>
      </c>
    </row>
    <row r="439">
      <c r="A439" s="8" t="n">
        <v>17</v>
      </c>
      <c r="B439" s="8" t="n">
        <v>11</v>
      </c>
      <c r="C439" s="8" t="n">
        <v>2</v>
      </c>
      <c r="D439" s="8" t="inlineStr">
        <is>
          <t>月卡收益</t>
        </is>
      </c>
      <c r="E439" s="9">
        <f>K438</f>
        <v/>
      </c>
      <c r="F439" s="9" t="n">
        <v>1540</v>
      </c>
      <c r="G439" s="9" t="n">
        <v>0</v>
      </c>
      <c r="H439" s="9" t="n">
        <v>0</v>
      </c>
      <c r="I439" s="9" t="n">
        <v>0</v>
      </c>
      <c r="J439" s="9" t="n">
        <v>640</v>
      </c>
      <c r="K439" s="9">
        <f>E439+F439+G439+H439+I439-J439</f>
        <v/>
      </c>
      <c r="L439" s="10">
        <f>Q438</f>
        <v/>
      </c>
      <c r="M439" s="10" t="n">
        <v>0</v>
      </c>
      <c r="N439" s="10" t="n">
        <v>3</v>
      </c>
      <c r="O439" s="10">
        <f>J439/160</f>
        <v/>
      </c>
      <c r="P439" s="10" t="n">
        <v>40</v>
      </c>
      <c r="Q439" s="10">
        <f>L439+M439+N439+O439-P439</f>
        <v/>
      </c>
      <c r="R439" s="11">
        <f>T438</f>
        <v/>
      </c>
      <c r="S439" s="11">
        <f>N(V439) + N(X439) + N(Z439)</f>
        <v/>
      </c>
      <c r="T439" s="11">
        <f>R439+P439-S439</f>
        <v/>
      </c>
      <c r="U439" s="11" t="inlineStr">
        <is>
          <t>是</t>
        </is>
      </c>
      <c r="V439" s="11" t="n">
        <v>49</v>
      </c>
      <c r="W439" s="11" t="inlineStr">
        <is>
          <t>否</t>
        </is>
      </c>
      <c r="X439" s="11" t="inlineStr">
        <is>
          <t>-</t>
        </is>
      </c>
      <c r="Y439" s="11" t="inlineStr">
        <is>
          <t>-</t>
        </is>
      </c>
      <c r="Z439" s="11" t="n">
        <v>0</v>
      </c>
      <c r="AA439" s="11" t="inlineStr">
        <is>
          <t>无</t>
        </is>
      </c>
      <c r="AB439" s="12">
        <f>AE438</f>
        <v/>
      </c>
      <c r="AC439" s="12" t="n">
        <v>0</v>
      </c>
      <c r="AD439" s="12" t="n">
        <v>0</v>
      </c>
      <c r="AE439" s="12">
        <f>AB439+AC439+AD439</f>
        <v/>
      </c>
      <c r="AF439" s="13">
        <f>AI438</f>
        <v/>
      </c>
      <c r="AG439" s="13" t="n">
        <v>0</v>
      </c>
      <c r="AH439" s="13" t="n">
        <v>0</v>
      </c>
      <c r="AI439" s="13">
        <f>AF439+AG439+AH439</f>
        <v/>
      </c>
      <c r="AJ439" s="14" t="n">
        <v>0</v>
      </c>
      <c r="AK439" s="14" t="n">
        <v>0</v>
      </c>
      <c r="AL439" s="14" t="n">
        <v>0</v>
      </c>
      <c r="AM439" s="14">
        <f>AJ439+AK439+AL439</f>
        <v/>
      </c>
      <c r="AN439" s="14">
        <f>AN438+AM439</f>
        <v/>
      </c>
    </row>
    <row r="440">
      <c r="A440" s="8" t="n">
        <v>17</v>
      </c>
      <c r="B440" s="8" t="n">
        <v>12</v>
      </c>
      <c r="C440" s="8" t="n">
        <v>1</v>
      </c>
      <c r="D440" s="8" t="inlineStr">
        <is>
          <t>版本免费+义相逢 + 月卡收益 [月卡续费-30元]</t>
        </is>
      </c>
      <c r="E440" s="9">
        <f>K439</f>
        <v/>
      </c>
      <c r="F440" s="9" t="n">
        <v>1540</v>
      </c>
      <c r="G440" s="9" t="n">
        <v>4800</v>
      </c>
      <c r="H440" s="9" t="n">
        <v>0</v>
      </c>
      <c r="I440" s="9" t="n">
        <v>0</v>
      </c>
      <c r="J440" s="9" t="n">
        <v>0</v>
      </c>
      <c r="K440" s="9">
        <f>E440+F440+G440+H440+I440-J440</f>
        <v/>
      </c>
      <c r="L440" s="10">
        <f>Q439</f>
        <v/>
      </c>
      <c r="M440" s="10" t="n">
        <v>85</v>
      </c>
      <c r="N440" s="10" t="n">
        <v>6</v>
      </c>
      <c r="O440" s="10">
        <f>J440/160</f>
        <v/>
      </c>
      <c r="P440" s="10" t="n">
        <v>60</v>
      </c>
      <c r="Q440" s="10">
        <f>L440+M440+N440+O440-P440</f>
        <v/>
      </c>
      <c r="R440" s="11">
        <f>T439</f>
        <v/>
      </c>
      <c r="S440" s="11">
        <f>N(V440) + N(X440) + N(Z440)</f>
        <v/>
      </c>
      <c r="T440" s="11">
        <f>R440+P440-S440</f>
        <v/>
      </c>
      <c r="U440" s="11" t="inlineStr">
        <is>
          <t>是</t>
        </is>
      </c>
      <c r="V440" s="11" t="n">
        <v>52</v>
      </c>
      <c r="W440" s="11" t="inlineStr">
        <is>
          <t>否</t>
        </is>
      </c>
      <c r="X440" s="11" t="inlineStr">
        <is>
          <t>-</t>
        </is>
      </c>
      <c r="Y440" s="11" t="inlineStr">
        <is>
          <t>-</t>
        </is>
      </c>
      <c r="Z440" s="11" t="n">
        <v>0</v>
      </c>
      <c r="AA440" s="11" t="inlineStr">
        <is>
          <t>垫到60抽</t>
        </is>
      </c>
      <c r="AB440" s="12">
        <f>AE439</f>
        <v/>
      </c>
      <c r="AC440" s="12" t="n">
        <v>4</v>
      </c>
      <c r="AD440" s="12" t="n">
        <v>0</v>
      </c>
      <c r="AE440" s="12">
        <f>AB440+AC440+AD440</f>
        <v/>
      </c>
      <c r="AF440" s="13">
        <f>AI439</f>
        <v/>
      </c>
      <c r="AG440" s="13" t="n">
        <v>0</v>
      </c>
      <c r="AH440" s="13" t="n">
        <v>0</v>
      </c>
      <c r="AI440" s="13">
        <f>AF440+AG440+AH440</f>
        <v/>
      </c>
      <c r="AJ440" s="14" t="n">
        <v>30</v>
      </c>
      <c r="AK440" s="14" t="n">
        <v>50</v>
      </c>
      <c r="AL440" s="14" t="n">
        <v>0</v>
      </c>
      <c r="AM440" s="14">
        <f>AJ440+AK440+AL440</f>
        <v/>
      </c>
      <c r="AN440" s="14">
        <f>AN439+AM440</f>
        <v/>
      </c>
    </row>
    <row r="441">
      <c r="A441" s="8" t="n">
        <v>17</v>
      </c>
      <c r="B441" s="8" t="n">
        <v>12</v>
      </c>
      <c r="C441" s="8" t="n">
        <v>2</v>
      </c>
      <c r="D441" s="8" t="inlineStr">
        <is>
          <t>月卡收益</t>
        </is>
      </c>
      <c r="E441" s="9">
        <f>K440</f>
        <v/>
      </c>
      <c r="F441" s="9" t="n">
        <v>1540</v>
      </c>
      <c r="G441" s="9" t="n">
        <v>0</v>
      </c>
      <c r="H441" s="9" t="n">
        <v>0</v>
      </c>
      <c r="I441" s="9" t="n">
        <v>0</v>
      </c>
      <c r="J441" s="9" t="n">
        <v>8480</v>
      </c>
      <c r="K441" s="9">
        <f>E441+F441+G441+H441+I441-J441</f>
        <v/>
      </c>
      <c r="L441" s="10">
        <f>Q440</f>
        <v/>
      </c>
      <c r="M441" s="10" t="n">
        <v>0</v>
      </c>
      <c r="N441" s="10" t="n">
        <v>11</v>
      </c>
      <c r="O441" s="10">
        <f>J441/160</f>
        <v/>
      </c>
      <c r="P441" s="10" t="n">
        <v>90</v>
      </c>
      <c r="Q441" s="10">
        <f>L441+M441+N441+O441-P441</f>
        <v/>
      </c>
      <c r="R441" s="11">
        <f>T440</f>
        <v/>
      </c>
      <c r="S441" s="11">
        <f>N(V441) + N(X441) + N(Z441)</f>
        <v/>
      </c>
      <c r="T441" s="11">
        <f>R441+P441-S441</f>
        <v/>
      </c>
      <c r="U441" s="11" t="inlineStr">
        <is>
          <t>是</t>
        </is>
      </c>
      <c r="V441" s="11" t="n">
        <v>49</v>
      </c>
      <c r="W441" s="11" t="inlineStr">
        <is>
          <t>是</t>
        </is>
      </c>
      <c r="X441" s="11" t="n">
        <v>49</v>
      </c>
      <c r="Y441" s="11" t="inlineStr">
        <is>
          <t>-</t>
        </is>
      </c>
      <c r="Z441" s="11" t="n">
        <v>0</v>
      </c>
      <c r="AA441" s="11" t="inlineStr">
        <is>
          <t>无</t>
        </is>
      </c>
      <c r="AB441" s="12">
        <f>AE440</f>
        <v/>
      </c>
      <c r="AC441" s="12" t="n">
        <v>0</v>
      </c>
      <c r="AD441" s="12" t="n">
        <v>0</v>
      </c>
      <c r="AE441" s="12">
        <f>AB441+AC441+AD441</f>
        <v/>
      </c>
      <c r="AF441" s="13">
        <f>AI440</f>
        <v/>
      </c>
      <c r="AG441" s="13" t="n">
        <v>0</v>
      </c>
      <c r="AH441" s="13" t="n">
        <v>0</v>
      </c>
      <c r="AI441" s="13">
        <f>AF441+AG441+AH441</f>
        <v/>
      </c>
      <c r="AJ441" s="14" t="n">
        <v>0</v>
      </c>
      <c r="AK441" s="14" t="n">
        <v>0</v>
      </c>
      <c r="AL441" s="14" t="n">
        <v>0</v>
      </c>
      <c r="AM441" s="14">
        <f>AJ441+AK441+AL441</f>
        <v/>
      </c>
      <c r="AN441" s="14">
        <f>AN440+AM441</f>
        <v/>
      </c>
    </row>
    <row r="442">
      <c r="A442" s="8" t="n">
        <v>17</v>
      </c>
      <c r="B442" s="8" t="n">
        <v>13</v>
      </c>
      <c r="C442" s="8" t="n">
        <v>1</v>
      </c>
      <c r="D442" s="8" t="inlineStr">
        <is>
          <t>版本免费+义相逢 + 月卡收益 [月卡续费-30元]</t>
        </is>
      </c>
      <c r="E442" s="9">
        <f>K441</f>
        <v/>
      </c>
      <c r="F442" s="9" t="n">
        <v>1540</v>
      </c>
      <c r="G442" s="9" t="n">
        <v>4800</v>
      </c>
      <c r="H442" s="9" t="n">
        <v>0</v>
      </c>
      <c r="I442" s="9" t="n">
        <v>0</v>
      </c>
      <c r="J442" s="9" t="n">
        <v>0</v>
      </c>
      <c r="K442" s="9">
        <f>E442+F442+G442+H442+I442-J442</f>
        <v/>
      </c>
      <c r="L442" s="10">
        <f>Q441</f>
        <v/>
      </c>
      <c r="M442" s="10" t="n">
        <v>85</v>
      </c>
      <c r="N442" s="10" t="n">
        <v>6</v>
      </c>
      <c r="O442" s="10">
        <f>J442/160</f>
        <v/>
      </c>
      <c r="P442" s="10" t="n">
        <v>60</v>
      </c>
      <c r="Q442" s="10">
        <f>L442+M442+N442+O442-P442</f>
        <v/>
      </c>
      <c r="R442" s="11">
        <f>T441</f>
        <v/>
      </c>
      <c r="S442" s="11">
        <f>N(V442) + N(X442) + N(Z442)</f>
        <v/>
      </c>
      <c r="T442" s="11">
        <f>R442+P442-S442</f>
        <v/>
      </c>
      <c r="U442" s="11" t="inlineStr">
        <is>
          <t>是</t>
        </is>
      </c>
      <c r="V442" s="11" t="n">
        <v>49</v>
      </c>
      <c r="W442" s="11" t="inlineStr">
        <is>
          <t>否</t>
        </is>
      </c>
      <c r="X442" s="11" t="inlineStr">
        <is>
          <t>-</t>
        </is>
      </c>
      <c r="Y442" s="11" t="inlineStr">
        <is>
          <t>-</t>
        </is>
      </c>
      <c r="Z442" s="11" t="n">
        <v>0</v>
      </c>
      <c r="AA442" s="11" t="inlineStr">
        <is>
          <t>垫到60抽</t>
        </is>
      </c>
      <c r="AB442" s="12">
        <f>AE441</f>
        <v/>
      </c>
      <c r="AC442" s="12" t="n">
        <v>4</v>
      </c>
      <c r="AD442" s="12" t="n">
        <v>0</v>
      </c>
      <c r="AE442" s="12">
        <f>AB442+AC442+AD442</f>
        <v/>
      </c>
      <c r="AF442" s="13">
        <f>AI441</f>
        <v/>
      </c>
      <c r="AG442" s="13" t="n">
        <v>0</v>
      </c>
      <c r="AH442" s="13" t="n">
        <v>0</v>
      </c>
      <c r="AI442" s="13">
        <f>AF442+AG442+AH442</f>
        <v/>
      </c>
      <c r="AJ442" s="14" t="n">
        <v>30</v>
      </c>
      <c r="AK442" s="14" t="n">
        <v>50</v>
      </c>
      <c r="AL442" s="14" t="n">
        <v>0</v>
      </c>
      <c r="AM442" s="14">
        <f>AJ442+AK442+AL442</f>
        <v/>
      </c>
      <c r="AN442" s="14">
        <f>AN441+AM442</f>
        <v/>
      </c>
    </row>
    <row r="443">
      <c r="A443" s="8" t="n">
        <v>17</v>
      </c>
      <c r="B443" s="8" t="n">
        <v>13</v>
      </c>
      <c r="C443" s="8" t="n">
        <v>2</v>
      </c>
      <c r="D443" s="8" t="inlineStr">
        <is>
          <t>月卡收益</t>
        </is>
      </c>
      <c r="E443" s="9">
        <f>K442</f>
        <v/>
      </c>
      <c r="F443" s="9" t="n">
        <v>1540</v>
      </c>
      <c r="G443" s="9" t="n">
        <v>0</v>
      </c>
      <c r="H443" s="9" t="n">
        <v>0</v>
      </c>
      <c r="I443" s="9" t="n">
        <v>0</v>
      </c>
      <c r="J443" s="9" t="n">
        <v>160</v>
      </c>
      <c r="K443" s="9">
        <f>E443+F443+G443+H443+I443-J443</f>
        <v/>
      </c>
      <c r="L443" s="10">
        <f>Q442</f>
        <v/>
      </c>
      <c r="M443" s="10" t="n">
        <v>0</v>
      </c>
      <c r="N443" s="10" t="n">
        <v>3</v>
      </c>
      <c r="O443" s="10">
        <f>J443/160</f>
        <v/>
      </c>
      <c r="P443" s="10" t="n">
        <v>40</v>
      </c>
      <c r="Q443" s="10">
        <f>L443+M443+N443+O443-P443</f>
        <v/>
      </c>
      <c r="R443" s="11">
        <f>T442</f>
        <v/>
      </c>
      <c r="S443" s="11">
        <f>N(V443) + N(X443) + N(Z443)</f>
        <v/>
      </c>
      <c r="T443" s="11">
        <f>R443+P443-S443</f>
        <v/>
      </c>
      <c r="U443" s="11" t="inlineStr">
        <is>
          <t>是</t>
        </is>
      </c>
      <c r="V443" s="11" t="n">
        <v>48</v>
      </c>
      <c r="W443" s="11" t="inlineStr">
        <is>
          <t>否</t>
        </is>
      </c>
      <c r="X443" s="11" t="inlineStr">
        <is>
          <t>-</t>
        </is>
      </c>
      <c r="Y443" s="11" t="inlineStr">
        <is>
          <t>-</t>
        </is>
      </c>
      <c r="Z443" s="11" t="n">
        <v>0</v>
      </c>
      <c r="AA443" s="11" t="inlineStr">
        <is>
          <t>无</t>
        </is>
      </c>
      <c r="AB443" s="12">
        <f>AE442</f>
        <v/>
      </c>
      <c r="AC443" s="12" t="n">
        <v>0</v>
      </c>
      <c r="AD443" s="12" t="n">
        <v>0</v>
      </c>
      <c r="AE443" s="12">
        <f>AB443+AC443+AD443</f>
        <v/>
      </c>
      <c r="AF443" s="13">
        <f>AI442</f>
        <v/>
      </c>
      <c r="AG443" s="13" t="n">
        <v>0</v>
      </c>
      <c r="AH443" s="13" t="n">
        <v>0</v>
      </c>
      <c r="AI443" s="13">
        <f>AF443+AG443+AH443</f>
        <v/>
      </c>
      <c r="AJ443" s="14" t="n">
        <v>0</v>
      </c>
      <c r="AK443" s="14" t="n">
        <v>0</v>
      </c>
      <c r="AL443" s="14" t="n">
        <v>0</v>
      </c>
      <c r="AM443" s="14">
        <f>AJ443+AK443+AL443</f>
        <v/>
      </c>
      <c r="AN443" s="14">
        <f>AN442+AM443</f>
        <v/>
      </c>
    </row>
    <row r="444">
      <c r="A444" s="8" t="n">
        <v>18</v>
      </c>
      <c r="B444" s="8" t="n">
        <v>1</v>
      </c>
      <c r="C444" s="8" t="n">
        <v>1</v>
      </c>
      <c r="D444" s="8" t="inlineStr">
        <is>
          <t>版本免费+义相逢 + 月卡收益 [月卡续费-30元]</t>
        </is>
      </c>
      <c r="E444" s="9" t="n">
        <v>28680</v>
      </c>
      <c r="F444" s="9" t="n">
        <v>1540</v>
      </c>
      <c r="G444" s="9" t="n">
        <v>4800</v>
      </c>
      <c r="H444" s="9" t="n">
        <v>0</v>
      </c>
      <c r="I444" s="9" t="n">
        <v>0</v>
      </c>
      <c r="J444" s="9" t="n">
        <v>0</v>
      </c>
      <c r="K444" s="9">
        <f>E444+F444+G444+H444+I444-J444</f>
        <v/>
      </c>
      <c r="L444" s="10" t="n">
        <v>0</v>
      </c>
      <c r="M444" s="10" t="n">
        <v>85</v>
      </c>
      <c r="N444" s="10" t="n">
        <v>3</v>
      </c>
      <c r="O444" s="10">
        <f>J444/160</f>
        <v/>
      </c>
      <c r="P444" s="10" t="n">
        <v>40</v>
      </c>
      <c r="Q444" s="10">
        <f>L444+M444+N444+O444-P444</f>
        <v/>
      </c>
      <c r="R444" s="11" t="n">
        <v>8</v>
      </c>
      <c r="S444" s="11">
        <f>N(V444) + N(X444) + N(Z444)</f>
        <v/>
      </c>
      <c r="T444" s="11">
        <f>R444+P444-S444</f>
        <v/>
      </c>
      <c r="U444" s="11" t="inlineStr">
        <is>
          <t>是</t>
        </is>
      </c>
      <c r="V444" s="11" t="n">
        <v>46</v>
      </c>
      <c r="W444" s="11" t="inlineStr">
        <is>
          <t>否</t>
        </is>
      </c>
      <c r="X444" s="11" t="inlineStr">
        <is>
          <t>-</t>
        </is>
      </c>
      <c r="Y444" s="11" t="inlineStr">
        <is>
          <t>-</t>
        </is>
      </c>
      <c r="Z444" s="11" t="n">
        <v>0</v>
      </c>
      <c r="AA444" s="11" t="inlineStr">
        <is>
          <t>无</t>
        </is>
      </c>
      <c r="AB444" s="12" t="n">
        <v>907</v>
      </c>
      <c r="AC444" s="12" t="n">
        <v>4</v>
      </c>
      <c r="AD444" s="12" t="n">
        <v>0</v>
      </c>
      <c r="AE444" s="12">
        <f>AB444+AC444+AD444</f>
        <v/>
      </c>
      <c r="AF444" s="13" t="n">
        <v>115000</v>
      </c>
      <c r="AG444" s="13" t="n">
        <v>0</v>
      </c>
      <c r="AH444" s="13" t="n">
        <v>0</v>
      </c>
      <c r="AI444" s="13">
        <f>AF444+AG444+AH444</f>
        <v/>
      </c>
      <c r="AJ444" s="14" t="n">
        <v>30</v>
      </c>
      <c r="AK444" s="14" t="n">
        <v>50</v>
      </c>
      <c r="AL444" s="14" t="n">
        <v>0</v>
      </c>
      <c r="AM444" s="14">
        <f>AJ444+AK444+AL444</f>
        <v/>
      </c>
      <c r="AN444" s="14">
        <f>AM444</f>
        <v/>
      </c>
    </row>
    <row r="445">
      <c r="A445" s="8" t="n">
        <v>18</v>
      </c>
      <c r="B445" s="8" t="n">
        <v>1</v>
      </c>
      <c r="C445" s="8" t="n">
        <v>2</v>
      </c>
      <c r="D445" s="8" t="inlineStr">
        <is>
          <t>月卡收益</t>
        </is>
      </c>
      <c r="E445" s="9">
        <f>K444</f>
        <v/>
      </c>
      <c r="F445" s="9" t="n">
        <v>1540</v>
      </c>
      <c r="G445" s="9" t="n">
        <v>0</v>
      </c>
      <c r="H445" s="9" t="n">
        <v>0</v>
      </c>
      <c r="I445" s="9" t="n">
        <v>0</v>
      </c>
      <c r="J445" s="9" t="n">
        <v>6560</v>
      </c>
      <c r="K445" s="9">
        <f>E445+F445+G445+H445+I445-J445</f>
        <v/>
      </c>
      <c r="L445" s="10">
        <f>Q444</f>
        <v/>
      </c>
      <c r="M445" s="10" t="n">
        <v>0</v>
      </c>
      <c r="N445" s="10" t="n">
        <v>11</v>
      </c>
      <c r="O445" s="10">
        <f>J445/160</f>
        <v/>
      </c>
      <c r="P445" s="10" t="n">
        <v>100</v>
      </c>
      <c r="Q445" s="10">
        <f>L445+M445+N445+O445-P445</f>
        <v/>
      </c>
      <c r="R445" s="11">
        <f>T444</f>
        <v/>
      </c>
      <c r="S445" s="11">
        <f>N(V445) + N(X445) + N(Z445)</f>
        <v/>
      </c>
      <c r="T445" s="11">
        <f>R445+P445-S445</f>
        <v/>
      </c>
      <c r="U445" s="11" t="inlineStr">
        <is>
          <t>是</t>
        </is>
      </c>
      <c r="V445" s="11" t="n">
        <v>50</v>
      </c>
      <c r="W445" s="11" t="inlineStr">
        <is>
          <t>是</t>
        </is>
      </c>
      <c r="X445" s="11" t="n">
        <v>52</v>
      </c>
      <c r="Y445" s="11" t="inlineStr">
        <is>
          <t>-</t>
        </is>
      </c>
      <c r="Z445" s="11" t="n">
        <v>0</v>
      </c>
      <c r="AA445" s="11" t="inlineStr">
        <is>
          <t>无</t>
        </is>
      </c>
      <c r="AB445" s="12">
        <f>AE444</f>
        <v/>
      </c>
      <c r="AC445" s="12" t="n">
        <v>0</v>
      </c>
      <c r="AD445" s="12" t="n">
        <v>0</v>
      </c>
      <c r="AE445" s="12">
        <f>AB445+AC445+AD445</f>
        <v/>
      </c>
      <c r="AF445" s="13">
        <f>AI444</f>
        <v/>
      </c>
      <c r="AG445" s="13" t="n">
        <v>0</v>
      </c>
      <c r="AH445" s="13" t="n">
        <v>0</v>
      </c>
      <c r="AI445" s="13">
        <f>AF445+AG445+AH445</f>
        <v/>
      </c>
      <c r="AJ445" s="14" t="n">
        <v>0</v>
      </c>
      <c r="AK445" s="14" t="n">
        <v>0</v>
      </c>
      <c r="AL445" s="14" t="n">
        <v>0</v>
      </c>
      <c r="AM445" s="14">
        <f>AJ445+AK445+AL445</f>
        <v/>
      </c>
      <c r="AN445" s="14">
        <f>AN444+AM445</f>
        <v/>
      </c>
    </row>
    <row r="446">
      <c r="A446" s="8" t="n">
        <v>18</v>
      </c>
      <c r="B446" s="8" t="n">
        <v>2</v>
      </c>
      <c r="C446" s="8" t="n">
        <v>1</v>
      </c>
      <c r="D446" s="8" t="inlineStr">
        <is>
          <t>版本免费+义相逢 + 月卡收益 [月卡续费-30元]</t>
        </is>
      </c>
      <c r="E446" s="9">
        <f>K445</f>
        <v/>
      </c>
      <c r="F446" s="9" t="n">
        <v>1540</v>
      </c>
      <c r="G446" s="9" t="n">
        <v>4800</v>
      </c>
      <c r="H446" s="9" t="n">
        <v>0</v>
      </c>
      <c r="I446" s="9" t="n">
        <v>0</v>
      </c>
      <c r="J446" s="9" t="n">
        <v>0</v>
      </c>
      <c r="K446" s="9">
        <f>E446+F446+G446+H446+I446-J446</f>
        <v/>
      </c>
      <c r="L446" s="10">
        <f>Q445</f>
        <v/>
      </c>
      <c r="M446" s="10" t="n">
        <v>85</v>
      </c>
      <c r="N446" s="10" t="n">
        <v>6</v>
      </c>
      <c r="O446" s="10">
        <f>J446/160</f>
        <v/>
      </c>
      <c r="P446" s="10" t="n">
        <v>60</v>
      </c>
      <c r="Q446" s="10">
        <f>L446+M446+N446+O446-P446</f>
        <v/>
      </c>
      <c r="R446" s="11">
        <f>T445</f>
        <v/>
      </c>
      <c r="S446" s="11">
        <f>N(V446) + N(X446) + N(Z446)</f>
        <v/>
      </c>
      <c r="T446" s="11">
        <f>R446+P446-S446</f>
        <v/>
      </c>
      <c r="U446" s="11" t="inlineStr">
        <is>
          <t>是</t>
        </is>
      </c>
      <c r="V446" s="11" t="n">
        <v>50</v>
      </c>
      <c r="W446" s="11" t="inlineStr">
        <is>
          <t>否</t>
        </is>
      </c>
      <c r="X446" s="11" t="inlineStr">
        <is>
          <t>-</t>
        </is>
      </c>
      <c r="Y446" s="11" t="inlineStr">
        <is>
          <t>-</t>
        </is>
      </c>
      <c r="Z446" s="11" t="n">
        <v>0</v>
      </c>
      <c r="AA446" s="11" t="inlineStr">
        <is>
          <t>垫到60抽</t>
        </is>
      </c>
      <c r="AB446" s="12">
        <f>AE445</f>
        <v/>
      </c>
      <c r="AC446" s="12" t="n">
        <v>4</v>
      </c>
      <c r="AD446" s="12" t="n">
        <v>0</v>
      </c>
      <c r="AE446" s="12">
        <f>AB446+AC446+AD446</f>
        <v/>
      </c>
      <c r="AF446" s="13">
        <f>AI445</f>
        <v/>
      </c>
      <c r="AG446" s="13" t="n">
        <v>0</v>
      </c>
      <c r="AH446" s="13" t="n">
        <v>0</v>
      </c>
      <c r="AI446" s="13">
        <f>AF446+AG446+AH446</f>
        <v/>
      </c>
      <c r="AJ446" s="14" t="n">
        <v>30</v>
      </c>
      <c r="AK446" s="14" t="n">
        <v>50</v>
      </c>
      <c r="AL446" s="14" t="n">
        <v>0</v>
      </c>
      <c r="AM446" s="14">
        <f>AJ446+AK446+AL446</f>
        <v/>
      </c>
      <c r="AN446" s="14">
        <f>AN445+AM446</f>
        <v/>
      </c>
    </row>
    <row r="447">
      <c r="A447" s="8" t="n">
        <v>18</v>
      </c>
      <c r="B447" s="8" t="n">
        <v>2</v>
      </c>
      <c r="C447" s="8" t="n">
        <v>2</v>
      </c>
      <c r="D447" s="8" t="inlineStr">
        <is>
          <t>月卡收益</t>
        </is>
      </c>
      <c r="E447" s="9">
        <f>K446</f>
        <v/>
      </c>
      <c r="F447" s="9" t="n">
        <v>1540</v>
      </c>
      <c r="G447" s="9" t="n">
        <v>0</v>
      </c>
      <c r="H447" s="9" t="n">
        <v>0</v>
      </c>
      <c r="I447" s="9" t="n">
        <v>0</v>
      </c>
      <c r="J447" s="9" t="n">
        <v>960</v>
      </c>
      <c r="K447" s="9">
        <f>E447+F447+G447+H447+I447-J447</f>
        <v/>
      </c>
      <c r="L447" s="10">
        <f>Q446</f>
        <v/>
      </c>
      <c r="M447" s="10" t="n">
        <v>0</v>
      </c>
      <c r="N447" s="10" t="n">
        <v>3</v>
      </c>
      <c r="O447" s="10">
        <f>J447/160</f>
        <v/>
      </c>
      <c r="P447" s="10" t="n">
        <v>40</v>
      </c>
      <c r="Q447" s="10">
        <f>L447+M447+N447+O447-P447</f>
        <v/>
      </c>
      <c r="R447" s="11">
        <f>T446</f>
        <v/>
      </c>
      <c r="S447" s="11">
        <f>N(V447) + N(X447) + N(Z447)</f>
        <v/>
      </c>
      <c r="T447" s="11">
        <f>R447+P447-S447</f>
        <v/>
      </c>
      <c r="U447" s="11" t="inlineStr">
        <is>
          <t>是</t>
        </is>
      </c>
      <c r="V447" s="11" t="n">
        <v>50</v>
      </c>
      <c r="W447" s="11" t="inlineStr">
        <is>
          <t>否</t>
        </is>
      </c>
      <c r="X447" s="11" t="inlineStr">
        <is>
          <t>-</t>
        </is>
      </c>
      <c r="Y447" s="11" t="inlineStr">
        <is>
          <t>-</t>
        </is>
      </c>
      <c r="Z447" s="11" t="n">
        <v>0</v>
      </c>
      <c r="AA447" s="11" t="inlineStr">
        <is>
          <t>无</t>
        </is>
      </c>
      <c r="AB447" s="12">
        <f>AE446</f>
        <v/>
      </c>
      <c r="AC447" s="12" t="n">
        <v>0</v>
      </c>
      <c r="AD447" s="12" t="n">
        <v>0</v>
      </c>
      <c r="AE447" s="12">
        <f>AB447+AC447+AD447</f>
        <v/>
      </c>
      <c r="AF447" s="13">
        <f>AI446</f>
        <v/>
      </c>
      <c r="AG447" s="13" t="n">
        <v>0</v>
      </c>
      <c r="AH447" s="13" t="n">
        <v>0</v>
      </c>
      <c r="AI447" s="13">
        <f>AF447+AG447+AH447</f>
        <v/>
      </c>
      <c r="AJ447" s="14" t="n">
        <v>0</v>
      </c>
      <c r="AK447" s="14" t="n">
        <v>0</v>
      </c>
      <c r="AL447" s="14" t="n">
        <v>0</v>
      </c>
      <c r="AM447" s="14">
        <f>AJ447+AK447+AL447</f>
        <v/>
      </c>
      <c r="AN447" s="14">
        <f>AN446+AM447</f>
        <v/>
      </c>
    </row>
    <row r="448">
      <c r="A448" s="8" t="n">
        <v>18</v>
      </c>
      <c r="B448" s="8" t="n">
        <v>3</v>
      </c>
      <c r="C448" s="8" t="n">
        <v>1</v>
      </c>
      <c r="D448" s="8" t="inlineStr">
        <is>
          <t>版本免费+义相逢 + 月卡收益 [月卡续费-30元]</t>
        </is>
      </c>
      <c r="E448" s="9">
        <f>K447</f>
        <v/>
      </c>
      <c r="F448" s="9" t="n">
        <v>1540</v>
      </c>
      <c r="G448" s="9" t="n">
        <v>4800</v>
      </c>
      <c r="H448" s="9" t="n">
        <v>0</v>
      </c>
      <c r="I448" s="9" t="n">
        <v>0</v>
      </c>
      <c r="J448" s="9" t="n">
        <v>15040</v>
      </c>
      <c r="K448" s="9">
        <f>E448+F448+G448+H448+I448-J448</f>
        <v/>
      </c>
      <c r="L448" s="10">
        <f>Q447</f>
        <v/>
      </c>
      <c r="M448" s="10" t="n">
        <v>85</v>
      </c>
      <c r="N448" s="10" t="n">
        <v>21</v>
      </c>
      <c r="O448" s="10">
        <f>J448/160</f>
        <v/>
      </c>
      <c r="P448" s="10" t="n">
        <v>200</v>
      </c>
      <c r="Q448" s="10">
        <f>L448+M448+N448+O448-P448</f>
        <v/>
      </c>
      <c r="R448" s="11">
        <f>T447</f>
        <v/>
      </c>
      <c r="S448" s="11">
        <f>N(V448) + N(X448) + N(Z448)</f>
        <v/>
      </c>
      <c r="T448" s="11">
        <f>R448+P448-S448</f>
        <v/>
      </c>
      <c r="U448" s="11" t="inlineStr">
        <is>
          <t>是</t>
        </is>
      </c>
      <c r="V448" s="11" t="n">
        <v>50</v>
      </c>
      <c r="W448" s="11" t="inlineStr">
        <is>
          <t>是</t>
        </is>
      </c>
      <c r="X448" s="11" t="n">
        <v>48</v>
      </c>
      <c r="Y448" s="11" t="inlineStr">
        <is>
          <t>UP(50), 歪(50)</t>
        </is>
      </c>
      <c r="Z448" s="11" t="n">
        <v>100</v>
      </c>
      <c r="AA448" s="11" t="inlineStr">
        <is>
          <t>冲刺200(动态90)</t>
        </is>
      </c>
      <c r="AB448" s="12">
        <f>AE447</f>
        <v/>
      </c>
      <c r="AC448" s="12" t="n">
        <v>4</v>
      </c>
      <c r="AD448" s="12" t="n">
        <v>1</v>
      </c>
      <c r="AE448" s="12">
        <f>AB448+AC448+AD448</f>
        <v/>
      </c>
      <c r="AF448" s="13">
        <f>AI447</f>
        <v/>
      </c>
      <c r="AG448" s="13" t="n">
        <v>0</v>
      </c>
      <c r="AH448" s="13" t="n">
        <v>5000</v>
      </c>
      <c r="AI448" s="13">
        <f>AF448+AG448+AH448</f>
        <v/>
      </c>
      <c r="AJ448" s="14" t="n">
        <v>30</v>
      </c>
      <c r="AK448" s="14" t="n">
        <v>50</v>
      </c>
      <c r="AL448" s="14" t="n">
        <v>0</v>
      </c>
      <c r="AM448" s="14">
        <f>AJ448+AK448+AL448</f>
        <v/>
      </c>
      <c r="AN448" s="14">
        <f>AN447+AM448</f>
        <v/>
      </c>
    </row>
    <row r="449">
      <c r="A449" s="8" t="n">
        <v>18</v>
      </c>
      <c r="B449" s="8" t="n">
        <v>3</v>
      </c>
      <c r="C449" s="8" t="n">
        <v>2</v>
      </c>
      <c r="D449" s="8" t="inlineStr">
        <is>
          <t>月卡收益</t>
        </is>
      </c>
      <c r="E449" s="9">
        <f>K448</f>
        <v/>
      </c>
      <c r="F449" s="9" t="n">
        <v>1540</v>
      </c>
      <c r="G449" s="9" t="n">
        <v>0</v>
      </c>
      <c r="H449" s="9" t="n">
        <v>0</v>
      </c>
      <c r="I449" s="9" t="n">
        <v>0</v>
      </c>
      <c r="J449" s="9" t="n">
        <v>9120</v>
      </c>
      <c r="K449" s="9">
        <f>E449+F449+G449+H449+I449-J449</f>
        <v/>
      </c>
      <c r="L449" s="10">
        <f>Q448</f>
        <v/>
      </c>
      <c r="M449" s="10" t="n">
        <v>0</v>
      </c>
      <c r="N449" s="10" t="n">
        <v>6</v>
      </c>
      <c r="O449" s="10">
        <f>J449/160</f>
        <v/>
      </c>
      <c r="P449" s="10" t="n">
        <v>60</v>
      </c>
      <c r="Q449" s="10">
        <f>L449+M449+N449+O449-P449</f>
        <v/>
      </c>
      <c r="R449" s="11">
        <f>T448</f>
        <v/>
      </c>
      <c r="S449" s="11">
        <f>N(V449) + N(X449) + N(Z449)</f>
        <v/>
      </c>
      <c r="T449" s="11">
        <f>R449+P449-S449</f>
        <v/>
      </c>
      <c r="U449" s="11" t="inlineStr">
        <is>
          <t>是</t>
        </is>
      </c>
      <c r="V449" s="11" t="n">
        <v>47</v>
      </c>
      <c r="W449" s="11" t="inlineStr">
        <is>
          <t>否</t>
        </is>
      </c>
      <c r="X449" s="11" t="inlineStr">
        <is>
          <t>-</t>
        </is>
      </c>
      <c r="Y449" s="11" t="inlineStr">
        <is>
          <t>-</t>
        </is>
      </c>
      <c r="Z449" s="11" t="n">
        <v>0</v>
      </c>
      <c r="AA449" s="11" t="inlineStr">
        <is>
          <t>垫到60抽</t>
        </is>
      </c>
      <c r="AB449" s="12">
        <f>AE448</f>
        <v/>
      </c>
      <c r="AC449" s="12" t="n">
        <v>0</v>
      </c>
      <c r="AD449" s="12" t="n">
        <v>0</v>
      </c>
      <c r="AE449" s="12">
        <f>AB449+AC449+AD449</f>
        <v/>
      </c>
      <c r="AF449" s="13">
        <f>AI448</f>
        <v/>
      </c>
      <c r="AG449" s="13" t="n">
        <v>0</v>
      </c>
      <c r="AH449" s="13" t="n">
        <v>0</v>
      </c>
      <c r="AI449" s="13">
        <f>AF449+AG449+AH449</f>
        <v/>
      </c>
      <c r="AJ449" s="14" t="n">
        <v>0</v>
      </c>
      <c r="AK449" s="14" t="n">
        <v>0</v>
      </c>
      <c r="AL449" s="14" t="n">
        <v>0</v>
      </c>
      <c r="AM449" s="14">
        <f>AJ449+AK449+AL449</f>
        <v/>
      </c>
      <c r="AN449" s="14">
        <f>AN448+AM449</f>
        <v/>
      </c>
    </row>
    <row r="450">
      <c r="A450" s="8" t="n">
        <v>18</v>
      </c>
      <c r="B450" s="8" t="n">
        <v>4</v>
      </c>
      <c r="C450" s="8" t="n">
        <v>1</v>
      </c>
      <c r="D450" s="8" t="inlineStr">
        <is>
          <t>版本免费+义相逢 + 月卡收益 [月卡续费-30元]</t>
        </is>
      </c>
      <c r="E450" s="9">
        <f>K449</f>
        <v/>
      </c>
      <c r="F450" s="9" t="n">
        <v>1540</v>
      </c>
      <c r="G450" s="9" t="n">
        <v>4800</v>
      </c>
      <c r="H450" s="9" t="n">
        <v>0</v>
      </c>
      <c r="I450" s="9" t="n">
        <v>0</v>
      </c>
      <c r="J450" s="9" t="n">
        <v>0</v>
      </c>
      <c r="K450" s="9">
        <f>E450+F450+G450+H450+I450-J450</f>
        <v/>
      </c>
      <c r="L450" s="10">
        <f>Q449</f>
        <v/>
      </c>
      <c r="M450" s="10" t="n">
        <v>85</v>
      </c>
      <c r="N450" s="10" t="n">
        <v>3</v>
      </c>
      <c r="O450" s="10">
        <f>J450/160</f>
        <v/>
      </c>
      <c r="P450" s="10" t="n">
        <v>40</v>
      </c>
      <c r="Q450" s="10">
        <f>L450+M450+N450+O450-P450</f>
        <v/>
      </c>
      <c r="R450" s="11">
        <f>T449</f>
        <v/>
      </c>
      <c r="S450" s="11">
        <f>N(V450) + N(X450) + N(Z450)</f>
        <v/>
      </c>
      <c r="T450" s="11">
        <f>R450+P450-S450</f>
        <v/>
      </c>
      <c r="U450" s="11" t="inlineStr">
        <is>
          <t>是</t>
        </is>
      </c>
      <c r="V450" s="11" t="n">
        <v>50</v>
      </c>
      <c r="W450" s="11" t="inlineStr">
        <is>
          <t>否</t>
        </is>
      </c>
      <c r="X450" s="11" t="inlineStr">
        <is>
          <t>-</t>
        </is>
      </c>
      <c r="Y450" s="11" t="inlineStr">
        <is>
          <t>-</t>
        </is>
      </c>
      <c r="Z450" s="11" t="n">
        <v>0</v>
      </c>
      <c r="AA450" s="11" t="inlineStr">
        <is>
          <t>无</t>
        </is>
      </c>
      <c r="AB450" s="12">
        <f>AE449</f>
        <v/>
      </c>
      <c r="AC450" s="12" t="n">
        <v>4</v>
      </c>
      <c r="AD450" s="12" t="n">
        <v>0</v>
      </c>
      <c r="AE450" s="12">
        <f>AB450+AC450+AD450</f>
        <v/>
      </c>
      <c r="AF450" s="13">
        <f>AI449</f>
        <v/>
      </c>
      <c r="AG450" s="13" t="n">
        <v>0</v>
      </c>
      <c r="AH450" s="13" t="n">
        <v>0</v>
      </c>
      <c r="AI450" s="13">
        <f>AF450+AG450+AH450</f>
        <v/>
      </c>
      <c r="AJ450" s="14" t="n">
        <v>30</v>
      </c>
      <c r="AK450" s="14" t="n">
        <v>50</v>
      </c>
      <c r="AL450" s="14" t="n">
        <v>0</v>
      </c>
      <c r="AM450" s="14">
        <f>AJ450+AK450+AL450</f>
        <v/>
      </c>
      <c r="AN450" s="14">
        <f>AN449+AM450</f>
        <v/>
      </c>
    </row>
    <row r="451">
      <c r="A451" s="8" t="n">
        <v>18</v>
      </c>
      <c r="B451" s="8" t="n">
        <v>4</v>
      </c>
      <c r="C451" s="8" t="n">
        <v>2</v>
      </c>
      <c r="D451" s="8" t="inlineStr">
        <is>
          <t>月卡收益</t>
        </is>
      </c>
      <c r="E451" s="9">
        <f>K450</f>
        <v/>
      </c>
      <c r="F451" s="9" t="n">
        <v>1540</v>
      </c>
      <c r="G451" s="9" t="n">
        <v>0</v>
      </c>
      <c r="H451" s="9" t="n">
        <v>0</v>
      </c>
      <c r="I451" s="9" t="n">
        <v>0</v>
      </c>
      <c r="J451" s="9" t="n">
        <v>6080</v>
      </c>
      <c r="K451" s="9">
        <f>E451+F451+G451+H451+I451-J451</f>
        <v/>
      </c>
      <c r="L451" s="10">
        <f>Q450</f>
        <v/>
      </c>
      <c r="M451" s="10" t="n">
        <v>0</v>
      </c>
      <c r="N451" s="10" t="n">
        <v>11</v>
      </c>
      <c r="O451" s="10">
        <f>J451/160</f>
        <v/>
      </c>
      <c r="P451" s="10" t="n">
        <v>100</v>
      </c>
      <c r="Q451" s="10">
        <f>L451+M451+N451+O451-P451</f>
        <v/>
      </c>
      <c r="R451" s="11">
        <f>T450</f>
        <v/>
      </c>
      <c r="S451" s="11">
        <f>N(V451) + N(X451) + N(Z451)</f>
        <v/>
      </c>
      <c r="T451" s="11">
        <f>R451+P451-S451</f>
        <v/>
      </c>
      <c r="U451" s="11" t="inlineStr">
        <is>
          <t>是</t>
        </is>
      </c>
      <c r="V451" s="11" t="n">
        <v>48</v>
      </c>
      <c r="W451" s="11" t="inlineStr">
        <is>
          <t>是</t>
        </is>
      </c>
      <c r="X451" s="11" t="n">
        <v>48</v>
      </c>
      <c r="Y451" s="11" t="inlineStr">
        <is>
          <t>-</t>
        </is>
      </c>
      <c r="Z451" s="11" t="n">
        <v>0</v>
      </c>
      <c r="AA451" s="11" t="inlineStr">
        <is>
          <t>无</t>
        </is>
      </c>
      <c r="AB451" s="12">
        <f>AE450</f>
        <v/>
      </c>
      <c r="AC451" s="12" t="n">
        <v>0</v>
      </c>
      <c r="AD451" s="12" t="n">
        <v>0</v>
      </c>
      <c r="AE451" s="12">
        <f>AB451+AC451+AD451</f>
        <v/>
      </c>
      <c r="AF451" s="13">
        <f>AI450</f>
        <v/>
      </c>
      <c r="AG451" s="13" t="n">
        <v>0</v>
      </c>
      <c r="AH451" s="13" t="n">
        <v>0</v>
      </c>
      <c r="AI451" s="13">
        <f>AF451+AG451+AH451</f>
        <v/>
      </c>
      <c r="AJ451" s="14" t="n">
        <v>0</v>
      </c>
      <c r="AK451" s="14" t="n">
        <v>0</v>
      </c>
      <c r="AL451" s="14" t="n">
        <v>0</v>
      </c>
      <c r="AM451" s="14">
        <f>AJ451+AK451+AL451</f>
        <v/>
      </c>
      <c r="AN451" s="14">
        <f>AN450+AM451</f>
        <v/>
      </c>
    </row>
    <row r="452">
      <c r="A452" s="8" t="n">
        <v>18</v>
      </c>
      <c r="B452" s="8" t="n">
        <v>5</v>
      </c>
      <c r="C452" s="8" t="n">
        <v>1</v>
      </c>
      <c r="D452" s="8" t="inlineStr">
        <is>
          <t>版本免费+义相逢 + 月卡收益</t>
        </is>
      </c>
      <c r="E452" s="9">
        <f>K451</f>
        <v/>
      </c>
      <c r="F452" s="9" t="n">
        <v>1540</v>
      </c>
      <c r="G452" s="9" t="n">
        <v>4800</v>
      </c>
      <c r="H452" s="9" t="n">
        <v>0</v>
      </c>
      <c r="I452" s="9" t="n">
        <v>0</v>
      </c>
      <c r="J452" s="9" t="n">
        <v>0</v>
      </c>
      <c r="K452" s="9">
        <f>E452+F452+G452+H452+I452-J452</f>
        <v/>
      </c>
      <c r="L452" s="10">
        <f>Q451</f>
        <v/>
      </c>
      <c r="M452" s="10" t="n">
        <v>85</v>
      </c>
      <c r="N452" s="10" t="n">
        <v>3</v>
      </c>
      <c r="O452" s="10">
        <f>J452/160</f>
        <v/>
      </c>
      <c r="P452" s="10" t="n">
        <v>40</v>
      </c>
      <c r="Q452" s="10">
        <f>L452+M452+N452+O452-P452</f>
        <v/>
      </c>
      <c r="R452" s="11">
        <f>T451</f>
        <v/>
      </c>
      <c r="S452" s="11">
        <f>N(V452) + N(X452) + N(Z452)</f>
        <v/>
      </c>
      <c r="T452" s="11">
        <f>R452+P452-S452</f>
        <v/>
      </c>
      <c r="U452" s="11" t="inlineStr">
        <is>
          <t>是</t>
        </is>
      </c>
      <c r="V452" s="11" t="n">
        <v>47</v>
      </c>
      <c r="W452" s="11" t="inlineStr">
        <is>
          <t>否</t>
        </is>
      </c>
      <c r="X452" s="11" t="inlineStr">
        <is>
          <t>-</t>
        </is>
      </c>
      <c r="Y452" s="11" t="inlineStr">
        <is>
          <t>-</t>
        </is>
      </c>
      <c r="Z452" s="11" t="n">
        <v>0</v>
      </c>
      <c r="AA452" s="11" t="inlineStr">
        <is>
          <t>无</t>
        </is>
      </c>
      <c r="AB452" s="12">
        <f>AE451</f>
        <v/>
      </c>
      <c r="AC452" s="12" t="n">
        <v>4</v>
      </c>
      <c r="AD452" s="12" t="n">
        <v>0</v>
      </c>
      <c r="AE452" s="12">
        <f>AB452+AC452+AD452</f>
        <v/>
      </c>
      <c r="AF452" s="13">
        <f>AI451</f>
        <v/>
      </c>
      <c r="AG452" s="13" t="n">
        <v>0</v>
      </c>
      <c r="AH452" s="13" t="n">
        <v>0</v>
      </c>
      <c r="AI452" s="13">
        <f>AF452+AG452+AH452</f>
        <v/>
      </c>
      <c r="AJ452" s="14" t="n">
        <v>0</v>
      </c>
      <c r="AK452" s="14" t="n">
        <v>50</v>
      </c>
      <c r="AL452" s="14" t="n">
        <v>0</v>
      </c>
      <c r="AM452" s="14">
        <f>AJ452+AK452+AL452</f>
        <v/>
      </c>
      <c r="AN452" s="14">
        <f>AN451+AM452</f>
        <v/>
      </c>
    </row>
    <row r="453">
      <c r="A453" s="8" t="n">
        <v>18</v>
      </c>
      <c r="B453" s="8" t="n">
        <v>5</v>
      </c>
      <c r="C453" s="8" t="n">
        <v>2</v>
      </c>
      <c r="D453" s="8" t="inlineStr">
        <is>
          <t>月卡收益 [月卡续费-30元]</t>
        </is>
      </c>
      <c r="E453" s="9">
        <f>K452</f>
        <v/>
      </c>
      <c r="F453" s="9" t="n">
        <v>1540</v>
      </c>
      <c r="G453" s="9" t="n">
        <v>0</v>
      </c>
      <c r="H453" s="9" t="n">
        <v>0</v>
      </c>
      <c r="I453" s="9" t="n">
        <v>0</v>
      </c>
      <c r="J453" s="9" t="n">
        <v>6560</v>
      </c>
      <c r="K453" s="9">
        <f>E453+F453+G453+H453+I453-J453</f>
        <v/>
      </c>
      <c r="L453" s="10">
        <f>Q452</f>
        <v/>
      </c>
      <c r="M453" s="10" t="n">
        <v>0</v>
      </c>
      <c r="N453" s="10" t="n">
        <v>11</v>
      </c>
      <c r="O453" s="10">
        <f>J453/160</f>
        <v/>
      </c>
      <c r="P453" s="10" t="n">
        <v>100</v>
      </c>
      <c r="Q453" s="10">
        <f>L453+M453+N453+O453-P453</f>
        <v/>
      </c>
      <c r="R453" s="11">
        <f>T452</f>
        <v/>
      </c>
      <c r="S453" s="11">
        <f>N(V453) + N(X453) + N(Z453)</f>
        <v/>
      </c>
      <c r="T453" s="11">
        <f>R453+P453-S453</f>
        <v/>
      </c>
      <c r="U453" s="11" t="inlineStr">
        <is>
          <t>是</t>
        </is>
      </c>
      <c r="V453" s="11" t="n">
        <v>47</v>
      </c>
      <c r="W453" s="11" t="inlineStr">
        <is>
          <t>是</t>
        </is>
      </c>
      <c r="X453" s="11" t="n">
        <v>51</v>
      </c>
      <c r="Y453" s="11" t="inlineStr">
        <is>
          <t>-</t>
        </is>
      </c>
      <c r="Z453" s="11" t="n">
        <v>0</v>
      </c>
      <c r="AA453" s="11" t="inlineStr">
        <is>
          <t>无</t>
        </is>
      </c>
      <c r="AB453" s="12">
        <f>AE452</f>
        <v/>
      </c>
      <c r="AC453" s="12" t="n">
        <v>0</v>
      </c>
      <c r="AD453" s="12" t="n">
        <v>0</v>
      </c>
      <c r="AE453" s="12">
        <f>AB453+AC453+AD453</f>
        <v/>
      </c>
      <c r="AF453" s="13">
        <f>AI452</f>
        <v/>
      </c>
      <c r="AG453" s="13" t="n">
        <v>0</v>
      </c>
      <c r="AH453" s="13" t="n">
        <v>0</v>
      </c>
      <c r="AI453" s="13">
        <f>AF453+AG453+AH453</f>
        <v/>
      </c>
      <c r="AJ453" s="14" t="n">
        <v>30</v>
      </c>
      <c r="AK453" s="14" t="n">
        <v>0</v>
      </c>
      <c r="AL453" s="14" t="n">
        <v>0</v>
      </c>
      <c r="AM453" s="14">
        <f>AJ453+AK453+AL453</f>
        <v/>
      </c>
      <c r="AN453" s="14">
        <f>AN452+AM453</f>
        <v/>
      </c>
    </row>
    <row r="454">
      <c r="A454" s="8" t="n">
        <v>18</v>
      </c>
      <c r="B454" s="8" t="n">
        <v>6</v>
      </c>
      <c r="C454" s="8" t="n">
        <v>1</v>
      </c>
      <c r="D454" s="8" t="inlineStr">
        <is>
          <t>版本免费+义相逢 + 月卡收益</t>
        </is>
      </c>
      <c r="E454" s="9">
        <f>K453</f>
        <v/>
      </c>
      <c r="F454" s="9" t="n">
        <v>1540</v>
      </c>
      <c r="G454" s="9" t="n">
        <v>4800</v>
      </c>
      <c r="H454" s="9" t="n">
        <v>0</v>
      </c>
      <c r="I454" s="9" t="n">
        <v>0</v>
      </c>
      <c r="J454" s="9" t="n">
        <v>0</v>
      </c>
      <c r="K454" s="9">
        <f>E454+F454+G454+H454+I454-J454</f>
        <v/>
      </c>
      <c r="L454" s="10">
        <f>Q453</f>
        <v/>
      </c>
      <c r="M454" s="10" t="n">
        <v>85</v>
      </c>
      <c r="N454" s="10" t="n">
        <v>6</v>
      </c>
      <c r="O454" s="10">
        <f>J454/160</f>
        <v/>
      </c>
      <c r="P454" s="10" t="n">
        <v>60</v>
      </c>
      <c r="Q454" s="10">
        <f>L454+M454+N454+O454-P454</f>
        <v/>
      </c>
      <c r="R454" s="11">
        <f>T453</f>
        <v/>
      </c>
      <c r="S454" s="11">
        <f>N(V454) + N(X454) + N(Z454)</f>
        <v/>
      </c>
      <c r="T454" s="11">
        <f>R454+P454-S454</f>
        <v/>
      </c>
      <c r="U454" s="11" t="inlineStr">
        <is>
          <t>是</t>
        </is>
      </c>
      <c r="V454" s="11" t="n">
        <v>50</v>
      </c>
      <c r="W454" s="11" t="inlineStr">
        <is>
          <t>否</t>
        </is>
      </c>
      <c r="X454" s="11" t="inlineStr">
        <is>
          <t>-</t>
        </is>
      </c>
      <c r="Y454" s="11" t="inlineStr">
        <is>
          <t>-</t>
        </is>
      </c>
      <c r="Z454" s="11" t="n">
        <v>0</v>
      </c>
      <c r="AA454" s="11" t="inlineStr">
        <is>
          <t>垫到60抽</t>
        </is>
      </c>
      <c r="AB454" s="12">
        <f>AE453</f>
        <v/>
      </c>
      <c r="AC454" s="12" t="n">
        <v>4</v>
      </c>
      <c r="AD454" s="12" t="n">
        <v>0</v>
      </c>
      <c r="AE454" s="12">
        <f>AB454+AC454+AD454</f>
        <v/>
      </c>
      <c r="AF454" s="13">
        <f>AI453</f>
        <v/>
      </c>
      <c r="AG454" s="13" t="n">
        <v>0</v>
      </c>
      <c r="AH454" s="13" t="n">
        <v>0</v>
      </c>
      <c r="AI454" s="13">
        <f>AF454+AG454+AH454</f>
        <v/>
      </c>
      <c r="AJ454" s="14" t="n">
        <v>0</v>
      </c>
      <c r="AK454" s="14" t="n">
        <v>50</v>
      </c>
      <c r="AL454" s="14" t="n">
        <v>0</v>
      </c>
      <c r="AM454" s="14">
        <f>AJ454+AK454+AL454</f>
        <v/>
      </c>
      <c r="AN454" s="14">
        <f>AN453+AM454</f>
        <v/>
      </c>
    </row>
    <row r="455">
      <c r="A455" s="8" t="n">
        <v>18</v>
      </c>
      <c r="B455" s="8" t="n">
        <v>6</v>
      </c>
      <c r="C455" s="8" t="n">
        <v>2</v>
      </c>
      <c r="D455" s="8" t="inlineStr">
        <is>
          <t>月卡收益 [月卡续费-30元]</t>
        </is>
      </c>
      <c r="E455" s="9">
        <f>K454</f>
        <v/>
      </c>
      <c r="F455" s="9" t="n">
        <v>1540</v>
      </c>
      <c r="G455" s="9" t="n">
        <v>0</v>
      </c>
      <c r="H455" s="9" t="n">
        <v>0</v>
      </c>
      <c r="I455" s="9" t="n">
        <v>0</v>
      </c>
      <c r="J455" s="9" t="n">
        <v>8480</v>
      </c>
      <c r="K455" s="9">
        <f>E455+F455+G455+H455+I455-J455</f>
        <v/>
      </c>
      <c r="L455" s="10">
        <f>Q454</f>
        <v/>
      </c>
      <c r="M455" s="10" t="n">
        <v>0</v>
      </c>
      <c r="N455" s="10" t="n">
        <v>11</v>
      </c>
      <c r="O455" s="10">
        <f>J455/160</f>
        <v/>
      </c>
      <c r="P455" s="10" t="n">
        <v>90</v>
      </c>
      <c r="Q455" s="10">
        <f>L455+M455+N455+O455-P455</f>
        <v/>
      </c>
      <c r="R455" s="11">
        <f>T454</f>
        <v/>
      </c>
      <c r="S455" s="11">
        <f>N(V455) + N(X455) + N(Z455)</f>
        <v/>
      </c>
      <c r="T455" s="11">
        <f>R455+P455-S455</f>
        <v/>
      </c>
      <c r="U455" s="11" t="inlineStr">
        <is>
          <t>是</t>
        </is>
      </c>
      <c r="V455" s="11" t="n">
        <v>38</v>
      </c>
      <c r="W455" s="11" t="inlineStr">
        <is>
          <t>是</t>
        </is>
      </c>
      <c r="X455" s="11" t="n">
        <v>51</v>
      </c>
      <c r="Y455" s="11" t="inlineStr">
        <is>
          <t>-</t>
        </is>
      </c>
      <c r="Z455" s="11" t="n">
        <v>0</v>
      </c>
      <c r="AA455" s="11" t="inlineStr">
        <is>
          <t>垫到90抽</t>
        </is>
      </c>
      <c r="AB455" s="12">
        <f>AE454</f>
        <v/>
      </c>
      <c r="AC455" s="12" t="n">
        <v>0</v>
      </c>
      <c r="AD455" s="12" t="n">
        <v>0</v>
      </c>
      <c r="AE455" s="12">
        <f>AB455+AC455+AD455</f>
        <v/>
      </c>
      <c r="AF455" s="13">
        <f>AI454</f>
        <v/>
      </c>
      <c r="AG455" s="13" t="n">
        <v>0</v>
      </c>
      <c r="AH455" s="13" t="n">
        <v>0</v>
      </c>
      <c r="AI455" s="13">
        <f>AF455+AG455+AH455</f>
        <v/>
      </c>
      <c r="AJ455" s="14" t="n">
        <v>30</v>
      </c>
      <c r="AK455" s="14" t="n">
        <v>0</v>
      </c>
      <c r="AL455" s="14" t="n">
        <v>0</v>
      </c>
      <c r="AM455" s="14">
        <f>AJ455+AK455+AL455</f>
        <v/>
      </c>
      <c r="AN455" s="14">
        <f>AN454+AM455</f>
        <v/>
      </c>
    </row>
    <row r="456">
      <c r="A456" s="8" t="n">
        <v>18</v>
      </c>
      <c r="B456" s="8" t="n">
        <v>7</v>
      </c>
      <c r="C456" s="8" t="n">
        <v>1</v>
      </c>
      <c r="D456" s="8" t="inlineStr">
        <is>
          <t>版本免费+义相逢 + 月卡收益</t>
        </is>
      </c>
      <c r="E456" s="9">
        <f>K455</f>
        <v/>
      </c>
      <c r="F456" s="9" t="n">
        <v>1540</v>
      </c>
      <c r="G456" s="9" t="n">
        <v>4800</v>
      </c>
      <c r="H456" s="9" t="n">
        <v>0</v>
      </c>
      <c r="I456" s="9" t="n">
        <v>0</v>
      </c>
      <c r="J456" s="9" t="n">
        <v>0</v>
      </c>
      <c r="K456" s="9">
        <f>E456+F456+G456+H456+I456-J456</f>
        <v/>
      </c>
      <c r="L456" s="10">
        <f>Q455</f>
        <v/>
      </c>
      <c r="M456" s="10" t="n">
        <v>85</v>
      </c>
      <c r="N456" s="10" t="n">
        <v>11</v>
      </c>
      <c r="O456" s="10">
        <f>J456/160</f>
        <v/>
      </c>
      <c r="P456" s="10" t="n">
        <v>90</v>
      </c>
      <c r="Q456" s="10">
        <f>L456+M456+N456+O456-P456</f>
        <v/>
      </c>
      <c r="R456" s="11">
        <f>T455</f>
        <v/>
      </c>
      <c r="S456" s="11">
        <f>N(V456) + N(X456) + N(Z456)</f>
        <v/>
      </c>
      <c r="T456" s="11">
        <f>R456+P456-S456</f>
        <v/>
      </c>
      <c r="U456" s="11" t="inlineStr">
        <is>
          <t>是</t>
        </is>
      </c>
      <c r="V456" s="11" t="n">
        <v>49</v>
      </c>
      <c r="W456" s="11" t="inlineStr">
        <is>
          <t>是</t>
        </is>
      </c>
      <c r="X456" s="11" t="n">
        <v>48</v>
      </c>
      <c r="Y456" s="11" t="inlineStr">
        <is>
          <t>-</t>
        </is>
      </c>
      <c r="Z456" s="11" t="n">
        <v>0</v>
      </c>
      <c r="AA456" s="11" t="inlineStr">
        <is>
          <t>无</t>
        </is>
      </c>
      <c r="AB456" s="12">
        <f>AE455</f>
        <v/>
      </c>
      <c r="AC456" s="12" t="n">
        <v>4</v>
      </c>
      <c r="AD456" s="12" t="n">
        <v>0</v>
      </c>
      <c r="AE456" s="12">
        <f>AB456+AC456+AD456</f>
        <v/>
      </c>
      <c r="AF456" s="13">
        <f>AI455</f>
        <v/>
      </c>
      <c r="AG456" s="13" t="n">
        <v>0</v>
      </c>
      <c r="AH456" s="13" t="n">
        <v>0</v>
      </c>
      <c r="AI456" s="13">
        <f>AF456+AG456+AH456</f>
        <v/>
      </c>
      <c r="AJ456" s="14" t="n">
        <v>0</v>
      </c>
      <c r="AK456" s="14" t="n">
        <v>50</v>
      </c>
      <c r="AL456" s="14" t="n">
        <v>0</v>
      </c>
      <c r="AM456" s="14">
        <f>AJ456+AK456+AL456</f>
        <v/>
      </c>
      <c r="AN456" s="14">
        <f>AN455+AM456</f>
        <v/>
      </c>
    </row>
    <row r="457">
      <c r="A457" s="8" t="n">
        <v>18</v>
      </c>
      <c r="B457" s="8" t="n">
        <v>7</v>
      </c>
      <c r="C457" s="8" t="n">
        <v>2</v>
      </c>
      <c r="D457" s="8" t="inlineStr">
        <is>
          <t>月卡收益 [月卡续费-30元]</t>
        </is>
      </c>
      <c r="E457" s="9">
        <f>K456</f>
        <v/>
      </c>
      <c r="F457" s="9" t="n">
        <v>1540</v>
      </c>
      <c r="G457" s="9" t="n">
        <v>0</v>
      </c>
      <c r="H457" s="9" t="n">
        <v>0</v>
      </c>
      <c r="I457" s="9" t="n">
        <v>0</v>
      </c>
      <c r="J457" s="9" t="n">
        <v>7360</v>
      </c>
      <c r="K457" s="9">
        <f>E457+F457+G457+H457+I457-J457</f>
        <v/>
      </c>
      <c r="L457" s="10">
        <f>Q456</f>
        <v/>
      </c>
      <c r="M457" s="10" t="n">
        <v>0</v>
      </c>
      <c r="N457" s="10" t="n">
        <v>6</v>
      </c>
      <c r="O457" s="10">
        <f>J457/160</f>
        <v/>
      </c>
      <c r="P457" s="10" t="n">
        <v>60</v>
      </c>
      <c r="Q457" s="10">
        <f>L457+M457+N457+O457-P457</f>
        <v/>
      </c>
      <c r="R457" s="11">
        <f>T456</f>
        <v/>
      </c>
      <c r="S457" s="11">
        <f>N(V457) + N(X457) + N(Z457)</f>
        <v/>
      </c>
      <c r="T457" s="11">
        <f>R457+P457-S457</f>
        <v/>
      </c>
      <c r="U457" s="11" t="inlineStr">
        <is>
          <t>是</t>
        </is>
      </c>
      <c r="V457" s="11" t="n">
        <v>52</v>
      </c>
      <c r="W457" s="11" t="inlineStr">
        <is>
          <t>否</t>
        </is>
      </c>
      <c r="X457" s="11" t="inlineStr">
        <is>
          <t>-</t>
        </is>
      </c>
      <c r="Y457" s="11" t="inlineStr">
        <is>
          <t>-</t>
        </is>
      </c>
      <c r="Z457" s="11" t="n">
        <v>0</v>
      </c>
      <c r="AA457" s="11" t="inlineStr">
        <is>
          <t>垫到60抽</t>
        </is>
      </c>
      <c r="AB457" s="12">
        <f>AE456</f>
        <v/>
      </c>
      <c r="AC457" s="12" t="n">
        <v>0</v>
      </c>
      <c r="AD457" s="12" t="n">
        <v>0</v>
      </c>
      <c r="AE457" s="12">
        <f>AB457+AC457+AD457</f>
        <v/>
      </c>
      <c r="AF457" s="13">
        <f>AI456</f>
        <v/>
      </c>
      <c r="AG457" s="13" t="n">
        <v>0</v>
      </c>
      <c r="AH457" s="13" t="n">
        <v>0</v>
      </c>
      <c r="AI457" s="13">
        <f>AF457+AG457+AH457</f>
        <v/>
      </c>
      <c r="AJ457" s="14" t="n">
        <v>30</v>
      </c>
      <c r="AK457" s="14" t="n">
        <v>0</v>
      </c>
      <c r="AL457" s="14" t="n">
        <v>0</v>
      </c>
      <c r="AM457" s="14">
        <f>AJ457+AK457+AL457</f>
        <v/>
      </c>
      <c r="AN457" s="14">
        <f>AN456+AM457</f>
        <v/>
      </c>
    </row>
    <row r="458">
      <c r="A458" s="8" t="n">
        <v>18</v>
      </c>
      <c r="B458" s="8" t="n">
        <v>8</v>
      </c>
      <c r="C458" s="8" t="n">
        <v>1</v>
      </c>
      <c r="D458" s="8" t="inlineStr">
        <is>
          <t>版本免费+义相逢 + 月卡收益</t>
        </is>
      </c>
      <c r="E458" s="9">
        <f>K457</f>
        <v/>
      </c>
      <c r="F458" s="9" t="n">
        <v>1540</v>
      </c>
      <c r="G458" s="9" t="n">
        <v>4800</v>
      </c>
      <c r="H458" s="9" t="n">
        <v>0</v>
      </c>
      <c r="I458" s="9" t="n">
        <v>0</v>
      </c>
      <c r="J458" s="9" t="n">
        <v>0</v>
      </c>
      <c r="K458" s="9">
        <f>E458+F458+G458+H458+I458-J458</f>
        <v/>
      </c>
      <c r="L458" s="10">
        <f>Q457</f>
        <v/>
      </c>
      <c r="M458" s="10" t="n">
        <v>85</v>
      </c>
      <c r="N458" s="10" t="n">
        <v>3</v>
      </c>
      <c r="O458" s="10">
        <f>J458/160</f>
        <v/>
      </c>
      <c r="P458" s="10" t="n">
        <v>40</v>
      </c>
      <c r="Q458" s="10">
        <f>L458+M458+N458+O458-P458</f>
        <v/>
      </c>
      <c r="R458" s="11">
        <f>T457</f>
        <v/>
      </c>
      <c r="S458" s="11">
        <f>N(V458) + N(X458) + N(Z458)</f>
        <v/>
      </c>
      <c r="T458" s="11">
        <f>R458+P458-S458</f>
        <v/>
      </c>
      <c r="U458" s="11" t="inlineStr">
        <is>
          <t>是</t>
        </is>
      </c>
      <c r="V458" s="11" t="n">
        <v>50</v>
      </c>
      <c r="W458" s="11" t="inlineStr">
        <is>
          <t>否</t>
        </is>
      </c>
      <c r="X458" s="11" t="inlineStr">
        <is>
          <t>-</t>
        </is>
      </c>
      <c r="Y458" s="11" t="inlineStr">
        <is>
          <t>-</t>
        </is>
      </c>
      <c r="Z458" s="11" t="n">
        <v>0</v>
      </c>
      <c r="AA458" s="11" t="inlineStr">
        <is>
          <t>无</t>
        </is>
      </c>
      <c r="AB458" s="12">
        <f>AE457</f>
        <v/>
      </c>
      <c r="AC458" s="12" t="n">
        <v>4</v>
      </c>
      <c r="AD458" s="12" t="n">
        <v>0</v>
      </c>
      <c r="AE458" s="12">
        <f>AB458+AC458+AD458</f>
        <v/>
      </c>
      <c r="AF458" s="13">
        <f>AI457</f>
        <v/>
      </c>
      <c r="AG458" s="13" t="n">
        <v>0</v>
      </c>
      <c r="AH458" s="13" t="n">
        <v>0</v>
      </c>
      <c r="AI458" s="13">
        <f>AF458+AG458+AH458</f>
        <v/>
      </c>
      <c r="AJ458" s="14" t="n">
        <v>0</v>
      </c>
      <c r="AK458" s="14" t="n">
        <v>50</v>
      </c>
      <c r="AL458" s="14" t="n">
        <v>0</v>
      </c>
      <c r="AM458" s="14">
        <f>AJ458+AK458+AL458</f>
        <v/>
      </c>
      <c r="AN458" s="14">
        <f>AN457+AM458</f>
        <v/>
      </c>
    </row>
    <row r="459">
      <c r="A459" s="8" t="n">
        <v>18</v>
      </c>
      <c r="B459" s="8" t="n">
        <v>8</v>
      </c>
      <c r="C459" s="8" t="n">
        <v>2</v>
      </c>
      <c r="D459" s="8" t="inlineStr">
        <is>
          <t>月卡收益 [月卡续费-30元]</t>
        </is>
      </c>
      <c r="E459" s="9">
        <f>K458</f>
        <v/>
      </c>
      <c r="F459" s="9" t="n">
        <v>1540</v>
      </c>
      <c r="G459" s="9" t="n">
        <v>0</v>
      </c>
      <c r="H459" s="9" t="n">
        <v>0</v>
      </c>
      <c r="I459" s="9" t="n">
        <v>0</v>
      </c>
      <c r="J459" s="9" t="n">
        <v>960</v>
      </c>
      <c r="K459" s="9">
        <f>E459+F459+G459+H459+I459-J459</f>
        <v/>
      </c>
      <c r="L459" s="10">
        <f>Q458</f>
        <v/>
      </c>
      <c r="M459" s="10" t="n">
        <v>0</v>
      </c>
      <c r="N459" s="10" t="n">
        <v>6</v>
      </c>
      <c r="O459" s="10">
        <f>J459/160</f>
        <v/>
      </c>
      <c r="P459" s="10" t="n">
        <v>60</v>
      </c>
      <c r="Q459" s="10">
        <f>L459+M459+N459+O459-P459</f>
        <v/>
      </c>
      <c r="R459" s="11">
        <f>T458</f>
        <v/>
      </c>
      <c r="S459" s="11">
        <f>N(V459) + N(X459) + N(Z459)</f>
        <v/>
      </c>
      <c r="T459" s="11">
        <f>R459+P459-S459</f>
        <v/>
      </c>
      <c r="U459" s="11" t="inlineStr">
        <is>
          <t>是</t>
        </is>
      </c>
      <c r="V459" s="11" t="n">
        <v>50</v>
      </c>
      <c r="W459" s="11" t="inlineStr">
        <is>
          <t>否</t>
        </is>
      </c>
      <c r="X459" s="11" t="inlineStr">
        <is>
          <t>-</t>
        </is>
      </c>
      <c r="Y459" s="11" t="inlineStr">
        <is>
          <t>-</t>
        </is>
      </c>
      <c r="Z459" s="11" t="n">
        <v>0</v>
      </c>
      <c r="AA459" s="11" t="inlineStr">
        <is>
          <t>垫到60抽</t>
        </is>
      </c>
      <c r="AB459" s="12">
        <f>AE458</f>
        <v/>
      </c>
      <c r="AC459" s="12" t="n">
        <v>0</v>
      </c>
      <c r="AD459" s="12" t="n">
        <v>0</v>
      </c>
      <c r="AE459" s="12">
        <f>AB459+AC459+AD459</f>
        <v/>
      </c>
      <c r="AF459" s="13">
        <f>AI458</f>
        <v/>
      </c>
      <c r="AG459" s="13" t="n">
        <v>0</v>
      </c>
      <c r="AH459" s="13" t="n">
        <v>0</v>
      </c>
      <c r="AI459" s="13">
        <f>AF459+AG459+AH459</f>
        <v/>
      </c>
      <c r="AJ459" s="14" t="n">
        <v>30</v>
      </c>
      <c r="AK459" s="14" t="n">
        <v>0</v>
      </c>
      <c r="AL459" s="14" t="n">
        <v>0</v>
      </c>
      <c r="AM459" s="14">
        <f>AJ459+AK459+AL459</f>
        <v/>
      </c>
      <c r="AN459" s="14">
        <f>AN458+AM459</f>
        <v/>
      </c>
    </row>
    <row r="460">
      <c r="A460" s="8" t="n">
        <v>18</v>
      </c>
      <c r="B460" s="8" t="n">
        <v>9</v>
      </c>
      <c r="C460" s="8" t="n">
        <v>1</v>
      </c>
      <c r="D460" s="8" t="inlineStr">
        <is>
          <t>版本免费+义相逢 + 月卡收益</t>
        </is>
      </c>
      <c r="E460" s="9">
        <f>K459</f>
        <v/>
      </c>
      <c r="F460" s="9" t="n">
        <v>1540</v>
      </c>
      <c r="G460" s="9" t="n">
        <v>4800</v>
      </c>
      <c r="H460" s="9" t="n">
        <v>0</v>
      </c>
      <c r="I460" s="9" t="n">
        <v>0</v>
      </c>
      <c r="J460" s="9" t="n">
        <v>0</v>
      </c>
      <c r="K460" s="9">
        <f>E460+F460+G460+H460+I460-J460</f>
        <v/>
      </c>
      <c r="L460" s="10">
        <f>Q459</f>
        <v/>
      </c>
      <c r="M460" s="10" t="n">
        <v>85</v>
      </c>
      <c r="N460" s="10" t="n">
        <v>3</v>
      </c>
      <c r="O460" s="10">
        <f>J460/160</f>
        <v/>
      </c>
      <c r="P460" s="10" t="n">
        <v>40</v>
      </c>
      <c r="Q460" s="10">
        <f>L460+M460+N460+O460-P460</f>
        <v/>
      </c>
      <c r="R460" s="11">
        <f>T459</f>
        <v/>
      </c>
      <c r="S460" s="11">
        <f>N(V460) + N(X460) + N(Z460)</f>
        <v/>
      </c>
      <c r="T460" s="11">
        <f>R460+P460-S460</f>
        <v/>
      </c>
      <c r="U460" s="11" t="inlineStr">
        <is>
          <t>是</t>
        </is>
      </c>
      <c r="V460" s="11" t="n">
        <v>48</v>
      </c>
      <c r="W460" s="11" t="inlineStr">
        <is>
          <t>否</t>
        </is>
      </c>
      <c r="X460" s="11" t="inlineStr">
        <is>
          <t>-</t>
        </is>
      </c>
      <c r="Y460" s="11" t="inlineStr">
        <is>
          <t>-</t>
        </is>
      </c>
      <c r="Z460" s="11" t="n">
        <v>0</v>
      </c>
      <c r="AA460" s="11" t="inlineStr">
        <is>
          <t>无</t>
        </is>
      </c>
      <c r="AB460" s="12">
        <f>AE459</f>
        <v/>
      </c>
      <c r="AC460" s="12" t="n">
        <v>4</v>
      </c>
      <c r="AD460" s="12" t="n">
        <v>0</v>
      </c>
      <c r="AE460" s="12">
        <f>AB460+AC460+AD460</f>
        <v/>
      </c>
      <c r="AF460" s="13">
        <f>AI459</f>
        <v/>
      </c>
      <c r="AG460" s="13" t="n">
        <v>0</v>
      </c>
      <c r="AH460" s="13" t="n">
        <v>0</v>
      </c>
      <c r="AI460" s="13">
        <f>AF460+AG460+AH460</f>
        <v/>
      </c>
      <c r="AJ460" s="14" t="n">
        <v>0</v>
      </c>
      <c r="AK460" s="14" t="n">
        <v>50</v>
      </c>
      <c r="AL460" s="14" t="n">
        <v>0</v>
      </c>
      <c r="AM460" s="14">
        <f>AJ460+AK460+AL460</f>
        <v/>
      </c>
      <c r="AN460" s="14">
        <f>AN459+AM460</f>
        <v/>
      </c>
    </row>
    <row r="461">
      <c r="A461" s="8" t="n">
        <v>18</v>
      </c>
      <c r="B461" s="8" t="n">
        <v>9</v>
      </c>
      <c r="C461" s="8" t="n">
        <v>2</v>
      </c>
      <c r="D461" s="8" t="inlineStr">
        <is>
          <t>月卡收益 [月卡续费-30元]</t>
        </is>
      </c>
      <c r="E461" s="9">
        <f>K460</f>
        <v/>
      </c>
      <c r="F461" s="9" t="n">
        <v>1540</v>
      </c>
      <c r="G461" s="9" t="n">
        <v>0</v>
      </c>
      <c r="H461" s="9" t="n">
        <v>0</v>
      </c>
      <c r="I461" s="9" t="n">
        <v>0</v>
      </c>
      <c r="J461" s="9" t="n">
        <v>960</v>
      </c>
      <c r="K461" s="9">
        <f>E461+F461+G461+H461+I461-J461</f>
        <v/>
      </c>
      <c r="L461" s="10">
        <f>Q460</f>
        <v/>
      </c>
      <c r="M461" s="10" t="n">
        <v>0</v>
      </c>
      <c r="N461" s="10" t="n">
        <v>6</v>
      </c>
      <c r="O461" s="10">
        <f>J461/160</f>
        <v/>
      </c>
      <c r="P461" s="10" t="n">
        <v>60</v>
      </c>
      <c r="Q461" s="10">
        <f>L461+M461+N461+O461-P461</f>
        <v/>
      </c>
      <c r="R461" s="11">
        <f>T460</f>
        <v/>
      </c>
      <c r="S461" s="11">
        <f>N(V461) + N(X461) + N(Z461)</f>
        <v/>
      </c>
      <c r="T461" s="11">
        <f>R461+P461-S461</f>
        <v/>
      </c>
      <c r="U461" s="11" t="inlineStr">
        <is>
          <t>是</t>
        </is>
      </c>
      <c r="V461" s="11" t="n">
        <v>54</v>
      </c>
      <c r="W461" s="11" t="inlineStr">
        <is>
          <t>是</t>
        </is>
      </c>
      <c r="X461" s="11" t="n">
        <v>3</v>
      </c>
      <c r="Y461" s="11" t="inlineStr">
        <is>
          <t>-</t>
        </is>
      </c>
      <c r="Z461" s="11" t="n">
        <v>0</v>
      </c>
      <c r="AA461" s="11" t="inlineStr">
        <is>
          <t>垫到60抽</t>
        </is>
      </c>
      <c r="AB461" s="12">
        <f>AE460</f>
        <v/>
      </c>
      <c r="AC461" s="12" t="n">
        <v>0</v>
      </c>
      <c r="AD461" s="12" t="n">
        <v>0</v>
      </c>
      <c r="AE461" s="12">
        <f>AB461+AC461+AD461</f>
        <v/>
      </c>
      <c r="AF461" s="13">
        <f>AI460</f>
        <v/>
      </c>
      <c r="AG461" s="13" t="n">
        <v>0</v>
      </c>
      <c r="AH461" s="13" t="n">
        <v>0</v>
      </c>
      <c r="AI461" s="13">
        <f>AF461+AG461+AH461</f>
        <v/>
      </c>
      <c r="AJ461" s="14" t="n">
        <v>30</v>
      </c>
      <c r="AK461" s="14" t="n">
        <v>0</v>
      </c>
      <c r="AL461" s="14" t="n">
        <v>0</v>
      </c>
      <c r="AM461" s="14">
        <f>AJ461+AK461+AL461</f>
        <v/>
      </c>
      <c r="AN461" s="14">
        <f>AN460+AM461</f>
        <v/>
      </c>
    </row>
    <row r="462">
      <c r="A462" s="8" t="n">
        <v>18</v>
      </c>
      <c r="B462" s="8" t="n">
        <v>10</v>
      </c>
      <c r="C462" s="8" t="n">
        <v>1</v>
      </c>
      <c r="D462" s="8" t="inlineStr">
        <is>
          <t>版本免费+义相逢 + 月卡收益</t>
        </is>
      </c>
      <c r="E462" s="9">
        <f>K461</f>
        <v/>
      </c>
      <c r="F462" s="9" t="n">
        <v>1540</v>
      </c>
      <c r="G462" s="9" t="n">
        <v>4800</v>
      </c>
      <c r="H462" s="9" t="n">
        <v>0</v>
      </c>
      <c r="I462" s="9" t="n">
        <v>0</v>
      </c>
      <c r="J462" s="9" t="n">
        <v>0</v>
      </c>
      <c r="K462" s="9">
        <f>E462+F462+G462+H462+I462-J462</f>
        <v/>
      </c>
      <c r="L462" s="10">
        <f>Q461</f>
        <v/>
      </c>
      <c r="M462" s="10" t="n">
        <v>85</v>
      </c>
      <c r="N462" s="10" t="n">
        <v>6</v>
      </c>
      <c r="O462" s="10">
        <f>J462/160</f>
        <v/>
      </c>
      <c r="P462" s="10" t="n">
        <v>60</v>
      </c>
      <c r="Q462" s="10">
        <f>L462+M462+N462+O462-P462</f>
        <v/>
      </c>
      <c r="R462" s="11">
        <f>T461</f>
        <v/>
      </c>
      <c r="S462" s="11">
        <f>N(V462) + N(X462) + N(Z462)</f>
        <v/>
      </c>
      <c r="T462" s="11">
        <f>R462+P462-S462</f>
        <v/>
      </c>
      <c r="U462" s="11" t="inlineStr">
        <is>
          <t>是</t>
        </is>
      </c>
      <c r="V462" s="11" t="n">
        <v>55</v>
      </c>
      <c r="W462" s="11" t="inlineStr">
        <is>
          <t>否</t>
        </is>
      </c>
      <c r="X462" s="11" t="inlineStr">
        <is>
          <t>-</t>
        </is>
      </c>
      <c r="Y462" s="11" t="inlineStr">
        <is>
          <t>-</t>
        </is>
      </c>
      <c r="Z462" s="11" t="n">
        <v>0</v>
      </c>
      <c r="AA462" s="11" t="inlineStr">
        <is>
          <t>垫到60抽</t>
        </is>
      </c>
      <c r="AB462" s="12">
        <f>AE461</f>
        <v/>
      </c>
      <c r="AC462" s="12" t="n">
        <v>4</v>
      </c>
      <c r="AD462" s="12" t="n">
        <v>0</v>
      </c>
      <c r="AE462" s="12">
        <f>AB462+AC462+AD462</f>
        <v/>
      </c>
      <c r="AF462" s="13">
        <f>AI461</f>
        <v/>
      </c>
      <c r="AG462" s="13" t="n">
        <v>0</v>
      </c>
      <c r="AH462" s="13" t="n">
        <v>0</v>
      </c>
      <c r="AI462" s="13">
        <f>AF462+AG462+AH462</f>
        <v/>
      </c>
      <c r="AJ462" s="14" t="n">
        <v>0</v>
      </c>
      <c r="AK462" s="14" t="n">
        <v>50</v>
      </c>
      <c r="AL462" s="14" t="n">
        <v>0</v>
      </c>
      <c r="AM462" s="14">
        <f>AJ462+AK462+AL462</f>
        <v/>
      </c>
      <c r="AN462" s="14">
        <f>AN461+AM462</f>
        <v/>
      </c>
    </row>
    <row r="463">
      <c r="A463" s="8" t="n">
        <v>18</v>
      </c>
      <c r="B463" s="8" t="n">
        <v>10</v>
      </c>
      <c r="C463" s="8" t="n">
        <v>2</v>
      </c>
      <c r="D463" s="8" t="inlineStr">
        <is>
          <t>月卡收益 [月卡续费-30元]</t>
        </is>
      </c>
      <c r="E463" s="9">
        <f>K462</f>
        <v/>
      </c>
      <c r="F463" s="9" t="n">
        <v>1540</v>
      </c>
      <c r="G463" s="9" t="n">
        <v>0</v>
      </c>
      <c r="H463" s="9" t="n">
        <v>0</v>
      </c>
      <c r="I463" s="9" t="n">
        <v>0</v>
      </c>
      <c r="J463" s="9" t="n">
        <v>8000</v>
      </c>
      <c r="K463" s="9">
        <f>E463+F463+G463+H463+I463-J463</f>
        <v/>
      </c>
      <c r="L463" s="10">
        <f>Q462</f>
        <v/>
      </c>
      <c r="M463" s="10" t="n">
        <v>0</v>
      </c>
      <c r="N463" s="10" t="n">
        <v>11</v>
      </c>
      <c r="O463" s="10">
        <f>J463/160</f>
        <v/>
      </c>
      <c r="P463" s="10" t="n">
        <v>90</v>
      </c>
      <c r="Q463" s="10">
        <f>L463+M463+N463+O463-P463</f>
        <v/>
      </c>
      <c r="R463" s="11">
        <f>T462</f>
        <v/>
      </c>
      <c r="S463" s="11">
        <f>N(V463) + N(X463) + N(Z463)</f>
        <v/>
      </c>
      <c r="T463" s="11">
        <f>R463+P463-S463</f>
        <v/>
      </c>
      <c r="U463" s="11" t="inlineStr">
        <is>
          <t>是</t>
        </is>
      </c>
      <c r="V463" s="11" t="n">
        <v>49</v>
      </c>
      <c r="W463" s="11" t="inlineStr">
        <is>
          <t>是</t>
        </is>
      </c>
      <c r="X463" s="11" t="n">
        <v>47</v>
      </c>
      <c r="Y463" s="11" t="inlineStr">
        <is>
          <t>-</t>
        </is>
      </c>
      <c r="Z463" s="11" t="n">
        <v>0</v>
      </c>
      <c r="AA463" s="11" t="inlineStr">
        <is>
          <t>垫到90抽</t>
        </is>
      </c>
      <c r="AB463" s="12">
        <f>AE462</f>
        <v/>
      </c>
      <c r="AC463" s="12" t="n">
        <v>0</v>
      </c>
      <c r="AD463" s="12" t="n">
        <v>0</v>
      </c>
      <c r="AE463" s="12">
        <f>AB463+AC463+AD463</f>
        <v/>
      </c>
      <c r="AF463" s="13">
        <f>AI462</f>
        <v/>
      </c>
      <c r="AG463" s="13" t="n">
        <v>0</v>
      </c>
      <c r="AH463" s="13" t="n">
        <v>0</v>
      </c>
      <c r="AI463" s="13">
        <f>AF463+AG463+AH463</f>
        <v/>
      </c>
      <c r="AJ463" s="14" t="n">
        <v>30</v>
      </c>
      <c r="AK463" s="14" t="n">
        <v>0</v>
      </c>
      <c r="AL463" s="14" t="n">
        <v>0</v>
      </c>
      <c r="AM463" s="14">
        <f>AJ463+AK463+AL463</f>
        <v/>
      </c>
      <c r="AN463" s="14">
        <f>AN462+AM463</f>
        <v/>
      </c>
    </row>
    <row r="464">
      <c r="A464" s="8" t="n">
        <v>18</v>
      </c>
      <c r="B464" s="8" t="n">
        <v>11</v>
      </c>
      <c r="C464" s="8" t="n">
        <v>1</v>
      </c>
      <c r="D464" s="8" t="inlineStr">
        <is>
          <t>版本免费+义相逢 + 月卡收益</t>
        </is>
      </c>
      <c r="E464" s="9">
        <f>K463</f>
        <v/>
      </c>
      <c r="F464" s="9" t="n">
        <v>1540</v>
      </c>
      <c r="G464" s="9" t="n">
        <v>4800</v>
      </c>
      <c r="H464" s="9" t="n">
        <v>0</v>
      </c>
      <c r="I464" s="9" t="n">
        <v>0</v>
      </c>
      <c r="J464" s="9" t="n">
        <v>0</v>
      </c>
      <c r="K464" s="9">
        <f>E464+F464+G464+H464+I464-J464</f>
        <v/>
      </c>
      <c r="L464" s="10">
        <f>Q463</f>
        <v/>
      </c>
      <c r="M464" s="10" t="n">
        <v>85</v>
      </c>
      <c r="N464" s="10" t="n">
        <v>3</v>
      </c>
      <c r="O464" s="10">
        <f>J464/160</f>
        <v/>
      </c>
      <c r="P464" s="10" t="n">
        <v>40</v>
      </c>
      <c r="Q464" s="10">
        <f>L464+M464+N464+O464-P464</f>
        <v/>
      </c>
      <c r="R464" s="11">
        <f>T463</f>
        <v/>
      </c>
      <c r="S464" s="11">
        <f>N(V464) + N(X464) + N(Z464)</f>
        <v/>
      </c>
      <c r="T464" s="11">
        <f>R464+P464-S464</f>
        <v/>
      </c>
      <c r="U464" s="11" t="inlineStr">
        <is>
          <t>是</t>
        </is>
      </c>
      <c r="V464" s="11" t="n">
        <v>47</v>
      </c>
      <c r="W464" s="11" t="inlineStr">
        <is>
          <t>否</t>
        </is>
      </c>
      <c r="X464" s="11" t="inlineStr">
        <is>
          <t>-</t>
        </is>
      </c>
      <c r="Y464" s="11" t="inlineStr">
        <is>
          <t>-</t>
        </is>
      </c>
      <c r="Z464" s="11" t="n">
        <v>0</v>
      </c>
      <c r="AA464" s="11" t="inlineStr">
        <is>
          <t>无</t>
        </is>
      </c>
      <c r="AB464" s="12">
        <f>AE463</f>
        <v/>
      </c>
      <c r="AC464" s="12" t="n">
        <v>4</v>
      </c>
      <c r="AD464" s="12" t="n">
        <v>0</v>
      </c>
      <c r="AE464" s="12">
        <f>AB464+AC464+AD464</f>
        <v/>
      </c>
      <c r="AF464" s="13">
        <f>AI463</f>
        <v/>
      </c>
      <c r="AG464" s="13" t="n">
        <v>0</v>
      </c>
      <c r="AH464" s="13" t="n">
        <v>0</v>
      </c>
      <c r="AI464" s="13">
        <f>AF464+AG464+AH464</f>
        <v/>
      </c>
      <c r="AJ464" s="14" t="n">
        <v>0</v>
      </c>
      <c r="AK464" s="14" t="n">
        <v>50</v>
      </c>
      <c r="AL464" s="14" t="n">
        <v>0</v>
      </c>
      <c r="AM464" s="14">
        <f>AJ464+AK464+AL464</f>
        <v/>
      </c>
      <c r="AN464" s="14">
        <f>AN463+AM464</f>
        <v/>
      </c>
    </row>
    <row r="465">
      <c r="A465" s="8" t="n">
        <v>18</v>
      </c>
      <c r="B465" s="8" t="n">
        <v>11</v>
      </c>
      <c r="C465" s="8" t="n">
        <v>2</v>
      </c>
      <c r="D465" s="8" t="inlineStr">
        <is>
          <t>月卡收益 [月卡续费-30元]</t>
        </is>
      </c>
      <c r="E465" s="9">
        <f>K464</f>
        <v/>
      </c>
      <c r="F465" s="9" t="n">
        <v>1540</v>
      </c>
      <c r="G465" s="9" t="n">
        <v>0</v>
      </c>
      <c r="H465" s="9" t="n">
        <v>0</v>
      </c>
      <c r="I465" s="9" t="n">
        <v>0</v>
      </c>
      <c r="J465" s="9" t="n">
        <v>640</v>
      </c>
      <c r="K465" s="9">
        <f>E465+F465+G465+H465+I465-J465</f>
        <v/>
      </c>
      <c r="L465" s="10">
        <f>Q464</f>
        <v/>
      </c>
      <c r="M465" s="10" t="n">
        <v>0</v>
      </c>
      <c r="N465" s="10" t="n">
        <v>6</v>
      </c>
      <c r="O465" s="10">
        <f>J465/160</f>
        <v/>
      </c>
      <c r="P465" s="10" t="n">
        <v>60</v>
      </c>
      <c r="Q465" s="10">
        <f>L465+M465+N465+O465-P465</f>
        <v/>
      </c>
      <c r="R465" s="11">
        <f>T464</f>
        <v/>
      </c>
      <c r="S465" s="11">
        <f>N(V465) + N(X465) + N(Z465)</f>
        <v/>
      </c>
      <c r="T465" s="11">
        <f>R465+P465-S465</f>
        <v/>
      </c>
      <c r="U465" s="11" t="inlineStr">
        <is>
          <t>是</t>
        </is>
      </c>
      <c r="V465" s="11" t="n">
        <v>47</v>
      </c>
      <c r="W465" s="11" t="inlineStr">
        <is>
          <t>否</t>
        </is>
      </c>
      <c r="X465" s="11" t="inlineStr">
        <is>
          <t>-</t>
        </is>
      </c>
      <c r="Y465" s="11" t="inlineStr">
        <is>
          <t>-</t>
        </is>
      </c>
      <c r="Z465" s="11" t="n">
        <v>0</v>
      </c>
      <c r="AA465" s="11" t="inlineStr">
        <is>
          <t>垫到60抽</t>
        </is>
      </c>
      <c r="AB465" s="12">
        <f>AE464</f>
        <v/>
      </c>
      <c r="AC465" s="12" t="n">
        <v>0</v>
      </c>
      <c r="AD465" s="12" t="n">
        <v>0</v>
      </c>
      <c r="AE465" s="12">
        <f>AB465+AC465+AD465</f>
        <v/>
      </c>
      <c r="AF465" s="13">
        <f>AI464</f>
        <v/>
      </c>
      <c r="AG465" s="13" t="n">
        <v>0</v>
      </c>
      <c r="AH465" s="13" t="n">
        <v>0</v>
      </c>
      <c r="AI465" s="13">
        <f>AF465+AG465+AH465</f>
        <v/>
      </c>
      <c r="AJ465" s="14" t="n">
        <v>30</v>
      </c>
      <c r="AK465" s="14" t="n">
        <v>0</v>
      </c>
      <c r="AL465" s="14" t="n">
        <v>0</v>
      </c>
      <c r="AM465" s="14">
        <f>AJ465+AK465+AL465</f>
        <v/>
      </c>
      <c r="AN465" s="14">
        <f>AN464+AM465</f>
        <v/>
      </c>
    </row>
    <row r="466">
      <c r="A466" s="8" t="n">
        <v>18</v>
      </c>
      <c r="B466" s="8" t="n">
        <v>12</v>
      </c>
      <c r="C466" s="8" t="n">
        <v>1</v>
      </c>
      <c r="D466" s="8" t="inlineStr">
        <is>
          <t>版本免费+义相逢 + 月卡收益</t>
        </is>
      </c>
      <c r="E466" s="9">
        <f>K465</f>
        <v/>
      </c>
      <c r="F466" s="9" t="n">
        <v>1540</v>
      </c>
      <c r="G466" s="9" t="n">
        <v>4800</v>
      </c>
      <c r="H466" s="9" t="n">
        <v>0</v>
      </c>
      <c r="I466" s="9" t="n">
        <v>0</v>
      </c>
      <c r="J466" s="9" t="n">
        <v>14560</v>
      </c>
      <c r="K466" s="9">
        <f>E466+F466+G466+H466+I466-J466</f>
        <v/>
      </c>
      <c r="L466" s="10">
        <f>Q465</f>
        <v/>
      </c>
      <c r="M466" s="10" t="n">
        <v>85</v>
      </c>
      <c r="N466" s="10" t="n">
        <v>21</v>
      </c>
      <c r="O466" s="10">
        <f>J466/160</f>
        <v/>
      </c>
      <c r="P466" s="10" t="n">
        <v>200</v>
      </c>
      <c r="Q466" s="10">
        <f>L466+M466+N466+O466-P466</f>
        <v/>
      </c>
      <c r="R466" s="11">
        <f>T465</f>
        <v/>
      </c>
      <c r="S466" s="11">
        <f>N(V466) + N(X466) + N(Z466)</f>
        <v/>
      </c>
      <c r="T466" s="11">
        <f>R466+P466-S466</f>
        <v/>
      </c>
      <c r="U466" s="11" t="inlineStr">
        <is>
          <t>是</t>
        </is>
      </c>
      <c r="V466" s="11" t="n">
        <v>49</v>
      </c>
      <c r="W466" s="11" t="inlineStr">
        <is>
          <t>是</t>
        </is>
      </c>
      <c r="X466" s="11" t="n">
        <v>50</v>
      </c>
      <c r="Y466" s="11" t="inlineStr">
        <is>
          <t>UP(52), 歪(47)</t>
        </is>
      </c>
      <c r="Z466" s="11" t="n">
        <v>99</v>
      </c>
      <c r="AA466" s="11" t="inlineStr">
        <is>
          <t>冲刺200(动态80)</t>
        </is>
      </c>
      <c r="AB466" s="12">
        <f>AE465</f>
        <v/>
      </c>
      <c r="AC466" s="12" t="n">
        <v>4</v>
      </c>
      <c r="AD466" s="12" t="n">
        <v>1</v>
      </c>
      <c r="AE466" s="12">
        <f>AB466+AC466+AD466</f>
        <v/>
      </c>
      <c r="AF466" s="13">
        <f>AI465</f>
        <v/>
      </c>
      <c r="AG466" s="13" t="n">
        <v>0</v>
      </c>
      <c r="AH466" s="13" t="n">
        <v>5000</v>
      </c>
      <c r="AI466" s="13">
        <f>AF466+AG466+AH466</f>
        <v/>
      </c>
      <c r="AJ466" s="14" t="n">
        <v>0</v>
      </c>
      <c r="AK466" s="14" t="n">
        <v>50</v>
      </c>
      <c r="AL466" s="14" t="n">
        <v>0</v>
      </c>
      <c r="AM466" s="14">
        <f>AJ466+AK466+AL466</f>
        <v/>
      </c>
      <c r="AN466" s="14">
        <f>AN465+AM466</f>
        <v/>
      </c>
    </row>
    <row r="467">
      <c r="A467" s="8" t="n">
        <v>18</v>
      </c>
      <c r="B467" s="8" t="n">
        <v>12</v>
      </c>
      <c r="C467" s="8" t="n">
        <v>2</v>
      </c>
      <c r="D467" s="8" t="inlineStr">
        <is>
          <t>月卡收益</t>
        </is>
      </c>
      <c r="E467" s="9">
        <f>K466</f>
        <v/>
      </c>
      <c r="F467" s="9" t="n">
        <v>1540</v>
      </c>
      <c r="G467" s="9" t="n">
        <v>0</v>
      </c>
      <c r="H467" s="9" t="n">
        <v>0</v>
      </c>
      <c r="I467" s="9" t="n">
        <v>0</v>
      </c>
      <c r="J467" s="9" t="n">
        <v>4640</v>
      </c>
      <c r="K467" s="9">
        <f>E467+F467+G467+H467+I467-J467</f>
        <v/>
      </c>
      <c r="L467" s="10">
        <f>Q466</f>
        <v/>
      </c>
      <c r="M467" s="10" t="n">
        <v>0</v>
      </c>
      <c r="N467" s="10" t="n">
        <v>3</v>
      </c>
      <c r="O467" s="10">
        <f>J467/160</f>
        <v/>
      </c>
      <c r="P467" s="10" t="n">
        <v>30</v>
      </c>
      <c r="Q467" s="10">
        <f>L467+M467+N467+O467-P467</f>
        <v/>
      </c>
      <c r="R467" s="11">
        <f>T466</f>
        <v/>
      </c>
      <c r="S467" s="11">
        <f>N(V467) + N(X467) + N(Z467)</f>
        <v/>
      </c>
      <c r="T467" s="11">
        <f>R467+P467-S467</f>
        <v/>
      </c>
      <c r="U467" s="11" t="inlineStr">
        <is>
          <t>是</t>
        </is>
      </c>
      <c r="V467" s="11" t="n">
        <v>47</v>
      </c>
      <c r="W467" s="11" t="inlineStr">
        <is>
          <t>否</t>
        </is>
      </c>
      <c r="X467" s="11" t="inlineStr">
        <is>
          <t>-</t>
        </is>
      </c>
      <c r="Y467" s="11" t="inlineStr">
        <is>
          <t>-</t>
        </is>
      </c>
      <c r="Z467" s="11" t="n">
        <v>0</v>
      </c>
      <c r="AA467" s="11" t="inlineStr">
        <is>
          <t>无</t>
        </is>
      </c>
      <c r="AB467" s="12">
        <f>AE466</f>
        <v/>
      </c>
      <c r="AC467" s="12" t="n">
        <v>0</v>
      </c>
      <c r="AD467" s="12" t="n">
        <v>0</v>
      </c>
      <c r="AE467" s="12">
        <f>AB467+AC467+AD467</f>
        <v/>
      </c>
      <c r="AF467" s="13">
        <f>AI466</f>
        <v/>
      </c>
      <c r="AG467" s="13" t="n">
        <v>0</v>
      </c>
      <c r="AH467" s="13" t="n">
        <v>0</v>
      </c>
      <c r="AI467" s="13">
        <f>AF467+AG467+AH467</f>
        <v/>
      </c>
      <c r="AJ467" s="14" t="n">
        <v>0</v>
      </c>
      <c r="AK467" s="14" t="n">
        <v>0</v>
      </c>
      <c r="AL467" s="14" t="n">
        <v>0</v>
      </c>
      <c r="AM467" s="14">
        <f>AJ467+AK467+AL467</f>
        <v/>
      </c>
      <c r="AN467" s="14">
        <f>AN466+AM467</f>
        <v/>
      </c>
    </row>
    <row r="468">
      <c r="A468" s="8" t="n">
        <v>18</v>
      </c>
      <c r="B468" s="8" t="n">
        <v>13</v>
      </c>
      <c r="C468" s="8" t="n">
        <v>1</v>
      </c>
      <c r="D468" s="8" t="inlineStr">
        <is>
          <t>版本免费+义相逢 + 月卡收益 [月卡续费-30元]</t>
        </is>
      </c>
      <c r="E468" s="9">
        <f>K467</f>
        <v/>
      </c>
      <c r="F468" s="9" t="n">
        <v>1540</v>
      </c>
      <c r="G468" s="9" t="n">
        <v>4800</v>
      </c>
      <c r="H468" s="9" t="n">
        <v>0</v>
      </c>
      <c r="I468" s="9" t="n">
        <v>0</v>
      </c>
      <c r="J468" s="9" t="n">
        <v>14720</v>
      </c>
      <c r="K468" s="9">
        <f>E468+F468+G468+H468+I468-J468</f>
        <v/>
      </c>
      <c r="L468" s="10">
        <f>Q467</f>
        <v/>
      </c>
      <c r="M468" s="10" t="n">
        <v>85</v>
      </c>
      <c r="N468" s="10" t="n">
        <v>21</v>
      </c>
      <c r="O468" s="10">
        <f>J468/160</f>
        <v/>
      </c>
      <c r="P468" s="10" t="n">
        <v>200</v>
      </c>
      <c r="Q468" s="10">
        <f>L468+M468+N468+O468-P468</f>
        <v/>
      </c>
      <c r="R468" s="11">
        <f>T467</f>
        <v/>
      </c>
      <c r="S468" s="11">
        <f>N(V468) + N(X468) + N(Z468)</f>
        <v/>
      </c>
      <c r="T468" s="11">
        <f>R468+P468-S468</f>
        <v/>
      </c>
      <c r="U468" s="11" t="inlineStr">
        <is>
          <t>是</t>
        </is>
      </c>
      <c r="V468" s="11" t="n">
        <v>50</v>
      </c>
      <c r="W468" s="11" t="inlineStr">
        <is>
          <t>是</t>
        </is>
      </c>
      <c r="X468" s="11" t="n">
        <v>52</v>
      </c>
      <c r="Y468" s="11" t="inlineStr">
        <is>
          <t>UP(52)</t>
        </is>
      </c>
      <c r="Z468" s="11" t="n">
        <v>52</v>
      </c>
      <c r="AA468" s="11" t="inlineStr">
        <is>
          <t>冲刺200(动态100)</t>
        </is>
      </c>
      <c r="AB468" s="12">
        <f>AE467</f>
        <v/>
      </c>
      <c r="AC468" s="12" t="n">
        <v>4</v>
      </c>
      <c r="AD468" s="12" t="n">
        <v>1</v>
      </c>
      <c r="AE468" s="12">
        <f>AB468+AC468+AD468</f>
        <v/>
      </c>
      <c r="AF468" s="13">
        <f>AI467</f>
        <v/>
      </c>
      <c r="AG468" s="13" t="n">
        <v>0</v>
      </c>
      <c r="AH468" s="13" t="n">
        <v>5000</v>
      </c>
      <c r="AI468" s="13">
        <f>AF468+AG468+AH468</f>
        <v/>
      </c>
      <c r="AJ468" s="14" t="n">
        <v>30</v>
      </c>
      <c r="AK468" s="14" t="n">
        <v>50</v>
      </c>
      <c r="AL468" s="14" t="n">
        <v>0</v>
      </c>
      <c r="AM468" s="14">
        <f>AJ468+AK468+AL468</f>
        <v/>
      </c>
      <c r="AN468" s="14">
        <f>AN467+AM468</f>
        <v/>
      </c>
    </row>
    <row r="469">
      <c r="A469" s="8" t="n">
        <v>18</v>
      </c>
      <c r="B469" s="8" t="n">
        <v>13</v>
      </c>
      <c r="C469" s="8" t="n">
        <v>2</v>
      </c>
      <c r="D469" s="8" t="inlineStr">
        <is>
          <t>月卡收益</t>
        </is>
      </c>
      <c r="E469" s="9">
        <f>K468</f>
        <v/>
      </c>
      <c r="F469" s="9" t="n">
        <v>1540</v>
      </c>
      <c r="G469" s="9" t="n">
        <v>0</v>
      </c>
      <c r="H469" s="9" t="n">
        <v>0</v>
      </c>
      <c r="I469" s="9" t="n">
        <v>0</v>
      </c>
      <c r="J469" s="9" t="n">
        <v>9120</v>
      </c>
      <c r="K469" s="9">
        <f>E469+F469+G469+H469+I469-J469</f>
        <v/>
      </c>
      <c r="L469" s="10">
        <f>Q468</f>
        <v/>
      </c>
      <c r="M469" s="10" t="n">
        <v>0</v>
      </c>
      <c r="N469" s="10" t="n">
        <v>6</v>
      </c>
      <c r="O469" s="10">
        <f>J469/160</f>
        <v/>
      </c>
      <c r="P469" s="10" t="n">
        <v>60</v>
      </c>
      <c r="Q469" s="10">
        <f>L469+M469+N469+O469-P469</f>
        <v/>
      </c>
      <c r="R469" s="11">
        <f>T468</f>
        <v/>
      </c>
      <c r="S469" s="11">
        <f>N(V469) + N(X469) + N(Z469)</f>
        <v/>
      </c>
      <c r="T469" s="11">
        <f>R469+P469-S469</f>
        <v/>
      </c>
      <c r="U469" s="11" t="inlineStr">
        <is>
          <t>是</t>
        </is>
      </c>
      <c r="V469" s="11" t="n">
        <v>47</v>
      </c>
      <c r="W469" s="11" t="inlineStr">
        <is>
          <t>是</t>
        </is>
      </c>
      <c r="X469" s="11" t="n">
        <v>48</v>
      </c>
      <c r="Y469" s="11" t="inlineStr">
        <is>
          <t>-</t>
        </is>
      </c>
      <c r="Z469" s="11" t="n">
        <v>0</v>
      </c>
      <c r="AA469" s="11" t="inlineStr">
        <is>
          <t>垫到60抽</t>
        </is>
      </c>
      <c r="AB469" s="12">
        <f>AE468</f>
        <v/>
      </c>
      <c r="AC469" s="12" t="n">
        <v>0</v>
      </c>
      <c r="AD469" s="12" t="n">
        <v>0</v>
      </c>
      <c r="AE469" s="12">
        <f>AB469+AC469+AD469</f>
        <v/>
      </c>
      <c r="AF469" s="13">
        <f>AI468</f>
        <v/>
      </c>
      <c r="AG469" s="13" t="n">
        <v>0</v>
      </c>
      <c r="AH469" s="13" t="n">
        <v>0</v>
      </c>
      <c r="AI469" s="13">
        <f>AF469+AG469+AH469</f>
        <v/>
      </c>
      <c r="AJ469" s="14" t="n">
        <v>0</v>
      </c>
      <c r="AK469" s="14" t="n">
        <v>0</v>
      </c>
      <c r="AL469" s="14" t="n">
        <v>0</v>
      </c>
      <c r="AM469" s="14">
        <f>AJ469+AK469+AL469</f>
        <v/>
      </c>
      <c r="AN469" s="14">
        <f>AN468+AM469</f>
        <v/>
      </c>
    </row>
    <row r="470">
      <c r="A470" s="8" t="n">
        <v>19</v>
      </c>
      <c r="B470" s="8" t="n">
        <v>1</v>
      </c>
      <c r="C470" s="8" t="n">
        <v>1</v>
      </c>
      <c r="D470" s="8" t="inlineStr">
        <is>
          <t>版本免费+义相逢 + 月卡收益 [月卡续费-30元]</t>
        </is>
      </c>
      <c r="E470" s="9" t="n">
        <v>17360</v>
      </c>
      <c r="F470" s="9" t="n">
        <v>1540</v>
      </c>
      <c r="G470" s="9" t="n">
        <v>4800</v>
      </c>
      <c r="H470" s="9" t="n">
        <v>0</v>
      </c>
      <c r="I470" s="9" t="n">
        <v>0</v>
      </c>
      <c r="J470" s="9" t="n">
        <v>0</v>
      </c>
      <c r="K470" s="9">
        <f>E470+F470+G470+H470+I470-J470</f>
        <v/>
      </c>
      <c r="L470" s="10" t="n">
        <v>3</v>
      </c>
      <c r="M470" s="10" t="n">
        <v>85</v>
      </c>
      <c r="N470" s="10" t="n">
        <v>6</v>
      </c>
      <c r="O470" s="10">
        <f>J470/160</f>
        <v/>
      </c>
      <c r="P470" s="10" t="n">
        <v>60</v>
      </c>
      <c r="Q470" s="10">
        <f>L470+M470+N470+O470-P470</f>
        <v/>
      </c>
      <c r="R470" s="11" t="n">
        <v>12</v>
      </c>
      <c r="S470" s="11">
        <f>N(V470) + N(X470) + N(Z470)</f>
        <v/>
      </c>
      <c r="T470" s="11">
        <f>R470+P470-S470</f>
        <v/>
      </c>
      <c r="U470" s="11" t="inlineStr">
        <is>
          <t>是</t>
        </is>
      </c>
      <c r="V470" s="11" t="n">
        <v>20</v>
      </c>
      <c r="W470" s="11" t="inlineStr">
        <is>
          <t>是</t>
        </is>
      </c>
      <c r="X470" s="11" t="n">
        <v>51</v>
      </c>
      <c r="Y470" s="11" t="inlineStr">
        <is>
          <t>-</t>
        </is>
      </c>
      <c r="Z470" s="11" t="n">
        <v>0</v>
      </c>
      <c r="AA470" s="11" t="inlineStr">
        <is>
          <t>无</t>
        </is>
      </c>
      <c r="AB470" s="12" t="n">
        <v>962</v>
      </c>
      <c r="AC470" s="12" t="n">
        <v>4</v>
      </c>
      <c r="AD470" s="12" t="n">
        <v>0</v>
      </c>
      <c r="AE470" s="12">
        <f>AB470+AC470+AD470</f>
        <v/>
      </c>
      <c r="AF470" s="13" t="n">
        <v>130000</v>
      </c>
      <c r="AG470" s="13" t="n">
        <v>0</v>
      </c>
      <c r="AH470" s="13" t="n">
        <v>0</v>
      </c>
      <c r="AI470" s="13">
        <f>AF470+AG470+AH470</f>
        <v/>
      </c>
      <c r="AJ470" s="14" t="n">
        <v>30</v>
      </c>
      <c r="AK470" s="14" t="n">
        <v>50</v>
      </c>
      <c r="AL470" s="14" t="n">
        <v>0</v>
      </c>
      <c r="AM470" s="14">
        <f>AJ470+AK470+AL470</f>
        <v/>
      </c>
      <c r="AN470" s="14">
        <f>AM470</f>
        <v/>
      </c>
    </row>
    <row r="471">
      <c r="A471" s="8" t="n">
        <v>19</v>
      </c>
      <c r="B471" s="8" t="n">
        <v>1</v>
      </c>
      <c r="C471" s="8" t="n">
        <v>2</v>
      </c>
      <c r="D471" s="8" t="inlineStr">
        <is>
          <t>月卡收益</t>
        </is>
      </c>
      <c r="E471" s="9">
        <f>K470</f>
        <v/>
      </c>
      <c r="F471" s="9" t="n">
        <v>1540</v>
      </c>
      <c r="G471" s="9" t="n">
        <v>0</v>
      </c>
      <c r="H471" s="9" t="n">
        <v>0</v>
      </c>
      <c r="I471" s="9" t="n">
        <v>0</v>
      </c>
      <c r="J471" s="9" t="n">
        <v>3680</v>
      </c>
      <c r="K471" s="9">
        <f>E471+F471+G471+H471+I471-J471</f>
        <v/>
      </c>
      <c r="L471" s="10">
        <f>Q470</f>
        <v/>
      </c>
      <c r="M471" s="10" t="n">
        <v>0</v>
      </c>
      <c r="N471" s="10" t="n">
        <v>6</v>
      </c>
      <c r="O471" s="10">
        <f>J471/160</f>
        <v/>
      </c>
      <c r="P471" s="10" t="n">
        <v>60</v>
      </c>
      <c r="Q471" s="10">
        <f>L471+M471+N471+O471-P471</f>
        <v/>
      </c>
      <c r="R471" s="11">
        <f>T470</f>
        <v/>
      </c>
      <c r="S471" s="11">
        <f>N(V471) + N(X471) + N(Z471)</f>
        <v/>
      </c>
      <c r="T471" s="11">
        <f>R471+P471-S471</f>
        <v/>
      </c>
      <c r="U471" s="11" t="inlineStr">
        <is>
          <t>是</t>
        </is>
      </c>
      <c r="V471" s="11" t="n">
        <v>54</v>
      </c>
      <c r="W471" s="11" t="inlineStr">
        <is>
          <t>否</t>
        </is>
      </c>
      <c r="X471" s="11" t="inlineStr">
        <is>
          <t>-</t>
        </is>
      </c>
      <c r="Y471" s="11" t="inlineStr">
        <is>
          <t>-</t>
        </is>
      </c>
      <c r="Z471" s="11" t="n">
        <v>0</v>
      </c>
      <c r="AA471" s="11" t="inlineStr">
        <is>
          <t>无</t>
        </is>
      </c>
      <c r="AB471" s="12">
        <f>AE470</f>
        <v/>
      </c>
      <c r="AC471" s="12" t="n">
        <v>0</v>
      </c>
      <c r="AD471" s="12" t="n">
        <v>0</v>
      </c>
      <c r="AE471" s="12">
        <f>AB471+AC471+AD471</f>
        <v/>
      </c>
      <c r="AF471" s="13">
        <f>AI470</f>
        <v/>
      </c>
      <c r="AG471" s="13" t="n">
        <v>0</v>
      </c>
      <c r="AH471" s="13" t="n">
        <v>0</v>
      </c>
      <c r="AI471" s="13">
        <f>AF471+AG471+AH471</f>
        <v/>
      </c>
      <c r="AJ471" s="14" t="n">
        <v>0</v>
      </c>
      <c r="AK471" s="14" t="n">
        <v>0</v>
      </c>
      <c r="AL471" s="14" t="n">
        <v>0</v>
      </c>
      <c r="AM471" s="14">
        <f>AJ471+AK471+AL471</f>
        <v/>
      </c>
      <c r="AN471" s="14">
        <f>AN470+AM471</f>
        <v/>
      </c>
    </row>
    <row r="472">
      <c r="A472" s="8" t="n">
        <v>19</v>
      </c>
      <c r="B472" s="8" t="n">
        <v>2</v>
      </c>
      <c r="C472" s="8" t="n">
        <v>1</v>
      </c>
      <c r="D472" s="8" t="inlineStr">
        <is>
          <t>版本免费+义相逢 + 月卡收益 [月卡续费-30元]</t>
        </is>
      </c>
      <c r="E472" s="9">
        <f>K471</f>
        <v/>
      </c>
      <c r="F472" s="9" t="n">
        <v>1540</v>
      </c>
      <c r="G472" s="9" t="n">
        <v>4800</v>
      </c>
      <c r="H472" s="9" t="n">
        <v>0</v>
      </c>
      <c r="I472" s="9" t="n">
        <v>0</v>
      </c>
      <c r="J472" s="9" t="n">
        <v>160</v>
      </c>
      <c r="K472" s="9">
        <f>E472+F472+G472+H472+I472-J472</f>
        <v/>
      </c>
      <c r="L472" s="10">
        <f>Q471</f>
        <v/>
      </c>
      <c r="M472" s="10" t="n">
        <v>85</v>
      </c>
      <c r="N472" s="10" t="n">
        <v>11</v>
      </c>
      <c r="O472" s="10">
        <f>J472/160</f>
        <v/>
      </c>
      <c r="P472" s="10" t="n">
        <v>100</v>
      </c>
      <c r="Q472" s="10">
        <f>L472+M472+N472+O472-P472</f>
        <v/>
      </c>
      <c r="R472" s="11">
        <f>T471</f>
        <v/>
      </c>
      <c r="S472" s="11">
        <f>N(V472) + N(X472) + N(Z472)</f>
        <v/>
      </c>
      <c r="T472" s="11">
        <f>R472+P472-S472</f>
        <v/>
      </c>
      <c r="U472" s="11" t="inlineStr">
        <is>
          <t>是</t>
        </is>
      </c>
      <c r="V472" s="11" t="n">
        <v>51</v>
      </c>
      <c r="W472" s="11" t="inlineStr">
        <is>
          <t>是</t>
        </is>
      </c>
      <c r="X472" s="11" t="n">
        <v>48</v>
      </c>
      <c r="Y472" s="11" t="inlineStr">
        <is>
          <t>-</t>
        </is>
      </c>
      <c r="Z472" s="11" t="n">
        <v>0</v>
      </c>
      <c r="AA472" s="11" t="inlineStr">
        <is>
          <t>无</t>
        </is>
      </c>
      <c r="AB472" s="12">
        <f>AE471</f>
        <v/>
      </c>
      <c r="AC472" s="12" t="n">
        <v>4</v>
      </c>
      <c r="AD472" s="12" t="n">
        <v>0</v>
      </c>
      <c r="AE472" s="12">
        <f>AB472+AC472+AD472</f>
        <v/>
      </c>
      <c r="AF472" s="13">
        <f>AI471</f>
        <v/>
      </c>
      <c r="AG472" s="13" t="n">
        <v>0</v>
      </c>
      <c r="AH472" s="13" t="n">
        <v>0</v>
      </c>
      <c r="AI472" s="13">
        <f>AF472+AG472+AH472</f>
        <v/>
      </c>
      <c r="AJ472" s="14" t="n">
        <v>30</v>
      </c>
      <c r="AK472" s="14" t="n">
        <v>50</v>
      </c>
      <c r="AL472" s="14" t="n">
        <v>0</v>
      </c>
      <c r="AM472" s="14">
        <f>AJ472+AK472+AL472</f>
        <v/>
      </c>
      <c r="AN472" s="14">
        <f>AN471+AM472</f>
        <v/>
      </c>
    </row>
    <row r="473">
      <c r="A473" s="8" t="n">
        <v>19</v>
      </c>
      <c r="B473" s="8" t="n">
        <v>2</v>
      </c>
      <c r="C473" s="8" t="n">
        <v>2</v>
      </c>
      <c r="D473" s="8" t="inlineStr">
        <is>
          <t>月卡收益</t>
        </is>
      </c>
      <c r="E473" s="9">
        <f>K472</f>
        <v/>
      </c>
      <c r="F473" s="9" t="n">
        <v>1540</v>
      </c>
      <c r="G473" s="9" t="n">
        <v>0</v>
      </c>
      <c r="H473" s="9" t="n">
        <v>0</v>
      </c>
      <c r="I473" s="9" t="n">
        <v>0</v>
      </c>
      <c r="J473" s="9" t="n">
        <v>5920</v>
      </c>
      <c r="K473" s="9">
        <f>E473+F473+G473+H473+I473-J473</f>
        <v/>
      </c>
      <c r="L473" s="10">
        <f>Q472</f>
        <v/>
      </c>
      <c r="M473" s="10" t="n">
        <v>0</v>
      </c>
      <c r="N473" s="10" t="n">
        <v>3</v>
      </c>
      <c r="O473" s="10">
        <f>J473/160</f>
        <v/>
      </c>
      <c r="P473" s="10" t="n">
        <v>40</v>
      </c>
      <c r="Q473" s="10">
        <f>L473+M473+N473+O473-P473</f>
        <v/>
      </c>
      <c r="R473" s="11">
        <f>T472</f>
        <v/>
      </c>
      <c r="S473" s="11">
        <f>N(V473) + N(X473) + N(Z473)</f>
        <v/>
      </c>
      <c r="T473" s="11">
        <f>R473+P473-S473</f>
        <v/>
      </c>
      <c r="U473" s="11" t="inlineStr">
        <is>
          <t>是</t>
        </is>
      </c>
      <c r="V473" s="11" t="n">
        <v>46</v>
      </c>
      <c r="W473" s="11" t="inlineStr">
        <is>
          <t>否</t>
        </is>
      </c>
      <c r="X473" s="11" t="inlineStr">
        <is>
          <t>-</t>
        </is>
      </c>
      <c r="Y473" s="11" t="inlineStr">
        <is>
          <t>-</t>
        </is>
      </c>
      <c r="Z473" s="11" t="n">
        <v>0</v>
      </c>
      <c r="AA473" s="11" t="inlineStr">
        <is>
          <t>无</t>
        </is>
      </c>
      <c r="AB473" s="12">
        <f>AE472</f>
        <v/>
      </c>
      <c r="AC473" s="12" t="n">
        <v>0</v>
      </c>
      <c r="AD473" s="12" t="n">
        <v>0</v>
      </c>
      <c r="AE473" s="12">
        <f>AB473+AC473+AD473</f>
        <v/>
      </c>
      <c r="AF473" s="13">
        <f>AI472</f>
        <v/>
      </c>
      <c r="AG473" s="13" t="n">
        <v>0</v>
      </c>
      <c r="AH473" s="13" t="n">
        <v>0</v>
      </c>
      <c r="AI473" s="13">
        <f>AF473+AG473+AH473</f>
        <v/>
      </c>
      <c r="AJ473" s="14" t="n">
        <v>0</v>
      </c>
      <c r="AK473" s="14" t="n">
        <v>0</v>
      </c>
      <c r="AL473" s="14" t="n">
        <v>0</v>
      </c>
      <c r="AM473" s="14">
        <f>AJ473+AK473+AL473</f>
        <v/>
      </c>
      <c r="AN473" s="14">
        <f>AN472+AM473</f>
        <v/>
      </c>
    </row>
    <row r="474">
      <c r="A474" s="8" t="n">
        <v>19</v>
      </c>
      <c r="B474" s="8" t="n">
        <v>3</v>
      </c>
      <c r="C474" s="8" t="n">
        <v>1</v>
      </c>
      <c r="D474" s="8" t="inlineStr">
        <is>
          <t>版本免费+义相逢 + 月卡收益 [月卡续费-30元]</t>
        </is>
      </c>
      <c r="E474" s="9">
        <f>K473</f>
        <v/>
      </c>
      <c r="F474" s="9" t="n">
        <v>1540</v>
      </c>
      <c r="G474" s="9" t="n">
        <v>4800</v>
      </c>
      <c r="H474" s="9" t="n">
        <v>0</v>
      </c>
      <c r="I474" s="9" t="n">
        <v>0</v>
      </c>
      <c r="J474" s="9" t="n">
        <v>0</v>
      </c>
      <c r="K474" s="9">
        <f>E474+F474+G474+H474+I474-J474</f>
        <v/>
      </c>
      <c r="L474" s="10">
        <f>Q473</f>
        <v/>
      </c>
      <c r="M474" s="10" t="n">
        <v>85</v>
      </c>
      <c r="N474" s="10" t="n">
        <v>6</v>
      </c>
      <c r="O474" s="10">
        <f>J474/160</f>
        <v/>
      </c>
      <c r="P474" s="10" t="n">
        <v>60</v>
      </c>
      <c r="Q474" s="10">
        <f>L474+M474+N474+O474-P474</f>
        <v/>
      </c>
      <c r="R474" s="11">
        <f>T473</f>
        <v/>
      </c>
      <c r="S474" s="11">
        <f>N(V474) + N(X474) + N(Z474)</f>
        <v/>
      </c>
      <c r="T474" s="11">
        <f>R474+P474-S474</f>
        <v/>
      </c>
      <c r="U474" s="11" t="inlineStr">
        <is>
          <t>是</t>
        </is>
      </c>
      <c r="V474" s="11" t="n">
        <v>53</v>
      </c>
      <c r="W474" s="11" t="inlineStr">
        <is>
          <t>否</t>
        </is>
      </c>
      <c r="X474" s="11" t="inlineStr">
        <is>
          <t>-</t>
        </is>
      </c>
      <c r="Y474" s="11" t="inlineStr">
        <is>
          <t>-</t>
        </is>
      </c>
      <c r="Z474" s="11" t="n">
        <v>0</v>
      </c>
      <c r="AA474" s="11" t="inlineStr">
        <is>
          <t>无</t>
        </is>
      </c>
      <c r="AB474" s="12">
        <f>AE473</f>
        <v/>
      </c>
      <c r="AC474" s="12" t="n">
        <v>4</v>
      </c>
      <c r="AD474" s="12" t="n">
        <v>0</v>
      </c>
      <c r="AE474" s="12">
        <f>AB474+AC474+AD474</f>
        <v/>
      </c>
      <c r="AF474" s="13">
        <f>AI473</f>
        <v/>
      </c>
      <c r="AG474" s="13" t="n">
        <v>0</v>
      </c>
      <c r="AH474" s="13" t="n">
        <v>0</v>
      </c>
      <c r="AI474" s="13">
        <f>AF474+AG474+AH474</f>
        <v/>
      </c>
      <c r="AJ474" s="14" t="n">
        <v>30</v>
      </c>
      <c r="AK474" s="14" t="n">
        <v>50</v>
      </c>
      <c r="AL474" s="14" t="n">
        <v>0</v>
      </c>
      <c r="AM474" s="14">
        <f>AJ474+AK474+AL474</f>
        <v/>
      </c>
      <c r="AN474" s="14">
        <f>AN473+AM474</f>
        <v/>
      </c>
    </row>
    <row r="475">
      <c r="A475" s="8" t="n">
        <v>19</v>
      </c>
      <c r="B475" s="8" t="n">
        <v>3</v>
      </c>
      <c r="C475" s="8" t="n">
        <v>2</v>
      </c>
      <c r="D475" s="8" t="inlineStr">
        <is>
          <t>月卡收益</t>
        </is>
      </c>
      <c r="E475" s="9">
        <f>K474</f>
        <v/>
      </c>
      <c r="F475" s="9" t="n">
        <v>1540</v>
      </c>
      <c r="G475" s="9" t="n">
        <v>0</v>
      </c>
      <c r="H475" s="9" t="n">
        <v>0</v>
      </c>
      <c r="I475" s="9" t="n">
        <v>0</v>
      </c>
      <c r="J475" s="9" t="n">
        <v>8480</v>
      </c>
      <c r="K475" s="9">
        <f>E475+F475+G475+H475+I475-J475</f>
        <v/>
      </c>
      <c r="L475" s="10">
        <f>Q474</f>
        <v/>
      </c>
      <c r="M475" s="10" t="n">
        <v>0</v>
      </c>
      <c r="N475" s="10" t="n">
        <v>11</v>
      </c>
      <c r="O475" s="10">
        <f>J475/160</f>
        <v/>
      </c>
      <c r="P475" s="10" t="n">
        <v>90</v>
      </c>
      <c r="Q475" s="10">
        <f>L475+M475+N475+O475-P475</f>
        <v/>
      </c>
      <c r="R475" s="11">
        <f>T474</f>
        <v/>
      </c>
      <c r="S475" s="11">
        <f>N(V475) + N(X475) + N(Z475)</f>
        <v/>
      </c>
      <c r="T475" s="11">
        <f>R475+P475-S475</f>
        <v/>
      </c>
      <c r="U475" s="11" t="inlineStr">
        <is>
          <t>是</t>
        </is>
      </c>
      <c r="V475" s="11" t="n">
        <v>50</v>
      </c>
      <c r="W475" s="11" t="inlineStr">
        <is>
          <t>是</t>
        </is>
      </c>
      <c r="X475" s="11" t="n">
        <v>48</v>
      </c>
      <c r="Y475" s="11" t="inlineStr">
        <is>
          <t>-</t>
        </is>
      </c>
      <c r="Z475" s="11" t="n">
        <v>0</v>
      </c>
      <c r="AA475" s="11" t="inlineStr">
        <is>
          <t>无</t>
        </is>
      </c>
      <c r="AB475" s="12">
        <f>AE474</f>
        <v/>
      </c>
      <c r="AC475" s="12" t="n">
        <v>0</v>
      </c>
      <c r="AD475" s="12" t="n">
        <v>0</v>
      </c>
      <c r="AE475" s="12">
        <f>AB475+AC475+AD475</f>
        <v/>
      </c>
      <c r="AF475" s="13">
        <f>AI474</f>
        <v/>
      </c>
      <c r="AG475" s="13" t="n">
        <v>0</v>
      </c>
      <c r="AH475" s="13" t="n">
        <v>0</v>
      </c>
      <c r="AI475" s="13">
        <f>AF475+AG475+AH475</f>
        <v/>
      </c>
      <c r="AJ475" s="14" t="n">
        <v>0</v>
      </c>
      <c r="AK475" s="14" t="n">
        <v>0</v>
      </c>
      <c r="AL475" s="14" t="n">
        <v>0</v>
      </c>
      <c r="AM475" s="14">
        <f>AJ475+AK475+AL475</f>
        <v/>
      </c>
      <c r="AN475" s="14">
        <f>AN474+AM475</f>
        <v/>
      </c>
    </row>
    <row r="476">
      <c r="A476" s="8" t="n">
        <v>19</v>
      </c>
      <c r="B476" s="8" t="n">
        <v>4</v>
      </c>
      <c r="C476" s="8" t="n">
        <v>1</v>
      </c>
      <c r="D476" s="8" t="inlineStr">
        <is>
          <t>版本免费+义相逢 + 月卡收益 [月卡续费-30元]</t>
        </is>
      </c>
      <c r="E476" s="9">
        <f>K475</f>
        <v/>
      </c>
      <c r="F476" s="9" t="n">
        <v>1540</v>
      </c>
      <c r="G476" s="9" t="n">
        <v>4800</v>
      </c>
      <c r="H476" s="9" t="n">
        <v>0</v>
      </c>
      <c r="I476" s="9" t="n">
        <v>0</v>
      </c>
      <c r="J476" s="9" t="n">
        <v>0</v>
      </c>
      <c r="K476" s="9">
        <f>E476+F476+G476+H476+I476-J476</f>
        <v/>
      </c>
      <c r="L476" s="10">
        <f>Q475</f>
        <v/>
      </c>
      <c r="M476" s="10" t="n">
        <v>85</v>
      </c>
      <c r="N476" s="10" t="n">
        <v>6</v>
      </c>
      <c r="O476" s="10">
        <f>J476/160</f>
        <v/>
      </c>
      <c r="P476" s="10" t="n">
        <v>60</v>
      </c>
      <c r="Q476" s="10">
        <f>L476+M476+N476+O476-P476</f>
        <v/>
      </c>
      <c r="R476" s="11">
        <f>T475</f>
        <v/>
      </c>
      <c r="S476" s="11">
        <f>N(V476) + N(X476) + N(Z476)</f>
        <v/>
      </c>
      <c r="T476" s="11">
        <f>R476+P476-S476</f>
        <v/>
      </c>
      <c r="U476" s="11" t="inlineStr">
        <is>
          <t>是</t>
        </is>
      </c>
      <c r="V476" s="11" t="n">
        <v>53</v>
      </c>
      <c r="W476" s="11" t="inlineStr">
        <is>
          <t>否</t>
        </is>
      </c>
      <c r="X476" s="11" t="inlineStr">
        <is>
          <t>-</t>
        </is>
      </c>
      <c r="Y476" s="11" t="inlineStr">
        <is>
          <t>-</t>
        </is>
      </c>
      <c r="Z476" s="11" t="n">
        <v>0</v>
      </c>
      <c r="AA476" s="11" t="inlineStr">
        <is>
          <t>无</t>
        </is>
      </c>
      <c r="AB476" s="12">
        <f>AE475</f>
        <v/>
      </c>
      <c r="AC476" s="12" t="n">
        <v>4</v>
      </c>
      <c r="AD476" s="12" t="n">
        <v>0</v>
      </c>
      <c r="AE476" s="12">
        <f>AB476+AC476+AD476</f>
        <v/>
      </c>
      <c r="AF476" s="13">
        <f>AI475</f>
        <v/>
      </c>
      <c r="AG476" s="13" t="n">
        <v>0</v>
      </c>
      <c r="AH476" s="13" t="n">
        <v>0</v>
      </c>
      <c r="AI476" s="13">
        <f>AF476+AG476+AH476</f>
        <v/>
      </c>
      <c r="AJ476" s="14" t="n">
        <v>30</v>
      </c>
      <c r="AK476" s="14" t="n">
        <v>50</v>
      </c>
      <c r="AL476" s="14" t="n">
        <v>0</v>
      </c>
      <c r="AM476" s="14">
        <f>AJ476+AK476+AL476</f>
        <v/>
      </c>
      <c r="AN476" s="14">
        <f>AN475+AM476</f>
        <v/>
      </c>
    </row>
    <row r="477">
      <c r="A477" s="8" t="n">
        <v>19</v>
      </c>
      <c r="B477" s="8" t="n">
        <v>4</v>
      </c>
      <c r="C477" s="8" t="n">
        <v>2</v>
      </c>
      <c r="D477" s="8" t="inlineStr">
        <is>
          <t>月卡收益</t>
        </is>
      </c>
      <c r="E477" s="9">
        <f>K476</f>
        <v/>
      </c>
      <c r="F477" s="9" t="n">
        <v>1540</v>
      </c>
      <c r="G477" s="9" t="n">
        <v>0</v>
      </c>
      <c r="H477" s="9" t="n">
        <v>0</v>
      </c>
      <c r="I477" s="9" t="n">
        <v>0</v>
      </c>
      <c r="J477" s="9" t="n">
        <v>7680</v>
      </c>
      <c r="K477" s="9">
        <f>E477+F477+G477+H477+I477-J477</f>
        <v/>
      </c>
      <c r="L477" s="10">
        <f>Q476</f>
        <v/>
      </c>
      <c r="M477" s="10" t="n">
        <v>0</v>
      </c>
      <c r="N477" s="10" t="n">
        <v>11</v>
      </c>
      <c r="O477" s="10">
        <f>J477/160</f>
        <v/>
      </c>
      <c r="P477" s="10" t="n">
        <v>90</v>
      </c>
      <c r="Q477" s="10">
        <f>L477+M477+N477+O477-P477</f>
        <v/>
      </c>
      <c r="R477" s="11">
        <f>T476</f>
        <v/>
      </c>
      <c r="S477" s="11">
        <f>N(V477) + N(X477) + N(Z477)</f>
        <v/>
      </c>
      <c r="T477" s="11">
        <f>R477+P477-S477</f>
        <v/>
      </c>
      <c r="U477" s="11" t="inlineStr">
        <is>
          <t>是</t>
        </is>
      </c>
      <c r="V477" s="11" t="n">
        <v>48</v>
      </c>
      <c r="W477" s="11" t="inlineStr">
        <is>
          <t>是</t>
        </is>
      </c>
      <c r="X477" s="11" t="n">
        <v>48</v>
      </c>
      <c r="Y477" s="11" t="inlineStr">
        <is>
          <t>-</t>
        </is>
      </c>
      <c r="Z477" s="11" t="n">
        <v>0</v>
      </c>
      <c r="AA477" s="11" t="inlineStr">
        <is>
          <t>无</t>
        </is>
      </c>
      <c r="AB477" s="12">
        <f>AE476</f>
        <v/>
      </c>
      <c r="AC477" s="12" t="n">
        <v>0</v>
      </c>
      <c r="AD477" s="12" t="n">
        <v>0</v>
      </c>
      <c r="AE477" s="12">
        <f>AB477+AC477+AD477</f>
        <v/>
      </c>
      <c r="AF477" s="13">
        <f>AI476</f>
        <v/>
      </c>
      <c r="AG477" s="13" t="n">
        <v>0</v>
      </c>
      <c r="AH477" s="13" t="n">
        <v>0</v>
      </c>
      <c r="AI477" s="13">
        <f>AF477+AG477+AH477</f>
        <v/>
      </c>
      <c r="AJ477" s="14" t="n">
        <v>0</v>
      </c>
      <c r="AK477" s="14" t="n">
        <v>0</v>
      </c>
      <c r="AL477" s="14" t="n">
        <v>0</v>
      </c>
      <c r="AM477" s="14">
        <f>AJ477+AK477+AL477</f>
        <v/>
      </c>
      <c r="AN477" s="14">
        <f>AN476+AM477</f>
        <v/>
      </c>
    </row>
    <row r="478">
      <c r="A478" s="8" t="n">
        <v>19</v>
      </c>
      <c r="B478" s="8" t="n">
        <v>5</v>
      </c>
      <c r="C478" s="8" t="n">
        <v>1</v>
      </c>
      <c r="D478" s="8" t="inlineStr">
        <is>
          <t>版本免费+义相逢 + 月卡收益 [月卡续费-30元]</t>
        </is>
      </c>
      <c r="E478" s="9">
        <f>K477</f>
        <v/>
      </c>
      <c r="F478" s="9" t="n">
        <v>1540</v>
      </c>
      <c r="G478" s="9" t="n">
        <v>4800</v>
      </c>
      <c r="H478" s="9" t="n">
        <v>0</v>
      </c>
      <c r="I478" s="9" t="n">
        <v>0</v>
      </c>
      <c r="J478" s="9" t="n">
        <v>0</v>
      </c>
      <c r="K478" s="9">
        <f>E478+F478+G478+H478+I478-J478</f>
        <v/>
      </c>
      <c r="L478" s="10">
        <f>Q477</f>
        <v/>
      </c>
      <c r="M478" s="10" t="n">
        <v>85</v>
      </c>
      <c r="N478" s="10" t="n">
        <v>6</v>
      </c>
      <c r="O478" s="10">
        <f>J478/160</f>
        <v/>
      </c>
      <c r="P478" s="10" t="n">
        <v>60</v>
      </c>
      <c r="Q478" s="10">
        <f>L478+M478+N478+O478-P478</f>
        <v/>
      </c>
      <c r="R478" s="11">
        <f>T477</f>
        <v/>
      </c>
      <c r="S478" s="11">
        <f>N(V478) + N(X478) + N(Z478)</f>
        <v/>
      </c>
      <c r="T478" s="11">
        <f>R478+P478-S478</f>
        <v/>
      </c>
      <c r="U478" s="11" t="inlineStr">
        <is>
          <t>是</t>
        </is>
      </c>
      <c r="V478" s="11" t="n">
        <v>50</v>
      </c>
      <c r="W478" s="11" t="inlineStr">
        <is>
          <t>否</t>
        </is>
      </c>
      <c r="X478" s="11" t="inlineStr">
        <is>
          <t>-</t>
        </is>
      </c>
      <c r="Y478" s="11" t="inlineStr">
        <is>
          <t>-</t>
        </is>
      </c>
      <c r="Z478" s="11" t="n">
        <v>0</v>
      </c>
      <c r="AA478" s="11" t="inlineStr">
        <is>
          <t>垫到60抽</t>
        </is>
      </c>
      <c r="AB478" s="12">
        <f>AE477</f>
        <v/>
      </c>
      <c r="AC478" s="12" t="n">
        <v>4</v>
      </c>
      <c r="AD478" s="12" t="n">
        <v>0</v>
      </c>
      <c r="AE478" s="12">
        <f>AB478+AC478+AD478</f>
        <v/>
      </c>
      <c r="AF478" s="13">
        <f>AI477</f>
        <v/>
      </c>
      <c r="AG478" s="13" t="n">
        <v>0</v>
      </c>
      <c r="AH478" s="13" t="n">
        <v>0</v>
      </c>
      <c r="AI478" s="13">
        <f>AF478+AG478+AH478</f>
        <v/>
      </c>
      <c r="AJ478" s="14" t="n">
        <v>30</v>
      </c>
      <c r="AK478" s="14" t="n">
        <v>50</v>
      </c>
      <c r="AL478" s="14" t="n">
        <v>0</v>
      </c>
      <c r="AM478" s="14">
        <f>AJ478+AK478+AL478</f>
        <v/>
      </c>
      <c r="AN478" s="14">
        <f>AN477+AM478</f>
        <v/>
      </c>
    </row>
    <row r="479">
      <c r="A479" s="8" t="n">
        <v>19</v>
      </c>
      <c r="B479" s="8" t="n">
        <v>5</v>
      </c>
      <c r="C479" s="8" t="n">
        <v>2</v>
      </c>
      <c r="D479" s="8" t="inlineStr">
        <is>
          <t>月卡收益</t>
        </is>
      </c>
      <c r="E479" s="9">
        <f>K478</f>
        <v/>
      </c>
      <c r="F479" s="9" t="n">
        <v>1540</v>
      </c>
      <c r="G479" s="9" t="n">
        <v>0</v>
      </c>
      <c r="H479" s="9" t="n">
        <v>0</v>
      </c>
      <c r="I479" s="9" t="n">
        <v>0</v>
      </c>
      <c r="J479" s="9" t="n">
        <v>7680</v>
      </c>
      <c r="K479" s="9">
        <f>E479+F479+G479+H479+I479-J479</f>
        <v/>
      </c>
      <c r="L479" s="10">
        <f>Q478</f>
        <v/>
      </c>
      <c r="M479" s="10" t="n">
        <v>0</v>
      </c>
      <c r="N479" s="10" t="n">
        <v>11</v>
      </c>
      <c r="O479" s="10">
        <f>J479/160</f>
        <v/>
      </c>
      <c r="P479" s="10" t="n">
        <v>90</v>
      </c>
      <c r="Q479" s="10">
        <f>L479+M479+N479+O479-P479</f>
        <v/>
      </c>
      <c r="R479" s="11">
        <f>T478</f>
        <v/>
      </c>
      <c r="S479" s="11">
        <f>N(V479) + N(X479) + N(Z479)</f>
        <v/>
      </c>
      <c r="T479" s="11">
        <f>R479+P479-S479</f>
        <v/>
      </c>
      <c r="U479" s="11" t="inlineStr">
        <is>
          <t>是</t>
        </is>
      </c>
      <c r="V479" s="11" t="n">
        <v>46</v>
      </c>
      <c r="W479" s="11" t="inlineStr">
        <is>
          <t>是</t>
        </is>
      </c>
      <c r="X479" s="11" t="n">
        <v>47</v>
      </c>
      <c r="Y479" s="11" t="inlineStr">
        <is>
          <t>-</t>
        </is>
      </c>
      <c r="Z479" s="11" t="n">
        <v>0</v>
      </c>
      <c r="AA479" s="11" t="inlineStr">
        <is>
          <t>无</t>
        </is>
      </c>
      <c r="AB479" s="12">
        <f>AE478</f>
        <v/>
      </c>
      <c r="AC479" s="12" t="n">
        <v>0</v>
      </c>
      <c r="AD479" s="12" t="n">
        <v>0</v>
      </c>
      <c r="AE479" s="12">
        <f>AB479+AC479+AD479</f>
        <v/>
      </c>
      <c r="AF479" s="13">
        <f>AI478</f>
        <v/>
      </c>
      <c r="AG479" s="13" t="n">
        <v>0</v>
      </c>
      <c r="AH479" s="13" t="n">
        <v>0</v>
      </c>
      <c r="AI479" s="13">
        <f>AF479+AG479+AH479</f>
        <v/>
      </c>
      <c r="AJ479" s="14" t="n">
        <v>0</v>
      </c>
      <c r="AK479" s="14" t="n">
        <v>0</v>
      </c>
      <c r="AL479" s="14" t="n">
        <v>0</v>
      </c>
      <c r="AM479" s="14">
        <f>AJ479+AK479+AL479</f>
        <v/>
      </c>
      <c r="AN479" s="14">
        <f>AN478+AM479</f>
        <v/>
      </c>
    </row>
    <row r="480">
      <c r="A480" s="8" t="n">
        <v>19</v>
      </c>
      <c r="B480" s="8" t="n">
        <v>6</v>
      </c>
      <c r="C480" s="8" t="n">
        <v>1</v>
      </c>
      <c r="D480" s="8" t="inlineStr">
        <is>
          <t>版本免费+义相逢 + 月卡收益 [月卡续费-30元]</t>
        </is>
      </c>
      <c r="E480" s="9">
        <f>K479</f>
        <v/>
      </c>
      <c r="F480" s="9" t="n">
        <v>1540</v>
      </c>
      <c r="G480" s="9" t="n">
        <v>4800</v>
      </c>
      <c r="H480" s="9" t="n">
        <v>0</v>
      </c>
      <c r="I480" s="9" t="n">
        <v>0</v>
      </c>
      <c r="J480" s="9" t="n">
        <v>0</v>
      </c>
      <c r="K480" s="9">
        <f>E480+F480+G480+H480+I480-J480</f>
        <v/>
      </c>
      <c r="L480" s="10">
        <f>Q479</f>
        <v/>
      </c>
      <c r="M480" s="10" t="n">
        <v>85</v>
      </c>
      <c r="N480" s="10" t="n">
        <v>6</v>
      </c>
      <c r="O480" s="10">
        <f>J480/160</f>
        <v/>
      </c>
      <c r="P480" s="10" t="n">
        <v>60</v>
      </c>
      <c r="Q480" s="10">
        <f>L480+M480+N480+O480-P480</f>
        <v/>
      </c>
      <c r="R480" s="11">
        <f>T479</f>
        <v/>
      </c>
      <c r="S480" s="11">
        <f>N(V480) + N(X480) + N(Z480)</f>
        <v/>
      </c>
      <c r="T480" s="11">
        <f>R480+P480-S480</f>
        <v/>
      </c>
      <c r="U480" s="11" t="inlineStr">
        <is>
          <t>是</t>
        </is>
      </c>
      <c r="V480" s="11" t="n">
        <v>50</v>
      </c>
      <c r="W480" s="11" t="inlineStr">
        <is>
          <t>否</t>
        </is>
      </c>
      <c r="X480" s="11" t="inlineStr">
        <is>
          <t>-</t>
        </is>
      </c>
      <c r="Y480" s="11" t="inlineStr">
        <is>
          <t>-</t>
        </is>
      </c>
      <c r="Z480" s="11" t="n">
        <v>0</v>
      </c>
      <c r="AA480" s="11" t="inlineStr">
        <is>
          <t>垫到60抽</t>
        </is>
      </c>
      <c r="AB480" s="12">
        <f>AE479</f>
        <v/>
      </c>
      <c r="AC480" s="12" t="n">
        <v>4</v>
      </c>
      <c r="AD480" s="12" t="n">
        <v>0</v>
      </c>
      <c r="AE480" s="12">
        <f>AB480+AC480+AD480</f>
        <v/>
      </c>
      <c r="AF480" s="13">
        <f>AI479</f>
        <v/>
      </c>
      <c r="AG480" s="13" t="n">
        <v>0</v>
      </c>
      <c r="AH480" s="13" t="n">
        <v>0</v>
      </c>
      <c r="AI480" s="13">
        <f>AF480+AG480+AH480</f>
        <v/>
      </c>
      <c r="AJ480" s="14" t="n">
        <v>30</v>
      </c>
      <c r="AK480" s="14" t="n">
        <v>50</v>
      </c>
      <c r="AL480" s="14" t="n">
        <v>0</v>
      </c>
      <c r="AM480" s="14">
        <f>AJ480+AK480+AL480</f>
        <v/>
      </c>
      <c r="AN480" s="14">
        <f>AN479+AM480</f>
        <v/>
      </c>
    </row>
    <row r="481">
      <c r="A481" s="8" t="n">
        <v>19</v>
      </c>
      <c r="B481" s="8" t="n">
        <v>6</v>
      </c>
      <c r="C481" s="8" t="n">
        <v>2</v>
      </c>
      <c r="D481" s="8" t="inlineStr">
        <is>
          <t>月卡收益</t>
        </is>
      </c>
      <c r="E481" s="9">
        <f>K480</f>
        <v/>
      </c>
      <c r="F481" s="9" t="n">
        <v>1540</v>
      </c>
      <c r="G481" s="9" t="n">
        <v>0</v>
      </c>
      <c r="H481" s="9" t="n">
        <v>0</v>
      </c>
      <c r="I481" s="9" t="n">
        <v>0</v>
      </c>
      <c r="J481" s="9" t="n">
        <v>0</v>
      </c>
      <c r="K481" s="9">
        <f>E481+F481+G481+H481+I481-J481</f>
        <v/>
      </c>
      <c r="L481" s="10">
        <f>Q480</f>
        <v/>
      </c>
      <c r="M481" s="10" t="n">
        <v>0</v>
      </c>
      <c r="N481" s="10" t="n">
        <v>3</v>
      </c>
      <c r="O481" s="10">
        <f>J481/160</f>
        <v/>
      </c>
      <c r="P481" s="10" t="n">
        <v>30</v>
      </c>
      <c r="Q481" s="10">
        <f>L481+M481+N481+O481-P481</f>
        <v/>
      </c>
      <c r="R481" s="11">
        <f>T480</f>
        <v/>
      </c>
      <c r="S481" s="11">
        <f>N(V481) + N(X481) + N(Z481)</f>
        <v/>
      </c>
      <c r="T481" s="11">
        <f>R481+P481-S481</f>
        <v/>
      </c>
      <c r="U481" s="11" t="inlineStr">
        <is>
          <t>是</t>
        </is>
      </c>
      <c r="V481" s="11" t="n">
        <v>48</v>
      </c>
      <c r="W481" s="11" t="inlineStr">
        <is>
          <t>否</t>
        </is>
      </c>
      <c r="X481" s="11" t="inlineStr">
        <is>
          <t>-</t>
        </is>
      </c>
      <c r="Y481" s="11" t="inlineStr">
        <is>
          <t>-</t>
        </is>
      </c>
      <c r="Z481" s="11" t="n">
        <v>0</v>
      </c>
      <c r="AA481" s="11" t="inlineStr">
        <is>
          <t>无</t>
        </is>
      </c>
      <c r="AB481" s="12">
        <f>AE480</f>
        <v/>
      </c>
      <c r="AC481" s="12" t="n">
        <v>0</v>
      </c>
      <c r="AD481" s="12" t="n">
        <v>0</v>
      </c>
      <c r="AE481" s="12">
        <f>AB481+AC481+AD481</f>
        <v/>
      </c>
      <c r="AF481" s="13">
        <f>AI480</f>
        <v/>
      </c>
      <c r="AG481" s="13" t="n">
        <v>0</v>
      </c>
      <c r="AH481" s="13" t="n">
        <v>0</v>
      </c>
      <c r="AI481" s="13">
        <f>AF481+AG481+AH481</f>
        <v/>
      </c>
      <c r="AJ481" s="14" t="n">
        <v>0</v>
      </c>
      <c r="AK481" s="14" t="n">
        <v>0</v>
      </c>
      <c r="AL481" s="14" t="n">
        <v>0</v>
      </c>
      <c r="AM481" s="14">
        <f>AJ481+AK481+AL481</f>
        <v/>
      </c>
      <c r="AN481" s="14">
        <f>AN480+AM481</f>
        <v/>
      </c>
    </row>
    <row r="482">
      <c r="A482" s="8" t="n">
        <v>19</v>
      </c>
      <c r="B482" s="8" t="n">
        <v>7</v>
      </c>
      <c r="C482" s="8" t="n">
        <v>1</v>
      </c>
      <c r="D482" s="8" t="inlineStr">
        <is>
          <t>版本免费+义相逢 + 月卡收益</t>
        </is>
      </c>
      <c r="E482" s="9">
        <f>K481</f>
        <v/>
      </c>
      <c r="F482" s="9" t="n">
        <v>1540</v>
      </c>
      <c r="G482" s="9" t="n">
        <v>4800</v>
      </c>
      <c r="H482" s="9" t="n">
        <v>0</v>
      </c>
      <c r="I482" s="9" t="n">
        <v>0</v>
      </c>
      <c r="J482" s="9" t="n">
        <v>0</v>
      </c>
      <c r="K482" s="9">
        <f>E482+F482+G482+H482+I482-J482</f>
        <v/>
      </c>
      <c r="L482" s="10">
        <f>Q481</f>
        <v/>
      </c>
      <c r="M482" s="10" t="n">
        <v>85</v>
      </c>
      <c r="N482" s="10" t="n">
        <v>6</v>
      </c>
      <c r="O482" s="10">
        <f>J482/160</f>
        <v/>
      </c>
      <c r="P482" s="10" t="n">
        <v>60</v>
      </c>
      <c r="Q482" s="10">
        <f>L482+M482+N482+O482-P482</f>
        <v/>
      </c>
      <c r="R482" s="11">
        <f>T481</f>
        <v/>
      </c>
      <c r="S482" s="11">
        <f>N(V482) + N(X482) + N(Z482)</f>
        <v/>
      </c>
      <c r="T482" s="11">
        <f>R482+P482-S482</f>
        <v/>
      </c>
      <c r="U482" s="11" t="inlineStr">
        <is>
          <t>是</t>
        </is>
      </c>
      <c r="V482" s="11" t="n">
        <v>47</v>
      </c>
      <c r="W482" s="11" t="inlineStr">
        <is>
          <t>否</t>
        </is>
      </c>
      <c r="X482" s="11" t="inlineStr">
        <is>
          <t>-</t>
        </is>
      </c>
      <c r="Y482" s="11" t="inlineStr">
        <is>
          <t>-</t>
        </is>
      </c>
      <c r="Z482" s="11" t="n">
        <v>0</v>
      </c>
      <c r="AA482" s="11" t="inlineStr">
        <is>
          <t>垫到60抽</t>
        </is>
      </c>
      <c r="AB482" s="12">
        <f>AE481</f>
        <v/>
      </c>
      <c r="AC482" s="12" t="n">
        <v>4</v>
      </c>
      <c r="AD482" s="12" t="n">
        <v>0</v>
      </c>
      <c r="AE482" s="12">
        <f>AB482+AC482+AD482</f>
        <v/>
      </c>
      <c r="AF482" s="13">
        <f>AI481</f>
        <v/>
      </c>
      <c r="AG482" s="13" t="n">
        <v>0</v>
      </c>
      <c r="AH482" s="13" t="n">
        <v>0</v>
      </c>
      <c r="AI482" s="13">
        <f>AF482+AG482+AH482</f>
        <v/>
      </c>
      <c r="AJ482" s="14" t="n">
        <v>0</v>
      </c>
      <c r="AK482" s="14" t="n">
        <v>50</v>
      </c>
      <c r="AL482" s="14" t="n">
        <v>0</v>
      </c>
      <c r="AM482" s="14">
        <f>AJ482+AK482+AL482</f>
        <v/>
      </c>
      <c r="AN482" s="14">
        <f>AN481+AM482</f>
        <v/>
      </c>
    </row>
    <row r="483">
      <c r="A483" s="8" t="n">
        <v>19</v>
      </c>
      <c r="B483" s="8" t="n">
        <v>7</v>
      </c>
      <c r="C483" s="8" t="n">
        <v>2</v>
      </c>
      <c r="D483" s="8" t="inlineStr">
        <is>
          <t>月卡收益 [月卡续费-30元]</t>
        </is>
      </c>
      <c r="E483" s="9">
        <f>K482</f>
        <v/>
      </c>
      <c r="F483" s="9" t="n">
        <v>1540</v>
      </c>
      <c r="G483" s="9" t="n">
        <v>0</v>
      </c>
      <c r="H483" s="9" t="n">
        <v>0</v>
      </c>
      <c r="I483" s="9" t="n">
        <v>0</v>
      </c>
      <c r="J483" s="9" t="n">
        <v>7040</v>
      </c>
      <c r="K483" s="9">
        <f>E483+F483+G483+H483+I483-J483</f>
        <v/>
      </c>
      <c r="L483" s="10">
        <f>Q482</f>
        <v/>
      </c>
      <c r="M483" s="10" t="n">
        <v>0</v>
      </c>
      <c r="N483" s="10" t="n">
        <v>11</v>
      </c>
      <c r="O483" s="10">
        <f>J483/160</f>
        <v/>
      </c>
      <c r="P483" s="10" t="n">
        <v>90</v>
      </c>
      <c r="Q483" s="10">
        <f>L483+M483+N483+O483-P483</f>
        <v/>
      </c>
      <c r="R483" s="11">
        <f>T482</f>
        <v/>
      </c>
      <c r="S483" s="11">
        <f>N(V483) + N(X483) + N(Z483)</f>
        <v/>
      </c>
      <c r="T483" s="11">
        <f>R483+P483-S483</f>
        <v/>
      </c>
      <c r="U483" s="11" t="inlineStr">
        <is>
          <t>是</t>
        </is>
      </c>
      <c r="V483" s="11" t="n">
        <v>47</v>
      </c>
      <c r="W483" s="11" t="inlineStr">
        <is>
          <t>是</t>
        </is>
      </c>
      <c r="X483" s="11" t="n">
        <v>49</v>
      </c>
      <c r="Y483" s="11" t="inlineStr">
        <is>
          <t>-</t>
        </is>
      </c>
      <c r="Z483" s="11" t="n">
        <v>0</v>
      </c>
      <c r="AA483" s="11" t="inlineStr">
        <is>
          <t>无</t>
        </is>
      </c>
      <c r="AB483" s="12">
        <f>AE482</f>
        <v/>
      </c>
      <c r="AC483" s="12" t="n">
        <v>0</v>
      </c>
      <c r="AD483" s="12" t="n">
        <v>0</v>
      </c>
      <c r="AE483" s="12">
        <f>AB483+AC483+AD483</f>
        <v/>
      </c>
      <c r="AF483" s="13">
        <f>AI482</f>
        <v/>
      </c>
      <c r="AG483" s="13" t="n">
        <v>0</v>
      </c>
      <c r="AH483" s="13" t="n">
        <v>0</v>
      </c>
      <c r="AI483" s="13">
        <f>AF483+AG483+AH483</f>
        <v/>
      </c>
      <c r="AJ483" s="14" t="n">
        <v>30</v>
      </c>
      <c r="AK483" s="14" t="n">
        <v>0</v>
      </c>
      <c r="AL483" s="14" t="n">
        <v>0</v>
      </c>
      <c r="AM483" s="14">
        <f>AJ483+AK483+AL483</f>
        <v/>
      </c>
      <c r="AN483" s="14">
        <f>AN482+AM483</f>
        <v/>
      </c>
    </row>
    <row r="484">
      <c r="A484" s="8" t="n">
        <v>19</v>
      </c>
      <c r="B484" s="8" t="n">
        <v>8</v>
      </c>
      <c r="C484" s="8" t="n">
        <v>1</v>
      </c>
      <c r="D484" s="8" t="inlineStr">
        <is>
          <t>版本免费+义相逢 + 月卡收益</t>
        </is>
      </c>
      <c r="E484" s="9">
        <f>K483</f>
        <v/>
      </c>
      <c r="F484" s="9" t="n">
        <v>1540</v>
      </c>
      <c r="G484" s="9" t="n">
        <v>4800</v>
      </c>
      <c r="H484" s="9" t="n">
        <v>0</v>
      </c>
      <c r="I484" s="9" t="n">
        <v>0</v>
      </c>
      <c r="J484" s="9" t="n">
        <v>0</v>
      </c>
      <c r="K484" s="9">
        <f>E484+F484+G484+H484+I484-J484</f>
        <v/>
      </c>
      <c r="L484" s="10">
        <f>Q483</f>
        <v/>
      </c>
      <c r="M484" s="10" t="n">
        <v>85</v>
      </c>
      <c r="N484" s="10" t="n">
        <v>3</v>
      </c>
      <c r="O484" s="10">
        <f>J484/160</f>
        <v/>
      </c>
      <c r="P484" s="10" t="n">
        <v>40</v>
      </c>
      <c r="Q484" s="10">
        <f>L484+M484+N484+O484-P484</f>
        <v/>
      </c>
      <c r="R484" s="11">
        <f>T483</f>
        <v/>
      </c>
      <c r="S484" s="11">
        <f>N(V484) + N(X484) + N(Z484)</f>
        <v/>
      </c>
      <c r="T484" s="11">
        <f>R484+P484-S484</f>
        <v/>
      </c>
      <c r="U484" s="11" t="inlineStr">
        <is>
          <t>是</t>
        </is>
      </c>
      <c r="V484" s="11" t="n">
        <v>48</v>
      </c>
      <c r="W484" s="11" t="inlineStr">
        <is>
          <t>否</t>
        </is>
      </c>
      <c r="X484" s="11" t="inlineStr">
        <is>
          <t>-</t>
        </is>
      </c>
      <c r="Y484" s="11" t="inlineStr">
        <is>
          <t>-</t>
        </is>
      </c>
      <c r="Z484" s="11" t="n">
        <v>0</v>
      </c>
      <c r="AA484" s="11" t="inlineStr">
        <is>
          <t>无</t>
        </is>
      </c>
      <c r="AB484" s="12">
        <f>AE483</f>
        <v/>
      </c>
      <c r="AC484" s="12" t="n">
        <v>4</v>
      </c>
      <c r="AD484" s="12" t="n">
        <v>0</v>
      </c>
      <c r="AE484" s="12">
        <f>AB484+AC484+AD484</f>
        <v/>
      </c>
      <c r="AF484" s="13">
        <f>AI483</f>
        <v/>
      </c>
      <c r="AG484" s="13" t="n">
        <v>0</v>
      </c>
      <c r="AH484" s="13" t="n">
        <v>0</v>
      </c>
      <c r="AI484" s="13">
        <f>AF484+AG484+AH484</f>
        <v/>
      </c>
      <c r="AJ484" s="14" t="n">
        <v>0</v>
      </c>
      <c r="AK484" s="14" t="n">
        <v>50</v>
      </c>
      <c r="AL484" s="14" t="n">
        <v>0</v>
      </c>
      <c r="AM484" s="14">
        <f>AJ484+AK484+AL484</f>
        <v/>
      </c>
      <c r="AN484" s="14">
        <f>AN483+AM484</f>
        <v/>
      </c>
    </row>
    <row r="485">
      <c r="A485" s="8" t="n">
        <v>19</v>
      </c>
      <c r="B485" s="8" t="n">
        <v>8</v>
      </c>
      <c r="C485" s="8" t="n">
        <v>2</v>
      </c>
      <c r="D485" s="8" t="inlineStr">
        <is>
          <t>月卡收益 [月卡续费-30元]</t>
        </is>
      </c>
      <c r="E485" s="9">
        <f>K484</f>
        <v/>
      </c>
      <c r="F485" s="9" t="n">
        <v>1540</v>
      </c>
      <c r="G485" s="9" t="n">
        <v>0</v>
      </c>
      <c r="H485" s="9" t="n">
        <v>0</v>
      </c>
      <c r="I485" s="9" t="n">
        <v>0</v>
      </c>
      <c r="J485" s="9" t="n">
        <v>0</v>
      </c>
      <c r="K485" s="9">
        <f>E485+F485+G485+H485+I485-J485</f>
        <v/>
      </c>
      <c r="L485" s="10">
        <f>Q484</f>
        <v/>
      </c>
      <c r="M485" s="10" t="n">
        <v>0</v>
      </c>
      <c r="N485" s="10" t="n">
        <v>3</v>
      </c>
      <c r="O485" s="10">
        <f>J485/160</f>
        <v/>
      </c>
      <c r="P485" s="10" t="n">
        <v>40</v>
      </c>
      <c r="Q485" s="10">
        <f>L485+M485+N485+O485-P485</f>
        <v/>
      </c>
      <c r="R485" s="11">
        <f>T484</f>
        <v/>
      </c>
      <c r="S485" s="11">
        <f>N(V485) + N(X485) + N(Z485)</f>
        <v/>
      </c>
      <c r="T485" s="11">
        <f>R485+P485-S485</f>
        <v/>
      </c>
      <c r="U485" s="11" t="inlineStr">
        <is>
          <t>是</t>
        </is>
      </c>
      <c r="V485" s="11" t="n">
        <v>40</v>
      </c>
      <c r="W485" s="11" t="inlineStr">
        <is>
          <t>否</t>
        </is>
      </c>
      <c r="X485" s="11" t="inlineStr">
        <is>
          <t>-</t>
        </is>
      </c>
      <c r="Y485" s="11" t="inlineStr">
        <is>
          <t>-</t>
        </is>
      </c>
      <c r="Z485" s="11" t="n">
        <v>0</v>
      </c>
      <c r="AA485" s="11" t="inlineStr">
        <is>
          <t>无</t>
        </is>
      </c>
      <c r="AB485" s="12">
        <f>AE484</f>
        <v/>
      </c>
      <c r="AC485" s="12" t="n">
        <v>0</v>
      </c>
      <c r="AD485" s="12" t="n">
        <v>0</v>
      </c>
      <c r="AE485" s="12">
        <f>AB485+AC485+AD485</f>
        <v/>
      </c>
      <c r="AF485" s="13">
        <f>AI484</f>
        <v/>
      </c>
      <c r="AG485" s="13" t="n">
        <v>0</v>
      </c>
      <c r="AH485" s="13" t="n">
        <v>0</v>
      </c>
      <c r="AI485" s="13">
        <f>AF485+AG485+AH485</f>
        <v/>
      </c>
      <c r="AJ485" s="14" t="n">
        <v>30</v>
      </c>
      <c r="AK485" s="14" t="n">
        <v>0</v>
      </c>
      <c r="AL485" s="14" t="n">
        <v>0</v>
      </c>
      <c r="AM485" s="14">
        <f>AJ485+AK485+AL485</f>
        <v/>
      </c>
      <c r="AN485" s="14">
        <f>AN484+AM485</f>
        <v/>
      </c>
    </row>
    <row r="486">
      <c r="A486" s="8" t="n">
        <v>19</v>
      </c>
      <c r="B486" s="8" t="n">
        <v>9</v>
      </c>
      <c r="C486" s="8" t="n">
        <v>1</v>
      </c>
      <c r="D486" s="8" t="inlineStr">
        <is>
          <t>版本免费+义相逢 + 月卡收益</t>
        </is>
      </c>
      <c r="E486" s="9">
        <f>K485</f>
        <v/>
      </c>
      <c r="F486" s="9" t="n">
        <v>1540</v>
      </c>
      <c r="G486" s="9" t="n">
        <v>4800</v>
      </c>
      <c r="H486" s="9" t="n">
        <v>0</v>
      </c>
      <c r="I486" s="9" t="n">
        <v>0</v>
      </c>
      <c r="J486" s="9" t="n">
        <v>0</v>
      </c>
      <c r="K486" s="9">
        <f>E486+F486+G486+H486+I486-J486</f>
        <v/>
      </c>
      <c r="L486" s="10">
        <f>Q485</f>
        <v/>
      </c>
      <c r="M486" s="10" t="n">
        <v>85</v>
      </c>
      <c r="N486" s="10" t="n">
        <v>6</v>
      </c>
      <c r="O486" s="10">
        <f>J486/160</f>
        <v/>
      </c>
      <c r="P486" s="10" t="n">
        <v>60</v>
      </c>
      <c r="Q486" s="10">
        <f>L486+M486+N486+O486-P486</f>
        <v/>
      </c>
      <c r="R486" s="11">
        <f>T485</f>
        <v/>
      </c>
      <c r="S486" s="11">
        <f>N(V486) + N(X486) + N(Z486)</f>
        <v/>
      </c>
      <c r="T486" s="11">
        <f>R486+P486-S486</f>
        <v/>
      </c>
      <c r="U486" s="11" t="inlineStr">
        <is>
          <t>是</t>
        </is>
      </c>
      <c r="V486" s="11" t="n">
        <v>51</v>
      </c>
      <c r="W486" s="11" t="inlineStr">
        <is>
          <t>否</t>
        </is>
      </c>
      <c r="X486" s="11" t="inlineStr">
        <is>
          <t>-</t>
        </is>
      </c>
      <c r="Y486" s="11" t="inlineStr">
        <is>
          <t>-</t>
        </is>
      </c>
      <c r="Z486" s="11" t="n">
        <v>0</v>
      </c>
      <c r="AA486" s="11" t="inlineStr">
        <is>
          <t>无</t>
        </is>
      </c>
      <c r="AB486" s="12">
        <f>AE485</f>
        <v/>
      </c>
      <c r="AC486" s="12" t="n">
        <v>4</v>
      </c>
      <c r="AD486" s="12" t="n">
        <v>0</v>
      </c>
      <c r="AE486" s="12">
        <f>AB486+AC486+AD486</f>
        <v/>
      </c>
      <c r="AF486" s="13">
        <f>AI485</f>
        <v/>
      </c>
      <c r="AG486" s="13" t="n">
        <v>0</v>
      </c>
      <c r="AH486" s="13" t="n">
        <v>0</v>
      </c>
      <c r="AI486" s="13">
        <f>AF486+AG486+AH486</f>
        <v/>
      </c>
      <c r="AJ486" s="14" t="n">
        <v>0</v>
      </c>
      <c r="AK486" s="14" t="n">
        <v>50</v>
      </c>
      <c r="AL486" s="14" t="n">
        <v>0</v>
      </c>
      <c r="AM486" s="14">
        <f>AJ486+AK486+AL486</f>
        <v/>
      </c>
      <c r="AN486" s="14">
        <f>AN485+AM486</f>
        <v/>
      </c>
    </row>
    <row r="487">
      <c r="A487" s="8" t="n">
        <v>19</v>
      </c>
      <c r="B487" s="8" t="n">
        <v>9</v>
      </c>
      <c r="C487" s="8" t="n">
        <v>2</v>
      </c>
      <c r="D487" s="8" t="inlineStr">
        <is>
          <t>月卡收益 [月卡续费-30元]</t>
        </is>
      </c>
      <c r="E487" s="9">
        <f>K486</f>
        <v/>
      </c>
      <c r="F487" s="9" t="n">
        <v>1540</v>
      </c>
      <c r="G487" s="9" t="n">
        <v>0</v>
      </c>
      <c r="H487" s="9" t="n">
        <v>0</v>
      </c>
      <c r="I487" s="9" t="n">
        <v>0</v>
      </c>
      <c r="J487" s="9" t="n">
        <v>21120</v>
      </c>
      <c r="K487" s="9">
        <f>E487+F487+G487+H487+I487-J487</f>
        <v/>
      </c>
      <c r="L487" s="10">
        <f>Q486</f>
        <v/>
      </c>
      <c r="M487" s="10" t="n">
        <v>0</v>
      </c>
      <c r="N487" s="10" t="n">
        <v>21</v>
      </c>
      <c r="O487" s="10">
        <f>J487/160</f>
        <v/>
      </c>
      <c r="P487" s="10" t="n">
        <v>200</v>
      </c>
      <c r="Q487" s="10">
        <f>L487+M487+N487+O487-P487</f>
        <v/>
      </c>
      <c r="R487" s="11">
        <f>T486</f>
        <v/>
      </c>
      <c r="S487" s="11">
        <f>N(V487) + N(X487) + N(Z487)</f>
        <v/>
      </c>
      <c r="T487" s="11">
        <f>R487+P487-S487</f>
        <v/>
      </c>
      <c r="U487" s="11" t="inlineStr">
        <is>
          <t>是</t>
        </is>
      </c>
      <c r="V487" s="11" t="n">
        <v>52</v>
      </c>
      <c r="W487" s="11" t="inlineStr">
        <is>
          <t>是</t>
        </is>
      </c>
      <c r="X487" s="11" t="n">
        <v>47</v>
      </c>
      <c r="Y487" s="11" t="inlineStr">
        <is>
          <t>歪(49), UP(49)</t>
        </is>
      </c>
      <c r="Z487" s="11" t="n">
        <v>98</v>
      </c>
      <c r="AA487" s="11" t="inlineStr">
        <is>
          <t>冲刺200(动态90)</t>
        </is>
      </c>
      <c r="AB487" s="12">
        <f>AE486</f>
        <v/>
      </c>
      <c r="AC487" s="12" t="n">
        <v>0</v>
      </c>
      <c r="AD487" s="12" t="n">
        <v>1</v>
      </c>
      <c r="AE487" s="12">
        <f>AB487+AC487+AD487</f>
        <v/>
      </c>
      <c r="AF487" s="13">
        <f>AI486</f>
        <v/>
      </c>
      <c r="AG487" s="13" t="n">
        <v>0</v>
      </c>
      <c r="AH487" s="13" t="n">
        <v>5000</v>
      </c>
      <c r="AI487" s="13">
        <f>AF487+AG487+AH487</f>
        <v/>
      </c>
      <c r="AJ487" s="14" t="n">
        <v>30</v>
      </c>
      <c r="AK487" s="14" t="n">
        <v>0</v>
      </c>
      <c r="AL487" s="14" t="n">
        <v>0</v>
      </c>
      <c r="AM487" s="14">
        <f>AJ487+AK487+AL487</f>
        <v/>
      </c>
      <c r="AN487" s="14">
        <f>AN486+AM487</f>
        <v/>
      </c>
    </row>
    <row r="488">
      <c r="A488" s="8" t="n">
        <v>19</v>
      </c>
      <c r="B488" s="8" t="n">
        <v>10</v>
      </c>
      <c r="C488" s="8" t="n">
        <v>1</v>
      </c>
      <c r="D488" s="8" t="inlineStr">
        <is>
          <t>版本免费+义相逢 + 月卡收益</t>
        </is>
      </c>
      <c r="E488" s="9">
        <f>K487</f>
        <v/>
      </c>
      <c r="F488" s="9" t="n">
        <v>1540</v>
      </c>
      <c r="G488" s="9" t="n">
        <v>4800</v>
      </c>
      <c r="H488" s="9" t="n">
        <v>0</v>
      </c>
      <c r="I488" s="9" t="n">
        <v>0</v>
      </c>
      <c r="J488" s="9" t="n">
        <v>0</v>
      </c>
      <c r="K488" s="9">
        <f>E488+F488+G488+H488+I488-J488</f>
        <v/>
      </c>
      <c r="L488" s="10">
        <f>Q487</f>
        <v/>
      </c>
      <c r="M488" s="10" t="n">
        <v>85</v>
      </c>
      <c r="N488" s="10" t="n">
        <v>3</v>
      </c>
      <c r="O488" s="10">
        <f>J488/160</f>
        <v/>
      </c>
      <c r="P488" s="10" t="n">
        <v>40</v>
      </c>
      <c r="Q488" s="10">
        <f>L488+M488+N488+O488-P488</f>
        <v/>
      </c>
      <c r="R488" s="11">
        <f>T487</f>
        <v/>
      </c>
      <c r="S488" s="11">
        <f>N(V488) + N(X488) + N(Z488)</f>
        <v/>
      </c>
      <c r="T488" s="11">
        <f>R488+P488-S488</f>
        <v/>
      </c>
      <c r="U488" s="11" t="inlineStr">
        <is>
          <t>是</t>
        </is>
      </c>
      <c r="V488" s="11" t="n">
        <v>49</v>
      </c>
      <c r="W488" s="11" t="inlineStr">
        <is>
          <t>否</t>
        </is>
      </c>
      <c r="X488" s="11" t="inlineStr">
        <is>
          <t>-</t>
        </is>
      </c>
      <c r="Y488" s="11" t="inlineStr">
        <is>
          <t>-</t>
        </is>
      </c>
      <c r="Z488" s="11" t="n">
        <v>0</v>
      </c>
      <c r="AA488" s="11" t="inlineStr">
        <is>
          <t>无</t>
        </is>
      </c>
      <c r="AB488" s="12">
        <f>AE487</f>
        <v/>
      </c>
      <c r="AC488" s="12" t="n">
        <v>4</v>
      </c>
      <c r="AD488" s="12" t="n">
        <v>0</v>
      </c>
      <c r="AE488" s="12">
        <f>AB488+AC488+AD488</f>
        <v/>
      </c>
      <c r="AF488" s="13">
        <f>AI487</f>
        <v/>
      </c>
      <c r="AG488" s="13" t="n">
        <v>0</v>
      </c>
      <c r="AH488" s="13" t="n">
        <v>0</v>
      </c>
      <c r="AI488" s="13">
        <f>AF488+AG488+AH488</f>
        <v/>
      </c>
      <c r="AJ488" s="14" t="n">
        <v>0</v>
      </c>
      <c r="AK488" s="14" t="n">
        <v>50</v>
      </c>
      <c r="AL488" s="14" t="n">
        <v>0</v>
      </c>
      <c r="AM488" s="14">
        <f>AJ488+AK488+AL488</f>
        <v/>
      </c>
      <c r="AN488" s="14">
        <f>AN487+AM488</f>
        <v/>
      </c>
    </row>
    <row r="489">
      <c r="A489" s="8" t="n">
        <v>19</v>
      </c>
      <c r="B489" s="8" t="n">
        <v>10</v>
      </c>
      <c r="C489" s="8" t="n">
        <v>2</v>
      </c>
      <c r="D489" s="8" t="inlineStr">
        <is>
          <t>月卡收益 [月卡续费-30元]</t>
        </is>
      </c>
      <c r="E489" s="9">
        <f>K488</f>
        <v/>
      </c>
      <c r="F489" s="9" t="n">
        <v>1540</v>
      </c>
      <c r="G489" s="9" t="n">
        <v>0</v>
      </c>
      <c r="H489" s="9" t="n">
        <v>0</v>
      </c>
      <c r="I489" s="9" t="n">
        <v>0</v>
      </c>
      <c r="J489" s="9" t="n">
        <v>1440</v>
      </c>
      <c r="K489" s="9">
        <f>E489+F489+G489+H489+I489-J489</f>
        <v/>
      </c>
      <c r="L489" s="10">
        <f>Q488</f>
        <v/>
      </c>
      <c r="M489" s="10" t="n">
        <v>0</v>
      </c>
      <c r="N489" s="10" t="n">
        <v>6</v>
      </c>
      <c r="O489" s="10">
        <f>J489/160</f>
        <v/>
      </c>
      <c r="P489" s="10" t="n">
        <v>60</v>
      </c>
      <c r="Q489" s="10">
        <f>L489+M489+N489+O489-P489</f>
        <v/>
      </c>
      <c r="R489" s="11">
        <f>T488</f>
        <v/>
      </c>
      <c r="S489" s="11">
        <f>N(V489) + N(X489) + N(Z489)</f>
        <v/>
      </c>
      <c r="T489" s="11">
        <f>R489+P489-S489</f>
        <v/>
      </c>
      <c r="U489" s="11" t="inlineStr">
        <is>
          <t>是</t>
        </is>
      </c>
      <c r="V489" s="11" t="n">
        <v>52</v>
      </c>
      <c r="W489" s="11" t="inlineStr">
        <is>
          <t>否</t>
        </is>
      </c>
      <c r="X489" s="11" t="inlineStr">
        <is>
          <t>-</t>
        </is>
      </c>
      <c r="Y489" s="11" t="inlineStr">
        <is>
          <t>-</t>
        </is>
      </c>
      <c r="Z489" s="11" t="n">
        <v>0</v>
      </c>
      <c r="AA489" s="11" t="inlineStr">
        <is>
          <t>垫到60抽</t>
        </is>
      </c>
      <c r="AB489" s="12">
        <f>AE488</f>
        <v/>
      </c>
      <c r="AC489" s="12" t="n">
        <v>0</v>
      </c>
      <c r="AD489" s="12" t="n">
        <v>0</v>
      </c>
      <c r="AE489" s="12">
        <f>AB489+AC489+AD489</f>
        <v/>
      </c>
      <c r="AF489" s="13">
        <f>AI488</f>
        <v/>
      </c>
      <c r="AG489" s="13" t="n">
        <v>0</v>
      </c>
      <c r="AH489" s="13" t="n">
        <v>0</v>
      </c>
      <c r="AI489" s="13">
        <f>AF489+AG489+AH489</f>
        <v/>
      </c>
      <c r="AJ489" s="14" t="n">
        <v>30</v>
      </c>
      <c r="AK489" s="14" t="n">
        <v>0</v>
      </c>
      <c r="AL489" s="14" t="n">
        <v>0</v>
      </c>
      <c r="AM489" s="14">
        <f>AJ489+AK489+AL489</f>
        <v/>
      </c>
      <c r="AN489" s="14">
        <f>AN488+AM489</f>
        <v/>
      </c>
    </row>
    <row r="490">
      <c r="A490" s="8" t="n">
        <v>19</v>
      </c>
      <c r="B490" s="8" t="n">
        <v>11</v>
      </c>
      <c r="C490" s="8" t="n">
        <v>1</v>
      </c>
      <c r="D490" s="8" t="inlineStr">
        <is>
          <t>版本免费+义相逢 + 月卡收益</t>
        </is>
      </c>
      <c r="E490" s="9">
        <f>K489</f>
        <v/>
      </c>
      <c r="F490" s="9" t="n">
        <v>1540</v>
      </c>
      <c r="G490" s="9" t="n">
        <v>4800</v>
      </c>
      <c r="H490" s="9" t="n">
        <v>0</v>
      </c>
      <c r="I490" s="9" t="n">
        <v>0</v>
      </c>
      <c r="J490" s="9" t="n">
        <v>14560</v>
      </c>
      <c r="K490" s="9">
        <f>E490+F490+G490+H490+I490-J490</f>
        <v/>
      </c>
      <c r="L490" s="10">
        <f>Q489</f>
        <v/>
      </c>
      <c r="M490" s="10" t="n">
        <v>85</v>
      </c>
      <c r="N490" s="10" t="n">
        <v>21</v>
      </c>
      <c r="O490" s="10">
        <f>J490/160</f>
        <v/>
      </c>
      <c r="P490" s="10" t="n">
        <v>200</v>
      </c>
      <c r="Q490" s="10">
        <f>L490+M490+N490+O490-P490</f>
        <v/>
      </c>
      <c r="R490" s="11">
        <f>T489</f>
        <v/>
      </c>
      <c r="S490" s="11">
        <f>N(V490) + N(X490) + N(Z490)</f>
        <v/>
      </c>
      <c r="T490" s="11">
        <f>R490+P490-S490</f>
        <v/>
      </c>
      <c r="U490" s="11" t="inlineStr">
        <is>
          <t>是</t>
        </is>
      </c>
      <c r="V490" s="11" t="n">
        <v>47</v>
      </c>
      <c r="W490" s="11" t="inlineStr">
        <is>
          <t>是</t>
        </is>
      </c>
      <c r="X490" s="11" t="n">
        <v>53</v>
      </c>
      <c r="Y490" s="11" t="inlineStr">
        <is>
          <t>歪(52), UP(47)</t>
        </is>
      </c>
      <c r="Z490" s="11" t="n">
        <v>99</v>
      </c>
      <c r="AA490" s="11" t="inlineStr">
        <is>
          <t>冲刺200(动态90)</t>
        </is>
      </c>
      <c r="AB490" s="12">
        <f>AE489</f>
        <v/>
      </c>
      <c r="AC490" s="12" t="n">
        <v>4</v>
      </c>
      <c r="AD490" s="12" t="n">
        <v>1</v>
      </c>
      <c r="AE490" s="12">
        <f>AB490+AC490+AD490</f>
        <v/>
      </c>
      <c r="AF490" s="13">
        <f>AI489</f>
        <v/>
      </c>
      <c r="AG490" s="13" t="n">
        <v>0</v>
      </c>
      <c r="AH490" s="13" t="n">
        <v>5000</v>
      </c>
      <c r="AI490" s="13">
        <f>AF490+AG490+AH490</f>
        <v/>
      </c>
      <c r="AJ490" s="14" t="n">
        <v>0</v>
      </c>
      <c r="AK490" s="14" t="n">
        <v>50</v>
      </c>
      <c r="AL490" s="14" t="n">
        <v>0</v>
      </c>
      <c r="AM490" s="14">
        <f>AJ490+AK490+AL490</f>
        <v/>
      </c>
      <c r="AN490" s="14">
        <f>AN489+AM490</f>
        <v/>
      </c>
    </row>
    <row r="491">
      <c r="A491" s="8" t="n">
        <v>19</v>
      </c>
      <c r="B491" s="8" t="n">
        <v>11</v>
      </c>
      <c r="C491" s="8" t="n">
        <v>2</v>
      </c>
      <c r="D491" s="8" t="inlineStr">
        <is>
          <t>月卡收益 [月卡续费-30元]</t>
        </is>
      </c>
      <c r="E491" s="9">
        <f>K490</f>
        <v/>
      </c>
      <c r="F491" s="9" t="n">
        <v>1540</v>
      </c>
      <c r="G491" s="9" t="n">
        <v>0</v>
      </c>
      <c r="H491" s="9" t="n">
        <v>0</v>
      </c>
      <c r="I491" s="9" t="n">
        <v>0</v>
      </c>
      <c r="J491" s="9" t="n">
        <v>14240</v>
      </c>
      <c r="K491" s="9">
        <f>E491+F491+G491+H491+I491-J491</f>
        <v/>
      </c>
      <c r="L491" s="10">
        <f>Q490</f>
        <v/>
      </c>
      <c r="M491" s="10" t="n">
        <v>0</v>
      </c>
      <c r="N491" s="10" t="n">
        <v>11</v>
      </c>
      <c r="O491" s="10">
        <f>J491/160</f>
        <v/>
      </c>
      <c r="P491" s="10" t="n">
        <v>100</v>
      </c>
      <c r="Q491" s="10">
        <f>L491+M491+N491+O491-P491</f>
        <v/>
      </c>
      <c r="R491" s="11">
        <f>T490</f>
        <v/>
      </c>
      <c r="S491" s="11">
        <f>N(V491) + N(X491) + N(Z491)</f>
        <v/>
      </c>
      <c r="T491" s="11">
        <f>R491+P491-S491</f>
        <v/>
      </c>
      <c r="U491" s="11" t="inlineStr">
        <is>
          <t>是</t>
        </is>
      </c>
      <c r="V491" s="11" t="n">
        <v>51</v>
      </c>
      <c r="W491" s="11" t="inlineStr">
        <is>
          <t>是</t>
        </is>
      </c>
      <c r="X491" s="11" t="n">
        <v>53</v>
      </c>
      <c r="Y491" s="11" t="inlineStr">
        <is>
          <t>-</t>
        </is>
      </c>
      <c r="Z491" s="11" t="n">
        <v>0</v>
      </c>
      <c r="AA491" s="11" t="inlineStr">
        <is>
          <t>无</t>
        </is>
      </c>
      <c r="AB491" s="12">
        <f>AE490</f>
        <v/>
      </c>
      <c r="AC491" s="12" t="n">
        <v>0</v>
      </c>
      <c r="AD491" s="12" t="n">
        <v>0</v>
      </c>
      <c r="AE491" s="12">
        <f>AB491+AC491+AD491</f>
        <v/>
      </c>
      <c r="AF491" s="13">
        <f>AI490</f>
        <v/>
      </c>
      <c r="AG491" s="13" t="n">
        <v>0</v>
      </c>
      <c r="AH491" s="13" t="n">
        <v>0</v>
      </c>
      <c r="AI491" s="13">
        <f>AF491+AG491+AH491</f>
        <v/>
      </c>
      <c r="AJ491" s="14" t="n">
        <v>30</v>
      </c>
      <c r="AK491" s="14" t="n">
        <v>0</v>
      </c>
      <c r="AL491" s="14" t="n">
        <v>0</v>
      </c>
      <c r="AM491" s="14">
        <f>AJ491+AK491+AL491</f>
        <v/>
      </c>
      <c r="AN491" s="14">
        <f>AN490+AM491</f>
        <v/>
      </c>
    </row>
    <row r="492">
      <c r="A492" s="8" t="n">
        <v>19</v>
      </c>
      <c r="B492" s="8" t="n">
        <v>12</v>
      </c>
      <c r="C492" s="8" t="n">
        <v>1</v>
      </c>
      <c r="D492" s="8" t="inlineStr">
        <is>
          <t>版本免费+义相逢 + 月卡收益</t>
        </is>
      </c>
      <c r="E492" s="9">
        <f>K491</f>
        <v/>
      </c>
      <c r="F492" s="9" t="n">
        <v>1540</v>
      </c>
      <c r="G492" s="9" t="n">
        <v>4800</v>
      </c>
      <c r="H492" s="9" t="n">
        <v>0</v>
      </c>
      <c r="I492" s="9" t="n">
        <v>0</v>
      </c>
      <c r="J492" s="9" t="n">
        <v>0</v>
      </c>
      <c r="K492" s="9">
        <f>E492+F492+G492+H492+I492-J492</f>
        <v/>
      </c>
      <c r="L492" s="10">
        <f>Q491</f>
        <v/>
      </c>
      <c r="M492" s="10" t="n">
        <v>85</v>
      </c>
      <c r="N492" s="10" t="n">
        <v>6</v>
      </c>
      <c r="O492" s="10">
        <f>J492/160</f>
        <v/>
      </c>
      <c r="P492" s="10" t="n">
        <v>60</v>
      </c>
      <c r="Q492" s="10">
        <f>L492+M492+N492+O492-P492</f>
        <v/>
      </c>
      <c r="R492" s="11">
        <f>T491</f>
        <v/>
      </c>
      <c r="S492" s="11">
        <f>N(V492) + N(X492) + N(Z492)</f>
        <v/>
      </c>
      <c r="T492" s="11">
        <f>R492+P492-S492</f>
        <v/>
      </c>
      <c r="U492" s="11" t="inlineStr">
        <is>
          <t>是</t>
        </is>
      </c>
      <c r="V492" s="11" t="n">
        <v>50</v>
      </c>
      <c r="W492" s="11" t="inlineStr">
        <is>
          <t>否</t>
        </is>
      </c>
      <c r="X492" s="11" t="inlineStr">
        <is>
          <t>-</t>
        </is>
      </c>
      <c r="Y492" s="11" t="inlineStr">
        <is>
          <t>-</t>
        </is>
      </c>
      <c r="Z492" s="11" t="n">
        <v>0</v>
      </c>
      <c r="AA492" s="11" t="inlineStr">
        <is>
          <t>垫到60抽</t>
        </is>
      </c>
      <c r="AB492" s="12">
        <f>AE491</f>
        <v/>
      </c>
      <c r="AC492" s="12" t="n">
        <v>4</v>
      </c>
      <c r="AD492" s="12" t="n">
        <v>0</v>
      </c>
      <c r="AE492" s="12">
        <f>AB492+AC492+AD492</f>
        <v/>
      </c>
      <c r="AF492" s="13">
        <f>AI491</f>
        <v/>
      </c>
      <c r="AG492" s="13" t="n">
        <v>0</v>
      </c>
      <c r="AH492" s="13" t="n">
        <v>0</v>
      </c>
      <c r="AI492" s="13">
        <f>AF492+AG492+AH492</f>
        <v/>
      </c>
      <c r="AJ492" s="14" t="n">
        <v>0</v>
      </c>
      <c r="AK492" s="14" t="n">
        <v>50</v>
      </c>
      <c r="AL492" s="14" t="n">
        <v>0</v>
      </c>
      <c r="AM492" s="14">
        <f>AJ492+AK492+AL492</f>
        <v/>
      </c>
      <c r="AN492" s="14">
        <f>AN491+AM492</f>
        <v/>
      </c>
    </row>
    <row r="493">
      <c r="A493" s="8" t="n">
        <v>19</v>
      </c>
      <c r="B493" s="8" t="n">
        <v>12</v>
      </c>
      <c r="C493" s="8" t="n">
        <v>2</v>
      </c>
      <c r="D493" s="8" t="inlineStr">
        <is>
          <t>月卡收益 [月卡续费-30元]</t>
        </is>
      </c>
      <c r="E493" s="9">
        <f>K492</f>
        <v/>
      </c>
      <c r="F493" s="9" t="n">
        <v>1540</v>
      </c>
      <c r="G493" s="9" t="n">
        <v>0</v>
      </c>
      <c r="H493" s="9" t="n">
        <v>0</v>
      </c>
      <c r="I493" s="9" t="n">
        <v>0</v>
      </c>
      <c r="J493" s="9" t="n">
        <v>8480</v>
      </c>
      <c r="K493" s="9">
        <f>E493+F493+G493+H493+I493-J493</f>
        <v/>
      </c>
      <c r="L493" s="10">
        <f>Q492</f>
        <v/>
      </c>
      <c r="M493" s="10" t="n">
        <v>0</v>
      </c>
      <c r="N493" s="10" t="n">
        <v>11</v>
      </c>
      <c r="O493" s="10">
        <f>J493/160</f>
        <v/>
      </c>
      <c r="P493" s="10" t="n">
        <v>90</v>
      </c>
      <c r="Q493" s="10">
        <f>L493+M493+N493+O493-P493</f>
        <v/>
      </c>
      <c r="R493" s="11">
        <f>T492</f>
        <v/>
      </c>
      <c r="S493" s="11">
        <f>N(V493) + N(X493) + N(Z493)</f>
        <v/>
      </c>
      <c r="T493" s="11">
        <f>R493+P493-S493</f>
        <v/>
      </c>
      <c r="U493" s="11" t="inlineStr">
        <is>
          <t>是</t>
        </is>
      </c>
      <c r="V493" s="11" t="n">
        <v>51</v>
      </c>
      <c r="W493" s="11" t="inlineStr">
        <is>
          <t>是</t>
        </is>
      </c>
      <c r="X493" s="11" t="n">
        <v>48</v>
      </c>
      <c r="Y493" s="11" t="inlineStr">
        <is>
          <t>歪(1)</t>
        </is>
      </c>
      <c r="Z493" s="11" t="n">
        <v>1</v>
      </c>
      <c r="AA493" s="11" t="inlineStr">
        <is>
          <t>无</t>
        </is>
      </c>
      <c r="AB493" s="12">
        <f>AE492</f>
        <v/>
      </c>
      <c r="AC493" s="12" t="n">
        <v>0</v>
      </c>
      <c r="AD493" s="12" t="n">
        <v>0</v>
      </c>
      <c r="AE493" s="12">
        <f>AB493+AC493+AD493</f>
        <v/>
      </c>
      <c r="AF493" s="13">
        <f>AI492</f>
        <v/>
      </c>
      <c r="AG493" s="13" t="n">
        <v>0</v>
      </c>
      <c r="AH493" s="13" t="n">
        <v>0</v>
      </c>
      <c r="AI493" s="13">
        <f>AF493+AG493+AH493</f>
        <v/>
      </c>
      <c r="AJ493" s="14" t="n">
        <v>30</v>
      </c>
      <c r="AK493" s="14" t="n">
        <v>0</v>
      </c>
      <c r="AL493" s="14" t="n">
        <v>0</v>
      </c>
      <c r="AM493" s="14">
        <f>AJ493+AK493+AL493</f>
        <v/>
      </c>
      <c r="AN493" s="14">
        <f>AN492+AM493</f>
        <v/>
      </c>
    </row>
    <row r="494">
      <c r="A494" s="8" t="n">
        <v>19</v>
      </c>
      <c r="B494" s="8" t="n">
        <v>13</v>
      </c>
      <c r="C494" s="8" t="n">
        <v>1</v>
      </c>
      <c r="D494" s="8" t="inlineStr">
        <is>
          <t>版本免费+义相逢 + 月卡收益</t>
        </is>
      </c>
      <c r="E494" s="9">
        <f>K493</f>
        <v/>
      </c>
      <c r="F494" s="9" t="n">
        <v>1540</v>
      </c>
      <c r="G494" s="9" t="n">
        <v>4800</v>
      </c>
      <c r="H494" s="9" t="n">
        <v>0</v>
      </c>
      <c r="I494" s="9" t="n">
        <v>0</v>
      </c>
      <c r="J494" s="9" t="n">
        <v>0</v>
      </c>
      <c r="K494" s="9">
        <f>E494+F494+G494+H494+I494-J494</f>
        <v/>
      </c>
      <c r="L494" s="10">
        <f>Q493</f>
        <v/>
      </c>
      <c r="M494" s="10" t="n">
        <v>85</v>
      </c>
      <c r="N494" s="10" t="n">
        <v>6</v>
      </c>
      <c r="O494" s="10">
        <f>J494/160</f>
        <v/>
      </c>
      <c r="P494" s="10" t="n">
        <v>60</v>
      </c>
      <c r="Q494" s="10">
        <f>L494+M494+N494+O494-P494</f>
        <v/>
      </c>
      <c r="R494" s="11">
        <f>T493</f>
        <v/>
      </c>
      <c r="S494" s="11">
        <f>N(V494) + N(X494) + N(Z494)</f>
        <v/>
      </c>
      <c r="T494" s="11">
        <f>R494+P494-S494</f>
        <v/>
      </c>
      <c r="U494" s="11" t="inlineStr">
        <is>
          <t>是</t>
        </is>
      </c>
      <c r="V494" s="11" t="n">
        <v>54</v>
      </c>
      <c r="W494" s="11" t="inlineStr">
        <is>
          <t>否</t>
        </is>
      </c>
      <c r="X494" s="11" t="inlineStr">
        <is>
          <t>-</t>
        </is>
      </c>
      <c r="Y494" s="11" t="inlineStr">
        <is>
          <t>-</t>
        </is>
      </c>
      <c r="Z494" s="11" t="n">
        <v>0</v>
      </c>
      <c r="AA494" s="11" t="inlineStr">
        <is>
          <t>垫到60抽</t>
        </is>
      </c>
      <c r="AB494" s="12">
        <f>AE493</f>
        <v/>
      </c>
      <c r="AC494" s="12" t="n">
        <v>4</v>
      </c>
      <c r="AD494" s="12" t="n">
        <v>0</v>
      </c>
      <c r="AE494" s="12">
        <f>AB494+AC494+AD494</f>
        <v/>
      </c>
      <c r="AF494" s="13">
        <f>AI493</f>
        <v/>
      </c>
      <c r="AG494" s="13" t="n">
        <v>0</v>
      </c>
      <c r="AH494" s="13" t="n">
        <v>0</v>
      </c>
      <c r="AI494" s="13">
        <f>AF494+AG494+AH494</f>
        <v/>
      </c>
      <c r="AJ494" s="14" t="n">
        <v>0</v>
      </c>
      <c r="AK494" s="14" t="n">
        <v>50</v>
      </c>
      <c r="AL494" s="14" t="n">
        <v>0</v>
      </c>
      <c r="AM494" s="14">
        <f>AJ494+AK494+AL494</f>
        <v/>
      </c>
      <c r="AN494" s="14">
        <f>AN493+AM494</f>
        <v/>
      </c>
    </row>
    <row r="495">
      <c r="A495" s="8" t="n">
        <v>19</v>
      </c>
      <c r="B495" s="8" t="n">
        <v>13</v>
      </c>
      <c r="C495" s="8" t="n">
        <v>2</v>
      </c>
      <c r="D495" s="8" t="inlineStr">
        <is>
          <t>月卡收益 [月卡续费-30元]</t>
        </is>
      </c>
      <c r="E495" s="9">
        <f>K494</f>
        <v/>
      </c>
      <c r="F495" s="9" t="n">
        <v>1540</v>
      </c>
      <c r="G495" s="9" t="n">
        <v>0</v>
      </c>
      <c r="H495" s="9" t="n">
        <v>0</v>
      </c>
      <c r="I495" s="9" t="n">
        <v>0</v>
      </c>
      <c r="J495" s="9" t="n">
        <v>160</v>
      </c>
      <c r="K495" s="9">
        <f>E495+F495+G495+H495+I495-J495</f>
        <v/>
      </c>
      <c r="L495" s="10">
        <f>Q494</f>
        <v/>
      </c>
      <c r="M495" s="10" t="n">
        <v>0</v>
      </c>
      <c r="N495" s="10" t="n">
        <v>3</v>
      </c>
      <c r="O495" s="10">
        <f>J495/160</f>
        <v/>
      </c>
      <c r="P495" s="10" t="n">
        <v>40</v>
      </c>
      <c r="Q495" s="10">
        <f>L495+M495+N495+O495-P495</f>
        <v/>
      </c>
      <c r="R495" s="11">
        <f>T494</f>
        <v/>
      </c>
      <c r="S495" s="11">
        <f>N(V495) + N(X495) + N(Z495)</f>
        <v/>
      </c>
      <c r="T495" s="11">
        <f>R495+P495-S495</f>
        <v/>
      </c>
      <c r="U495" s="11" t="inlineStr">
        <is>
          <t>是</t>
        </is>
      </c>
      <c r="V495" s="11" t="n">
        <v>49</v>
      </c>
      <c r="W495" s="11" t="inlineStr">
        <is>
          <t>否</t>
        </is>
      </c>
      <c r="X495" s="11" t="inlineStr">
        <is>
          <t>-</t>
        </is>
      </c>
      <c r="Y495" s="11" t="inlineStr">
        <is>
          <t>-</t>
        </is>
      </c>
      <c r="Z495" s="11" t="n">
        <v>0</v>
      </c>
      <c r="AA495" s="11" t="inlineStr">
        <is>
          <t>无</t>
        </is>
      </c>
      <c r="AB495" s="12">
        <f>AE494</f>
        <v/>
      </c>
      <c r="AC495" s="12" t="n">
        <v>0</v>
      </c>
      <c r="AD495" s="12" t="n">
        <v>0</v>
      </c>
      <c r="AE495" s="12">
        <f>AB495+AC495+AD495</f>
        <v/>
      </c>
      <c r="AF495" s="13">
        <f>AI494</f>
        <v/>
      </c>
      <c r="AG495" s="13" t="n">
        <v>0</v>
      </c>
      <c r="AH495" s="13" t="n">
        <v>0</v>
      </c>
      <c r="AI495" s="13">
        <f>AF495+AG495+AH495</f>
        <v/>
      </c>
      <c r="AJ495" s="14" t="n">
        <v>30</v>
      </c>
      <c r="AK495" s="14" t="n">
        <v>0</v>
      </c>
      <c r="AL495" s="14" t="n">
        <v>0</v>
      </c>
      <c r="AM495" s="14">
        <f>AJ495+AK495+AL495</f>
        <v/>
      </c>
      <c r="AN495" s="14">
        <f>AN494+AM495</f>
        <v/>
      </c>
    </row>
    <row r="496">
      <c r="A496" s="8" t="n">
        <v>20</v>
      </c>
      <c r="B496" s="8" t="n">
        <v>1</v>
      </c>
      <c r="C496" s="8" t="n">
        <v>1</v>
      </c>
      <c r="D496" s="8" t="inlineStr">
        <is>
          <t>版本免费+义相逢 + 月卡收益</t>
        </is>
      </c>
      <c r="E496" s="9" t="n">
        <v>19160</v>
      </c>
      <c r="F496" s="9" t="n">
        <v>1540</v>
      </c>
      <c r="G496" s="9" t="n">
        <v>4800</v>
      </c>
      <c r="H496" s="9" t="n">
        <v>0</v>
      </c>
      <c r="I496" s="9" t="n">
        <v>0</v>
      </c>
      <c r="J496" s="9" t="n">
        <v>0</v>
      </c>
      <c r="K496" s="9">
        <f>E496+F496+G496+H496+I496-J496</f>
        <v/>
      </c>
      <c r="L496" s="10" t="n">
        <v>0</v>
      </c>
      <c r="M496" s="10" t="n">
        <v>85</v>
      </c>
      <c r="N496" s="10" t="n">
        <v>6</v>
      </c>
      <c r="O496" s="10">
        <f>J496/160</f>
        <v/>
      </c>
      <c r="P496" s="10" t="n">
        <v>60</v>
      </c>
      <c r="Q496" s="10">
        <f>L496+M496+N496+O496-P496</f>
        <v/>
      </c>
      <c r="R496" s="11" t="n">
        <v>5</v>
      </c>
      <c r="S496" s="11">
        <f>N(V496) + N(X496) + N(Z496)</f>
        <v/>
      </c>
      <c r="T496" s="11">
        <f>R496+P496-S496</f>
        <v/>
      </c>
      <c r="U496" s="11" t="inlineStr">
        <is>
          <t>是</t>
        </is>
      </c>
      <c r="V496" s="11" t="n">
        <v>48</v>
      </c>
      <c r="W496" s="11" t="inlineStr">
        <is>
          <t>否</t>
        </is>
      </c>
      <c r="X496" s="11" t="inlineStr">
        <is>
          <t>-</t>
        </is>
      </c>
      <c r="Y496" s="11" t="inlineStr">
        <is>
          <t>-</t>
        </is>
      </c>
      <c r="Z496" s="11" t="n">
        <v>0</v>
      </c>
      <c r="AA496" s="11" t="inlineStr">
        <is>
          <t>垫到60抽</t>
        </is>
      </c>
      <c r="AB496" s="12" t="n">
        <v>1016</v>
      </c>
      <c r="AC496" s="12" t="n">
        <v>4</v>
      </c>
      <c r="AD496" s="12" t="n">
        <v>0</v>
      </c>
      <c r="AE496" s="12">
        <f>AB496+AC496+AD496</f>
        <v/>
      </c>
      <c r="AF496" s="13" t="n">
        <v>140000</v>
      </c>
      <c r="AG496" s="13" t="n">
        <v>0</v>
      </c>
      <c r="AH496" s="13" t="n">
        <v>0</v>
      </c>
      <c r="AI496" s="13">
        <f>AF496+AG496+AH496</f>
        <v/>
      </c>
      <c r="AJ496" s="14" t="n">
        <v>0</v>
      </c>
      <c r="AK496" s="14" t="n">
        <v>50</v>
      </c>
      <c r="AL496" s="14" t="n">
        <v>0</v>
      </c>
      <c r="AM496" s="14">
        <f>AJ496+AK496+AL496</f>
        <v/>
      </c>
      <c r="AN496" s="14">
        <f>AM496</f>
        <v/>
      </c>
    </row>
    <row r="497">
      <c r="A497" s="8" t="n">
        <v>20</v>
      </c>
      <c r="B497" s="8" t="n">
        <v>1</v>
      </c>
      <c r="C497" s="8" t="n">
        <v>2</v>
      </c>
      <c r="D497" s="8" t="inlineStr">
        <is>
          <t>月卡收益</t>
        </is>
      </c>
      <c r="E497" s="9">
        <f>K496</f>
        <v/>
      </c>
      <c r="F497" s="9" t="n">
        <v>1540</v>
      </c>
      <c r="G497" s="9" t="n">
        <v>0</v>
      </c>
      <c r="H497" s="9" t="n">
        <v>0</v>
      </c>
      <c r="I497" s="9" t="n">
        <v>0</v>
      </c>
      <c r="J497" s="9" t="n">
        <v>960</v>
      </c>
      <c r="K497" s="9">
        <f>E497+F497+G497+H497+I497-J497</f>
        <v/>
      </c>
      <c r="L497" s="10">
        <f>Q496</f>
        <v/>
      </c>
      <c r="M497" s="10" t="n">
        <v>0</v>
      </c>
      <c r="N497" s="10" t="n">
        <v>3</v>
      </c>
      <c r="O497" s="10">
        <f>J497/160</f>
        <v/>
      </c>
      <c r="P497" s="10" t="n">
        <v>40</v>
      </c>
      <c r="Q497" s="10">
        <f>L497+M497+N497+O497-P497</f>
        <v/>
      </c>
      <c r="R497" s="11">
        <f>T496</f>
        <v/>
      </c>
      <c r="S497" s="11">
        <f>N(V497) + N(X497) + N(Z497)</f>
        <v/>
      </c>
      <c r="T497" s="11">
        <f>R497+P497-S497</f>
        <v/>
      </c>
      <c r="U497" s="11" t="inlineStr">
        <is>
          <t>是</t>
        </is>
      </c>
      <c r="V497" s="11" t="n">
        <v>50</v>
      </c>
      <c r="W497" s="11" t="inlineStr">
        <is>
          <t>否</t>
        </is>
      </c>
      <c r="X497" s="11" t="inlineStr">
        <is>
          <t>-</t>
        </is>
      </c>
      <c r="Y497" s="11" t="inlineStr">
        <is>
          <t>-</t>
        </is>
      </c>
      <c r="Z497" s="11" t="n">
        <v>0</v>
      </c>
      <c r="AA497" s="11" t="inlineStr">
        <is>
          <t>无</t>
        </is>
      </c>
      <c r="AB497" s="12">
        <f>AE496</f>
        <v/>
      </c>
      <c r="AC497" s="12" t="n">
        <v>0</v>
      </c>
      <c r="AD497" s="12" t="n">
        <v>0</v>
      </c>
      <c r="AE497" s="12">
        <f>AB497+AC497+AD497</f>
        <v/>
      </c>
      <c r="AF497" s="13">
        <f>AI496</f>
        <v/>
      </c>
      <c r="AG497" s="13" t="n">
        <v>0</v>
      </c>
      <c r="AH497" s="13" t="n">
        <v>0</v>
      </c>
      <c r="AI497" s="13">
        <f>AF497+AG497+AH497</f>
        <v/>
      </c>
      <c r="AJ497" s="14" t="n">
        <v>0</v>
      </c>
      <c r="AK497" s="14" t="n">
        <v>0</v>
      </c>
      <c r="AL497" s="14" t="n">
        <v>0</v>
      </c>
      <c r="AM497" s="14">
        <f>AJ497+AK497+AL497</f>
        <v/>
      </c>
      <c r="AN497" s="14">
        <f>AN496+AM497</f>
        <v/>
      </c>
    </row>
    <row r="498">
      <c r="A498" s="8" t="n">
        <v>20</v>
      </c>
      <c r="B498" s="8" t="n">
        <v>2</v>
      </c>
      <c r="C498" s="8" t="n">
        <v>1</v>
      </c>
      <c r="D498" s="8" t="inlineStr">
        <is>
          <t>版本免费+义相逢 + 月卡收益 [月卡续费-30元]</t>
        </is>
      </c>
      <c r="E498" s="9">
        <f>K497</f>
        <v/>
      </c>
      <c r="F498" s="9" t="n">
        <v>1540</v>
      </c>
      <c r="G498" s="9" t="n">
        <v>4800</v>
      </c>
      <c r="H498" s="9" t="n">
        <v>0</v>
      </c>
      <c r="I498" s="9" t="n">
        <v>0</v>
      </c>
      <c r="J498" s="9" t="n">
        <v>0</v>
      </c>
      <c r="K498" s="9">
        <f>E498+F498+G498+H498+I498-J498</f>
        <v/>
      </c>
      <c r="L498" s="10">
        <f>Q497</f>
        <v/>
      </c>
      <c r="M498" s="10" t="n">
        <v>85</v>
      </c>
      <c r="N498" s="10" t="n">
        <v>11</v>
      </c>
      <c r="O498" s="10">
        <f>J498/160</f>
        <v/>
      </c>
      <c r="P498" s="10" t="n">
        <v>90</v>
      </c>
      <c r="Q498" s="10">
        <f>L498+M498+N498+O498-P498</f>
        <v/>
      </c>
      <c r="R498" s="11">
        <f>T497</f>
        <v/>
      </c>
      <c r="S498" s="11">
        <f>N(V498) + N(X498) + N(Z498)</f>
        <v/>
      </c>
      <c r="T498" s="11">
        <f>R498+P498-S498</f>
        <v/>
      </c>
      <c r="U498" s="11" t="inlineStr">
        <is>
          <t>是</t>
        </is>
      </c>
      <c r="V498" s="11" t="n">
        <v>48</v>
      </c>
      <c r="W498" s="11" t="inlineStr">
        <is>
          <t>是</t>
        </is>
      </c>
      <c r="X498" s="11" t="n">
        <v>46</v>
      </c>
      <c r="Y498" s="11" t="inlineStr">
        <is>
          <t>-</t>
        </is>
      </c>
      <c r="Z498" s="11" t="n">
        <v>0</v>
      </c>
      <c r="AA498" s="11" t="inlineStr">
        <is>
          <t>无</t>
        </is>
      </c>
      <c r="AB498" s="12">
        <f>AE497</f>
        <v/>
      </c>
      <c r="AC498" s="12" t="n">
        <v>4</v>
      </c>
      <c r="AD498" s="12" t="n">
        <v>0</v>
      </c>
      <c r="AE498" s="12">
        <f>AB498+AC498+AD498</f>
        <v/>
      </c>
      <c r="AF498" s="13">
        <f>AI497</f>
        <v/>
      </c>
      <c r="AG498" s="13" t="n">
        <v>0</v>
      </c>
      <c r="AH498" s="13" t="n">
        <v>0</v>
      </c>
      <c r="AI498" s="13">
        <f>AF498+AG498+AH498</f>
        <v/>
      </c>
      <c r="AJ498" s="14" t="n">
        <v>30</v>
      </c>
      <c r="AK498" s="14" t="n">
        <v>50</v>
      </c>
      <c r="AL498" s="14" t="n">
        <v>0</v>
      </c>
      <c r="AM498" s="14">
        <f>AJ498+AK498+AL498</f>
        <v/>
      </c>
      <c r="AN498" s="14">
        <f>AN497+AM498</f>
        <v/>
      </c>
    </row>
    <row r="499">
      <c r="A499" s="8" t="n">
        <v>20</v>
      </c>
      <c r="B499" s="8" t="n">
        <v>2</v>
      </c>
      <c r="C499" s="8" t="n">
        <v>2</v>
      </c>
      <c r="D499" s="8" t="inlineStr">
        <is>
          <t>月卡收益</t>
        </is>
      </c>
      <c r="E499" s="9">
        <f>K498</f>
        <v/>
      </c>
      <c r="F499" s="9" t="n">
        <v>1540</v>
      </c>
      <c r="G499" s="9" t="n">
        <v>0</v>
      </c>
      <c r="H499" s="9" t="n">
        <v>0</v>
      </c>
      <c r="I499" s="9" t="n">
        <v>0</v>
      </c>
      <c r="J499" s="9" t="n">
        <v>8160</v>
      </c>
      <c r="K499" s="9">
        <f>E499+F499+G499+H499+I499-J499</f>
        <v/>
      </c>
      <c r="L499" s="10">
        <f>Q498</f>
        <v/>
      </c>
      <c r="M499" s="10" t="n">
        <v>0</v>
      </c>
      <c r="N499" s="10" t="n">
        <v>6</v>
      </c>
      <c r="O499" s="10">
        <f>J499/160</f>
        <v/>
      </c>
      <c r="P499" s="10" t="n">
        <v>60</v>
      </c>
      <c r="Q499" s="10">
        <f>L499+M499+N499+O499-P499</f>
        <v/>
      </c>
      <c r="R499" s="11">
        <f>T498</f>
        <v/>
      </c>
      <c r="S499" s="11">
        <f>N(V499) + N(X499) + N(Z499)</f>
        <v/>
      </c>
      <c r="T499" s="11">
        <f>R499+P499-S499</f>
        <v/>
      </c>
      <c r="U499" s="11" t="inlineStr">
        <is>
          <t>是</t>
        </is>
      </c>
      <c r="V499" s="11" t="n">
        <v>50</v>
      </c>
      <c r="W499" s="11" t="inlineStr">
        <is>
          <t>否</t>
        </is>
      </c>
      <c r="X499" s="11" t="inlineStr">
        <is>
          <t>-</t>
        </is>
      </c>
      <c r="Y499" s="11" t="inlineStr">
        <is>
          <t>-</t>
        </is>
      </c>
      <c r="Z499" s="11" t="n">
        <v>0</v>
      </c>
      <c r="AA499" s="11" t="inlineStr">
        <is>
          <t>垫到60抽</t>
        </is>
      </c>
      <c r="AB499" s="12">
        <f>AE498</f>
        <v/>
      </c>
      <c r="AC499" s="12" t="n">
        <v>0</v>
      </c>
      <c r="AD499" s="12" t="n">
        <v>0</v>
      </c>
      <c r="AE499" s="12">
        <f>AB499+AC499+AD499</f>
        <v/>
      </c>
      <c r="AF499" s="13">
        <f>AI498</f>
        <v/>
      </c>
      <c r="AG499" s="13" t="n">
        <v>0</v>
      </c>
      <c r="AH499" s="13" t="n">
        <v>0</v>
      </c>
      <c r="AI499" s="13">
        <f>AF499+AG499+AH499</f>
        <v/>
      </c>
      <c r="AJ499" s="14" t="n">
        <v>0</v>
      </c>
      <c r="AK499" s="14" t="n">
        <v>0</v>
      </c>
      <c r="AL499" s="14" t="n">
        <v>0</v>
      </c>
      <c r="AM499" s="14">
        <f>AJ499+AK499+AL499</f>
        <v/>
      </c>
      <c r="AN499" s="14">
        <f>AN498+AM499</f>
        <v/>
      </c>
    </row>
    <row r="500">
      <c r="A500" s="8" t="n">
        <v>20</v>
      </c>
      <c r="B500" s="8" t="n">
        <v>3</v>
      </c>
      <c r="C500" s="8" t="n">
        <v>1</v>
      </c>
      <c r="D500" s="8" t="inlineStr">
        <is>
          <t>版本免费+义相逢 + 月卡收益 [月卡续费-30元]</t>
        </is>
      </c>
      <c r="E500" s="9">
        <f>K499</f>
        <v/>
      </c>
      <c r="F500" s="9" t="n">
        <v>1540</v>
      </c>
      <c r="G500" s="9" t="n">
        <v>4800</v>
      </c>
      <c r="H500" s="9" t="n">
        <v>0</v>
      </c>
      <c r="I500" s="9" t="n">
        <v>0</v>
      </c>
      <c r="J500" s="9" t="n">
        <v>0</v>
      </c>
      <c r="K500" s="9">
        <f>E500+F500+G500+H500+I500-J500</f>
        <v/>
      </c>
      <c r="L500" s="10">
        <f>Q499</f>
        <v/>
      </c>
      <c r="M500" s="10" t="n">
        <v>85</v>
      </c>
      <c r="N500" s="10" t="n">
        <v>3</v>
      </c>
      <c r="O500" s="10">
        <f>J500/160</f>
        <v/>
      </c>
      <c r="P500" s="10" t="n">
        <v>40</v>
      </c>
      <c r="Q500" s="10">
        <f>L500+M500+N500+O500-P500</f>
        <v/>
      </c>
      <c r="R500" s="11">
        <f>T499</f>
        <v/>
      </c>
      <c r="S500" s="11">
        <f>N(V500) + N(X500) + N(Z500)</f>
        <v/>
      </c>
      <c r="T500" s="11">
        <f>R500+P500-S500</f>
        <v/>
      </c>
      <c r="U500" s="11" t="inlineStr">
        <is>
          <t>是</t>
        </is>
      </c>
      <c r="V500" s="11" t="n">
        <v>49</v>
      </c>
      <c r="W500" s="11" t="inlineStr">
        <is>
          <t>否</t>
        </is>
      </c>
      <c r="X500" s="11" t="inlineStr">
        <is>
          <t>-</t>
        </is>
      </c>
      <c r="Y500" s="11" t="inlineStr">
        <is>
          <t>-</t>
        </is>
      </c>
      <c r="Z500" s="11" t="n">
        <v>0</v>
      </c>
      <c r="AA500" s="11" t="inlineStr">
        <is>
          <t>无</t>
        </is>
      </c>
      <c r="AB500" s="12">
        <f>AE499</f>
        <v/>
      </c>
      <c r="AC500" s="12" t="n">
        <v>4</v>
      </c>
      <c r="AD500" s="12" t="n">
        <v>0</v>
      </c>
      <c r="AE500" s="12">
        <f>AB500+AC500+AD500</f>
        <v/>
      </c>
      <c r="AF500" s="13">
        <f>AI499</f>
        <v/>
      </c>
      <c r="AG500" s="13" t="n">
        <v>0</v>
      </c>
      <c r="AH500" s="13" t="n">
        <v>0</v>
      </c>
      <c r="AI500" s="13">
        <f>AF500+AG500+AH500</f>
        <v/>
      </c>
      <c r="AJ500" s="14" t="n">
        <v>30</v>
      </c>
      <c r="AK500" s="14" t="n">
        <v>50</v>
      </c>
      <c r="AL500" s="14" t="n">
        <v>0</v>
      </c>
      <c r="AM500" s="14">
        <f>AJ500+AK500+AL500</f>
        <v/>
      </c>
      <c r="AN500" s="14">
        <f>AN499+AM500</f>
        <v/>
      </c>
    </row>
    <row r="501">
      <c r="A501" s="8" t="n">
        <v>20</v>
      </c>
      <c r="B501" s="8" t="n">
        <v>3</v>
      </c>
      <c r="C501" s="8" t="n">
        <v>2</v>
      </c>
      <c r="D501" s="8" t="inlineStr">
        <is>
          <t>月卡收益</t>
        </is>
      </c>
      <c r="E501" s="9">
        <f>K500</f>
        <v/>
      </c>
      <c r="F501" s="9" t="n">
        <v>1540</v>
      </c>
      <c r="G501" s="9" t="n">
        <v>0</v>
      </c>
      <c r="H501" s="9" t="n">
        <v>0</v>
      </c>
      <c r="I501" s="9" t="n">
        <v>0</v>
      </c>
      <c r="J501" s="9" t="n">
        <v>6080</v>
      </c>
      <c r="K501" s="9">
        <f>E501+F501+G501+H501+I501-J501</f>
        <v/>
      </c>
      <c r="L501" s="10">
        <f>Q500</f>
        <v/>
      </c>
      <c r="M501" s="10" t="n">
        <v>0</v>
      </c>
      <c r="N501" s="10" t="n">
        <v>11</v>
      </c>
      <c r="O501" s="10">
        <f>J501/160</f>
        <v/>
      </c>
      <c r="P501" s="10" t="n">
        <v>100</v>
      </c>
      <c r="Q501" s="10">
        <f>L501+M501+N501+O501-P501</f>
        <v/>
      </c>
      <c r="R501" s="11">
        <f>T500</f>
        <v/>
      </c>
      <c r="S501" s="11">
        <f>N(V501) + N(X501) + N(Z501)</f>
        <v/>
      </c>
      <c r="T501" s="11">
        <f>R501+P501-S501</f>
        <v/>
      </c>
      <c r="U501" s="11" t="inlineStr">
        <is>
          <t>是</t>
        </is>
      </c>
      <c r="V501" s="11" t="n">
        <v>46</v>
      </c>
      <c r="W501" s="11" t="inlineStr">
        <is>
          <t>是</t>
        </is>
      </c>
      <c r="X501" s="11" t="n">
        <v>52</v>
      </c>
      <c r="Y501" s="11" t="inlineStr">
        <is>
          <t>-</t>
        </is>
      </c>
      <c r="Z501" s="11" t="n">
        <v>0</v>
      </c>
      <c r="AA501" s="11" t="inlineStr">
        <is>
          <t>无</t>
        </is>
      </c>
      <c r="AB501" s="12">
        <f>AE500</f>
        <v/>
      </c>
      <c r="AC501" s="12" t="n">
        <v>0</v>
      </c>
      <c r="AD501" s="12" t="n">
        <v>0</v>
      </c>
      <c r="AE501" s="12">
        <f>AB501+AC501+AD501</f>
        <v/>
      </c>
      <c r="AF501" s="13">
        <f>AI500</f>
        <v/>
      </c>
      <c r="AG501" s="13" t="n">
        <v>0</v>
      </c>
      <c r="AH501" s="13" t="n">
        <v>0</v>
      </c>
      <c r="AI501" s="13">
        <f>AF501+AG501+AH501</f>
        <v/>
      </c>
      <c r="AJ501" s="14" t="n">
        <v>0</v>
      </c>
      <c r="AK501" s="14" t="n">
        <v>0</v>
      </c>
      <c r="AL501" s="14" t="n">
        <v>0</v>
      </c>
      <c r="AM501" s="14">
        <f>AJ501+AK501+AL501</f>
        <v/>
      </c>
      <c r="AN501" s="14">
        <f>AN500+AM501</f>
        <v/>
      </c>
    </row>
    <row r="502">
      <c r="A502" s="8" t="n">
        <v>20</v>
      </c>
      <c r="B502" s="8" t="n">
        <v>4</v>
      </c>
      <c r="C502" s="8" t="n">
        <v>1</v>
      </c>
      <c r="D502" s="8" t="inlineStr">
        <is>
          <t>版本免费+义相逢 + 月卡收益 [月卡续费-30元]</t>
        </is>
      </c>
      <c r="E502" s="9">
        <f>K501</f>
        <v/>
      </c>
      <c r="F502" s="9" t="n">
        <v>1540</v>
      </c>
      <c r="G502" s="9" t="n">
        <v>4800</v>
      </c>
      <c r="H502" s="9" t="n">
        <v>0</v>
      </c>
      <c r="I502" s="9" t="n">
        <v>0</v>
      </c>
      <c r="J502" s="9" t="n">
        <v>15040</v>
      </c>
      <c r="K502" s="9">
        <f>E502+F502+G502+H502+I502-J502</f>
        <v/>
      </c>
      <c r="L502" s="10">
        <f>Q501</f>
        <v/>
      </c>
      <c r="M502" s="10" t="n">
        <v>85</v>
      </c>
      <c r="N502" s="10" t="n">
        <v>21</v>
      </c>
      <c r="O502" s="10">
        <f>J502/160</f>
        <v/>
      </c>
      <c r="P502" s="10" t="n">
        <v>200</v>
      </c>
      <c r="Q502" s="10">
        <f>L502+M502+N502+O502-P502</f>
        <v/>
      </c>
      <c r="R502" s="11">
        <f>T501</f>
        <v/>
      </c>
      <c r="S502" s="11">
        <f>N(V502) + N(X502) + N(Z502)</f>
        <v/>
      </c>
      <c r="T502" s="11">
        <f>R502+P502-S502</f>
        <v/>
      </c>
      <c r="U502" s="11" t="inlineStr">
        <is>
          <t>是</t>
        </is>
      </c>
      <c r="V502" s="11" t="n">
        <v>51</v>
      </c>
      <c r="W502" s="11" t="inlineStr">
        <is>
          <t>是</t>
        </is>
      </c>
      <c r="X502" s="11" t="n">
        <v>50</v>
      </c>
      <c r="Y502" s="11" t="inlineStr">
        <is>
          <t>歪(48), UP(53)</t>
        </is>
      </c>
      <c r="Z502" s="11" t="n">
        <v>101</v>
      </c>
      <c r="AA502" s="11" t="inlineStr">
        <is>
          <t>冲刺200(动态100)</t>
        </is>
      </c>
      <c r="AB502" s="12">
        <f>AE501</f>
        <v/>
      </c>
      <c r="AC502" s="12" t="n">
        <v>4</v>
      </c>
      <c r="AD502" s="12" t="n">
        <v>1</v>
      </c>
      <c r="AE502" s="12">
        <f>AB502+AC502+AD502</f>
        <v/>
      </c>
      <c r="AF502" s="13">
        <f>AI501</f>
        <v/>
      </c>
      <c r="AG502" s="13" t="n">
        <v>0</v>
      </c>
      <c r="AH502" s="13" t="n">
        <v>5000</v>
      </c>
      <c r="AI502" s="13">
        <f>AF502+AG502+AH502</f>
        <v/>
      </c>
      <c r="AJ502" s="14" t="n">
        <v>30</v>
      </c>
      <c r="AK502" s="14" t="n">
        <v>50</v>
      </c>
      <c r="AL502" s="14" t="n">
        <v>0</v>
      </c>
      <c r="AM502" s="14">
        <f>AJ502+AK502+AL502</f>
        <v/>
      </c>
      <c r="AN502" s="14">
        <f>AN501+AM502</f>
        <v/>
      </c>
    </row>
    <row r="503">
      <c r="A503" s="8" t="n">
        <v>20</v>
      </c>
      <c r="B503" s="8" t="n">
        <v>4</v>
      </c>
      <c r="C503" s="8" t="n">
        <v>2</v>
      </c>
      <c r="D503" s="8" t="inlineStr">
        <is>
          <t>月卡收益</t>
        </is>
      </c>
      <c r="E503" s="9">
        <f>K502</f>
        <v/>
      </c>
      <c r="F503" s="9" t="n">
        <v>1540</v>
      </c>
      <c r="G503" s="9" t="n">
        <v>0</v>
      </c>
      <c r="H503" s="9" t="n">
        <v>0</v>
      </c>
      <c r="I503" s="9" t="n">
        <v>0</v>
      </c>
      <c r="J503" s="9" t="n">
        <v>14240</v>
      </c>
      <c r="K503" s="9">
        <f>E503+F503+G503+H503+I503-J503</f>
        <v/>
      </c>
      <c r="L503" s="10">
        <f>Q502</f>
        <v/>
      </c>
      <c r="M503" s="10" t="n">
        <v>0</v>
      </c>
      <c r="N503" s="10" t="n">
        <v>11</v>
      </c>
      <c r="O503" s="10">
        <f>J503/160</f>
        <v/>
      </c>
      <c r="P503" s="10" t="n">
        <v>100</v>
      </c>
      <c r="Q503" s="10">
        <f>L503+M503+N503+O503-P503</f>
        <v/>
      </c>
      <c r="R503" s="11">
        <f>T502</f>
        <v/>
      </c>
      <c r="S503" s="11">
        <f>N(V503) + N(X503) + N(Z503)</f>
        <v/>
      </c>
      <c r="T503" s="11">
        <f>R503+P503-S503</f>
        <v/>
      </c>
      <c r="U503" s="11" t="inlineStr">
        <is>
          <t>是</t>
        </is>
      </c>
      <c r="V503" s="11" t="n">
        <v>52</v>
      </c>
      <c r="W503" s="11" t="inlineStr">
        <is>
          <t>是</t>
        </is>
      </c>
      <c r="X503" s="11" t="n">
        <v>52</v>
      </c>
      <c r="Y503" s="11" t="inlineStr">
        <is>
          <t>-</t>
        </is>
      </c>
      <c r="Z503" s="11" t="n">
        <v>0</v>
      </c>
      <c r="AA503" s="11" t="inlineStr">
        <is>
          <t>无</t>
        </is>
      </c>
      <c r="AB503" s="12">
        <f>AE502</f>
        <v/>
      </c>
      <c r="AC503" s="12" t="n">
        <v>0</v>
      </c>
      <c r="AD503" s="12" t="n">
        <v>0</v>
      </c>
      <c r="AE503" s="12">
        <f>AB503+AC503+AD503</f>
        <v/>
      </c>
      <c r="AF503" s="13">
        <f>AI502</f>
        <v/>
      </c>
      <c r="AG503" s="13" t="n">
        <v>0</v>
      </c>
      <c r="AH503" s="13" t="n">
        <v>0</v>
      </c>
      <c r="AI503" s="13">
        <f>AF503+AG503+AH503</f>
        <v/>
      </c>
      <c r="AJ503" s="14" t="n">
        <v>0</v>
      </c>
      <c r="AK503" s="14" t="n">
        <v>0</v>
      </c>
      <c r="AL503" s="14" t="n">
        <v>0</v>
      </c>
      <c r="AM503" s="14">
        <f>AJ503+AK503+AL503</f>
        <v/>
      </c>
      <c r="AN503" s="14">
        <f>AN502+AM503</f>
        <v/>
      </c>
    </row>
    <row r="504">
      <c r="A504" s="8" t="n">
        <v>20</v>
      </c>
      <c r="B504" s="8" t="n">
        <v>5</v>
      </c>
      <c r="C504" s="8" t="n">
        <v>1</v>
      </c>
      <c r="D504" s="8" t="inlineStr">
        <is>
          <t>版本免费+义相逢 + 月卡收益 [月卡续费-30元]</t>
        </is>
      </c>
      <c r="E504" s="9">
        <f>K503</f>
        <v/>
      </c>
      <c r="F504" s="9" t="n">
        <v>1540</v>
      </c>
      <c r="G504" s="9" t="n">
        <v>4800</v>
      </c>
      <c r="H504" s="9" t="n">
        <v>0</v>
      </c>
      <c r="I504" s="9" t="n">
        <v>0</v>
      </c>
      <c r="J504" s="9" t="n">
        <v>0</v>
      </c>
      <c r="K504" s="9">
        <f>E504+F504+G504+H504+I504-J504</f>
        <v/>
      </c>
      <c r="L504" s="10">
        <f>Q503</f>
        <v/>
      </c>
      <c r="M504" s="10" t="n">
        <v>85</v>
      </c>
      <c r="N504" s="10" t="n">
        <v>6</v>
      </c>
      <c r="O504" s="10">
        <f>J504/160</f>
        <v/>
      </c>
      <c r="P504" s="10" t="n">
        <v>60</v>
      </c>
      <c r="Q504" s="10">
        <f>L504+M504+N504+O504-P504</f>
        <v/>
      </c>
      <c r="R504" s="11">
        <f>T503</f>
        <v/>
      </c>
      <c r="S504" s="11">
        <f>N(V504) + N(X504) + N(Z504)</f>
        <v/>
      </c>
      <c r="T504" s="11">
        <f>R504+P504-S504</f>
        <v/>
      </c>
      <c r="U504" s="11" t="inlineStr">
        <is>
          <t>是</t>
        </is>
      </c>
      <c r="V504" s="11" t="n">
        <v>46</v>
      </c>
      <c r="W504" s="11" t="inlineStr">
        <is>
          <t>否</t>
        </is>
      </c>
      <c r="X504" s="11" t="inlineStr">
        <is>
          <t>-</t>
        </is>
      </c>
      <c r="Y504" s="11" t="inlineStr">
        <is>
          <t>-</t>
        </is>
      </c>
      <c r="Z504" s="11" t="n">
        <v>0</v>
      </c>
      <c r="AA504" s="11" t="inlineStr">
        <is>
          <t>垫到60抽</t>
        </is>
      </c>
      <c r="AB504" s="12">
        <f>AE503</f>
        <v/>
      </c>
      <c r="AC504" s="12" t="n">
        <v>4</v>
      </c>
      <c r="AD504" s="12" t="n">
        <v>0</v>
      </c>
      <c r="AE504" s="12">
        <f>AB504+AC504+AD504</f>
        <v/>
      </c>
      <c r="AF504" s="13">
        <f>AI503</f>
        <v/>
      </c>
      <c r="AG504" s="13" t="n">
        <v>0</v>
      </c>
      <c r="AH504" s="13" t="n">
        <v>0</v>
      </c>
      <c r="AI504" s="13">
        <f>AF504+AG504+AH504</f>
        <v/>
      </c>
      <c r="AJ504" s="14" t="n">
        <v>30</v>
      </c>
      <c r="AK504" s="14" t="n">
        <v>50</v>
      </c>
      <c r="AL504" s="14" t="n">
        <v>0</v>
      </c>
      <c r="AM504" s="14">
        <f>AJ504+AK504+AL504</f>
        <v/>
      </c>
      <c r="AN504" s="14">
        <f>AN503+AM504</f>
        <v/>
      </c>
    </row>
    <row r="505">
      <c r="A505" s="8" t="n">
        <v>20</v>
      </c>
      <c r="B505" s="8" t="n">
        <v>5</v>
      </c>
      <c r="C505" s="8" t="n">
        <v>2</v>
      </c>
      <c r="D505" s="8" t="inlineStr">
        <is>
          <t>月卡收益</t>
        </is>
      </c>
      <c r="E505" s="9">
        <f>K504</f>
        <v/>
      </c>
      <c r="F505" s="9" t="n">
        <v>1540</v>
      </c>
      <c r="G505" s="9" t="n">
        <v>0</v>
      </c>
      <c r="H505" s="9" t="n">
        <v>0</v>
      </c>
      <c r="I505" s="9" t="n">
        <v>0</v>
      </c>
      <c r="J505" s="9" t="n">
        <v>4160</v>
      </c>
      <c r="K505" s="9">
        <f>E505+F505+G505+H505+I505-J505</f>
        <v/>
      </c>
      <c r="L505" s="10">
        <f>Q504</f>
        <v/>
      </c>
      <c r="M505" s="10" t="n">
        <v>0</v>
      </c>
      <c r="N505" s="10" t="n">
        <v>6</v>
      </c>
      <c r="O505" s="10">
        <f>J505/160</f>
        <v/>
      </c>
      <c r="P505" s="10" t="n">
        <v>60</v>
      </c>
      <c r="Q505" s="10">
        <f>L505+M505+N505+O505-P505</f>
        <v/>
      </c>
      <c r="R505" s="11">
        <f>T504</f>
        <v/>
      </c>
      <c r="S505" s="11">
        <f>N(V505) + N(X505) + N(Z505)</f>
        <v/>
      </c>
      <c r="T505" s="11">
        <f>R505+P505-S505</f>
        <v/>
      </c>
      <c r="U505" s="11" t="inlineStr">
        <is>
          <t>是</t>
        </is>
      </c>
      <c r="V505" s="11" t="n">
        <v>8</v>
      </c>
      <c r="W505" s="11" t="inlineStr">
        <is>
          <t>是</t>
        </is>
      </c>
      <c r="X505" s="11" t="n">
        <v>51</v>
      </c>
      <c r="Y505" s="11" t="inlineStr">
        <is>
          <t>-</t>
        </is>
      </c>
      <c r="Z505" s="11" t="n">
        <v>0</v>
      </c>
      <c r="AA505" s="11" t="inlineStr">
        <is>
          <t>垫到60抽</t>
        </is>
      </c>
      <c r="AB505" s="12">
        <f>AE504</f>
        <v/>
      </c>
      <c r="AC505" s="12" t="n">
        <v>0</v>
      </c>
      <c r="AD505" s="12" t="n">
        <v>0</v>
      </c>
      <c r="AE505" s="12">
        <f>AB505+AC505+AD505</f>
        <v/>
      </c>
      <c r="AF505" s="13">
        <f>AI504</f>
        <v/>
      </c>
      <c r="AG505" s="13" t="n">
        <v>0</v>
      </c>
      <c r="AH505" s="13" t="n">
        <v>0</v>
      </c>
      <c r="AI505" s="13">
        <f>AF505+AG505+AH505</f>
        <v/>
      </c>
      <c r="AJ505" s="14" t="n">
        <v>0</v>
      </c>
      <c r="AK505" s="14" t="n">
        <v>0</v>
      </c>
      <c r="AL505" s="14" t="n">
        <v>0</v>
      </c>
      <c r="AM505" s="14">
        <f>AJ505+AK505+AL505</f>
        <v/>
      </c>
      <c r="AN505" s="14">
        <f>AN504+AM505</f>
        <v/>
      </c>
    </row>
    <row r="506">
      <c r="A506" s="8" t="n">
        <v>20</v>
      </c>
      <c r="B506" s="8" t="n">
        <v>6</v>
      </c>
      <c r="C506" s="8" t="n">
        <v>1</v>
      </c>
      <c r="D506" s="8" t="inlineStr">
        <is>
          <t>版本免费+义相逢 + 月卡收益 [月卡续费-30元]</t>
        </is>
      </c>
      <c r="E506" s="9">
        <f>K505</f>
        <v/>
      </c>
      <c r="F506" s="9" t="n">
        <v>1540</v>
      </c>
      <c r="G506" s="9" t="n">
        <v>4800</v>
      </c>
      <c r="H506" s="9" t="n">
        <v>0</v>
      </c>
      <c r="I506" s="9" t="n">
        <v>0</v>
      </c>
      <c r="J506" s="9" t="n">
        <v>0</v>
      </c>
      <c r="K506" s="9">
        <f>E506+F506+G506+H506+I506-J506</f>
        <v/>
      </c>
      <c r="L506" s="10">
        <f>Q505</f>
        <v/>
      </c>
      <c r="M506" s="10" t="n">
        <v>85</v>
      </c>
      <c r="N506" s="10" t="n">
        <v>3</v>
      </c>
      <c r="O506" s="10">
        <f>J506/160</f>
        <v/>
      </c>
      <c r="P506" s="10" t="n">
        <v>40</v>
      </c>
      <c r="Q506" s="10">
        <f>L506+M506+N506+O506-P506</f>
        <v/>
      </c>
      <c r="R506" s="11">
        <f>T505</f>
        <v/>
      </c>
      <c r="S506" s="11">
        <f>N(V506) + N(X506) + N(Z506)</f>
        <v/>
      </c>
      <c r="T506" s="11">
        <f>R506+P506-S506</f>
        <v/>
      </c>
      <c r="U506" s="11" t="inlineStr">
        <is>
          <t>是</t>
        </is>
      </c>
      <c r="V506" s="11" t="n">
        <v>54</v>
      </c>
      <c r="W506" s="11" t="inlineStr">
        <is>
          <t>否</t>
        </is>
      </c>
      <c r="X506" s="11" t="inlineStr">
        <is>
          <t>-</t>
        </is>
      </c>
      <c r="Y506" s="11" t="inlineStr">
        <is>
          <t>-</t>
        </is>
      </c>
      <c r="Z506" s="11" t="n">
        <v>0</v>
      </c>
      <c r="AA506" s="11" t="inlineStr">
        <is>
          <t>无</t>
        </is>
      </c>
      <c r="AB506" s="12">
        <f>AE505</f>
        <v/>
      </c>
      <c r="AC506" s="12" t="n">
        <v>4</v>
      </c>
      <c r="AD506" s="12" t="n">
        <v>0</v>
      </c>
      <c r="AE506" s="12">
        <f>AB506+AC506+AD506</f>
        <v/>
      </c>
      <c r="AF506" s="13">
        <f>AI505</f>
        <v/>
      </c>
      <c r="AG506" s="13" t="n">
        <v>0</v>
      </c>
      <c r="AH506" s="13" t="n">
        <v>0</v>
      </c>
      <c r="AI506" s="13">
        <f>AF506+AG506+AH506</f>
        <v/>
      </c>
      <c r="AJ506" s="14" t="n">
        <v>30</v>
      </c>
      <c r="AK506" s="14" t="n">
        <v>50</v>
      </c>
      <c r="AL506" s="14" t="n">
        <v>0</v>
      </c>
      <c r="AM506" s="14">
        <f>AJ506+AK506+AL506</f>
        <v/>
      </c>
      <c r="AN506" s="14">
        <f>AN505+AM506</f>
        <v/>
      </c>
    </row>
    <row r="507">
      <c r="A507" s="8" t="n">
        <v>20</v>
      </c>
      <c r="B507" s="8" t="n">
        <v>6</v>
      </c>
      <c r="C507" s="8" t="n">
        <v>2</v>
      </c>
      <c r="D507" s="8" t="inlineStr">
        <is>
          <t>月卡收益</t>
        </is>
      </c>
      <c r="E507" s="9">
        <f>K506</f>
        <v/>
      </c>
      <c r="F507" s="9" t="n">
        <v>1540</v>
      </c>
      <c r="G507" s="9" t="n">
        <v>0</v>
      </c>
      <c r="H507" s="9" t="n">
        <v>0</v>
      </c>
      <c r="I507" s="9" t="n">
        <v>0</v>
      </c>
      <c r="J507" s="9" t="n">
        <v>0</v>
      </c>
      <c r="K507" s="9">
        <f>E507+F507+G507+H507+I507-J507</f>
        <v/>
      </c>
      <c r="L507" s="10">
        <f>Q506</f>
        <v/>
      </c>
      <c r="M507" s="10" t="n">
        <v>0</v>
      </c>
      <c r="N507" s="10" t="n">
        <v>1</v>
      </c>
      <c r="O507" s="10">
        <f>J507/160</f>
        <v/>
      </c>
      <c r="P507" s="10" t="n">
        <v>10</v>
      </c>
      <c r="Q507" s="10">
        <f>L507+M507+N507+O507-P507</f>
        <v/>
      </c>
      <c r="R507" s="11">
        <f>T506</f>
        <v/>
      </c>
      <c r="S507" s="11">
        <f>N(V507) + N(X507) + N(Z507)</f>
        <v/>
      </c>
      <c r="T507" s="11">
        <f>R507+P507-S507</f>
        <v/>
      </c>
      <c r="U507" s="11" t="inlineStr">
        <is>
          <t>是</t>
        </is>
      </c>
      <c r="V507" s="11" t="n">
        <v>5</v>
      </c>
      <c r="W507" s="11" t="inlineStr">
        <is>
          <t>否</t>
        </is>
      </c>
      <c r="X507" s="11" t="inlineStr">
        <is>
          <t>-</t>
        </is>
      </c>
      <c r="Y507" s="11" t="inlineStr">
        <is>
          <t>-</t>
        </is>
      </c>
      <c r="Z507" s="11" t="n">
        <v>0</v>
      </c>
      <c r="AA507" s="11" t="inlineStr">
        <is>
          <t>无</t>
        </is>
      </c>
      <c r="AB507" s="12">
        <f>AE506</f>
        <v/>
      </c>
      <c r="AC507" s="12" t="n">
        <v>0</v>
      </c>
      <c r="AD507" s="12" t="n">
        <v>0</v>
      </c>
      <c r="AE507" s="12">
        <f>AB507+AC507+AD507</f>
        <v/>
      </c>
      <c r="AF507" s="13">
        <f>AI506</f>
        <v/>
      </c>
      <c r="AG507" s="13" t="n">
        <v>0</v>
      </c>
      <c r="AH507" s="13" t="n">
        <v>0</v>
      </c>
      <c r="AI507" s="13">
        <f>AF507+AG507+AH507</f>
        <v/>
      </c>
      <c r="AJ507" s="14" t="n">
        <v>0</v>
      </c>
      <c r="AK507" s="14" t="n">
        <v>0</v>
      </c>
      <c r="AL507" s="14" t="n">
        <v>0</v>
      </c>
      <c r="AM507" s="14">
        <f>AJ507+AK507+AL507</f>
        <v/>
      </c>
      <c r="AN507" s="14">
        <f>AN506+AM507</f>
        <v/>
      </c>
    </row>
    <row r="508">
      <c r="A508" s="8" t="n">
        <v>20</v>
      </c>
      <c r="B508" s="8" t="n">
        <v>7</v>
      </c>
      <c r="C508" s="8" t="n">
        <v>1</v>
      </c>
      <c r="D508" s="8" t="inlineStr">
        <is>
          <t>版本免费+义相逢 + 月卡收益 [月卡续费-30元]</t>
        </is>
      </c>
      <c r="E508" s="9">
        <f>K507</f>
        <v/>
      </c>
      <c r="F508" s="9" t="n">
        <v>1540</v>
      </c>
      <c r="G508" s="9" t="n">
        <v>4800</v>
      </c>
      <c r="H508" s="9" t="n">
        <v>0</v>
      </c>
      <c r="I508" s="9" t="n">
        <v>0</v>
      </c>
      <c r="J508" s="9" t="n">
        <v>8320</v>
      </c>
      <c r="K508" s="9">
        <f>E508+F508+G508+H508+I508-J508</f>
        <v/>
      </c>
      <c r="L508" s="10">
        <f>Q507</f>
        <v/>
      </c>
      <c r="M508" s="10" t="n">
        <v>85</v>
      </c>
      <c r="N508" s="10" t="n">
        <v>21</v>
      </c>
      <c r="O508" s="10">
        <f>J508/160</f>
        <v/>
      </c>
      <c r="P508" s="10" t="n">
        <v>200</v>
      </c>
      <c r="Q508" s="10">
        <f>L508+M508+N508+O508-P508</f>
        <v/>
      </c>
      <c r="R508" s="11">
        <f>T507</f>
        <v/>
      </c>
      <c r="S508" s="11">
        <f>N(V508) + N(X508) + N(Z508)</f>
        <v/>
      </c>
      <c r="T508" s="11">
        <f>R508+P508-S508</f>
        <v/>
      </c>
      <c r="U508" s="11" t="inlineStr">
        <is>
          <t>是</t>
        </is>
      </c>
      <c r="V508" s="11" t="n">
        <v>51</v>
      </c>
      <c r="W508" s="11" t="inlineStr">
        <is>
          <t>是</t>
        </is>
      </c>
      <c r="X508" s="11" t="n">
        <v>47</v>
      </c>
      <c r="Y508" s="11" t="inlineStr">
        <is>
          <t>歪(51), UP(53)</t>
        </is>
      </c>
      <c r="Z508" s="11" t="n">
        <v>104</v>
      </c>
      <c r="AA508" s="11" t="inlineStr">
        <is>
          <t>冲刺200(动态100)</t>
        </is>
      </c>
      <c r="AB508" s="12">
        <f>AE507</f>
        <v/>
      </c>
      <c r="AC508" s="12" t="n">
        <v>4</v>
      </c>
      <c r="AD508" s="12" t="n">
        <v>1</v>
      </c>
      <c r="AE508" s="12">
        <f>AB508+AC508+AD508</f>
        <v/>
      </c>
      <c r="AF508" s="13">
        <f>AI507</f>
        <v/>
      </c>
      <c r="AG508" s="13" t="n">
        <v>0</v>
      </c>
      <c r="AH508" s="13" t="n">
        <v>5000</v>
      </c>
      <c r="AI508" s="13">
        <f>AF508+AG508+AH508</f>
        <v/>
      </c>
      <c r="AJ508" s="14" t="n">
        <v>30</v>
      </c>
      <c r="AK508" s="14" t="n">
        <v>50</v>
      </c>
      <c r="AL508" s="14" t="n">
        <v>0</v>
      </c>
      <c r="AM508" s="14">
        <f>AJ508+AK508+AL508</f>
        <v/>
      </c>
      <c r="AN508" s="14">
        <f>AN507+AM508</f>
        <v/>
      </c>
    </row>
    <row r="509">
      <c r="A509" s="8" t="n">
        <v>20</v>
      </c>
      <c r="B509" s="8" t="n">
        <v>7</v>
      </c>
      <c r="C509" s="8" t="n">
        <v>2</v>
      </c>
      <c r="D509" s="8" t="inlineStr">
        <is>
          <t>月卡收益</t>
        </is>
      </c>
      <c r="E509" s="9">
        <f>K508</f>
        <v/>
      </c>
      <c r="F509" s="9" t="n">
        <v>1540</v>
      </c>
      <c r="G509" s="9" t="n">
        <v>0</v>
      </c>
      <c r="H509" s="9" t="n">
        <v>0</v>
      </c>
      <c r="I509" s="9" t="n">
        <v>0</v>
      </c>
      <c r="J509" s="9" t="n">
        <v>9120</v>
      </c>
      <c r="K509" s="9">
        <f>E509+F509+G509+H509+I509-J509</f>
        <v/>
      </c>
      <c r="L509" s="10">
        <f>Q508</f>
        <v/>
      </c>
      <c r="M509" s="10" t="n">
        <v>0</v>
      </c>
      <c r="N509" s="10" t="n">
        <v>6</v>
      </c>
      <c r="O509" s="10">
        <f>J509/160</f>
        <v/>
      </c>
      <c r="P509" s="10" t="n">
        <v>60</v>
      </c>
      <c r="Q509" s="10">
        <f>L509+M509+N509+O509-P509</f>
        <v/>
      </c>
      <c r="R509" s="11">
        <f>T508</f>
        <v/>
      </c>
      <c r="S509" s="11">
        <f>N(V509) + N(X509) + N(Z509)</f>
        <v/>
      </c>
      <c r="T509" s="11">
        <f>R509+P509-S509</f>
        <v/>
      </c>
      <c r="U509" s="11" t="inlineStr">
        <is>
          <t>是</t>
        </is>
      </c>
      <c r="V509" s="11" t="n">
        <v>49</v>
      </c>
      <c r="W509" s="11" t="inlineStr">
        <is>
          <t>否</t>
        </is>
      </c>
      <c r="X509" s="11" t="inlineStr">
        <is>
          <t>-</t>
        </is>
      </c>
      <c r="Y509" s="11" t="inlineStr">
        <is>
          <t>歪(11)</t>
        </is>
      </c>
      <c r="Z509" s="11" t="n">
        <v>11</v>
      </c>
      <c r="AA509" s="11" t="inlineStr">
        <is>
          <t>垫到60抽</t>
        </is>
      </c>
      <c r="AB509" s="12">
        <f>AE508</f>
        <v/>
      </c>
      <c r="AC509" s="12" t="n">
        <v>0</v>
      </c>
      <c r="AD509" s="12" t="n">
        <v>0</v>
      </c>
      <c r="AE509" s="12">
        <f>AB509+AC509+AD509</f>
        <v/>
      </c>
      <c r="AF509" s="13">
        <f>AI508</f>
        <v/>
      </c>
      <c r="AG509" s="13" t="n">
        <v>0</v>
      </c>
      <c r="AH509" s="13" t="n">
        <v>0</v>
      </c>
      <c r="AI509" s="13">
        <f>AF509+AG509+AH509</f>
        <v/>
      </c>
      <c r="AJ509" s="14" t="n">
        <v>0</v>
      </c>
      <c r="AK509" s="14" t="n">
        <v>0</v>
      </c>
      <c r="AL509" s="14" t="n">
        <v>0</v>
      </c>
      <c r="AM509" s="14">
        <f>AJ509+AK509+AL509</f>
        <v/>
      </c>
      <c r="AN509" s="14">
        <f>AN508+AM509</f>
        <v/>
      </c>
    </row>
    <row r="510">
      <c r="A510" s="8" t="n">
        <v>20</v>
      </c>
      <c r="B510" s="8" t="n">
        <v>8</v>
      </c>
      <c r="C510" s="8" t="n">
        <v>1</v>
      </c>
      <c r="D510" s="8" t="inlineStr">
        <is>
          <t>版本免费+义相逢 + 月卡收益 [月卡续费-30元]</t>
        </is>
      </c>
      <c r="E510" s="9">
        <f>K509</f>
        <v/>
      </c>
      <c r="F510" s="9" t="n">
        <v>1540</v>
      </c>
      <c r="G510" s="9" t="n">
        <v>4800</v>
      </c>
      <c r="H510" s="9" t="n">
        <v>0</v>
      </c>
      <c r="I510" s="9" t="n">
        <v>0</v>
      </c>
      <c r="J510" s="9" t="n">
        <v>0</v>
      </c>
      <c r="K510" s="9">
        <f>E510+F510+G510+H510+I510-J510</f>
        <v/>
      </c>
      <c r="L510" s="10">
        <f>Q509</f>
        <v/>
      </c>
      <c r="M510" s="10" t="n">
        <v>85</v>
      </c>
      <c r="N510" s="10" t="n">
        <v>6</v>
      </c>
      <c r="O510" s="10">
        <f>J510/160</f>
        <v/>
      </c>
      <c r="P510" s="10" t="n">
        <v>60</v>
      </c>
      <c r="Q510" s="10">
        <f>L510+M510+N510+O510-P510</f>
        <v/>
      </c>
      <c r="R510" s="11">
        <f>T509</f>
        <v/>
      </c>
      <c r="S510" s="11">
        <f>N(V510) + N(X510) + N(Z510)</f>
        <v/>
      </c>
      <c r="T510" s="11">
        <f>R510+P510-S510</f>
        <v/>
      </c>
      <c r="U510" s="11" t="inlineStr">
        <is>
          <t>是</t>
        </is>
      </c>
      <c r="V510" s="11" t="n">
        <v>51</v>
      </c>
      <c r="W510" s="11" t="inlineStr">
        <is>
          <t>否</t>
        </is>
      </c>
      <c r="X510" s="11" t="inlineStr">
        <is>
          <t>-</t>
        </is>
      </c>
      <c r="Y510" s="11" t="inlineStr">
        <is>
          <t>-</t>
        </is>
      </c>
      <c r="Z510" s="11" t="n">
        <v>0</v>
      </c>
      <c r="AA510" s="11" t="inlineStr">
        <is>
          <t>垫到60抽</t>
        </is>
      </c>
      <c r="AB510" s="12">
        <f>AE509</f>
        <v/>
      </c>
      <c r="AC510" s="12" t="n">
        <v>4</v>
      </c>
      <c r="AD510" s="12" t="n">
        <v>0</v>
      </c>
      <c r="AE510" s="12">
        <f>AB510+AC510+AD510</f>
        <v/>
      </c>
      <c r="AF510" s="13">
        <f>AI509</f>
        <v/>
      </c>
      <c r="AG510" s="13" t="n">
        <v>0</v>
      </c>
      <c r="AH510" s="13" t="n">
        <v>0</v>
      </c>
      <c r="AI510" s="13">
        <f>AF510+AG510+AH510</f>
        <v/>
      </c>
      <c r="AJ510" s="14" t="n">
        <v>30</v>
      </c>
      <c r="AK510" s="14" t="n">
        <v>50</v>
      </c>
      <c r="AL510" s="14" t="n">
        <v>0</v>
      </c>
      <c r="AM510" s="14">
        <f>AJ510+AK510+AL510</f>
        <v/>
      </c>
      <c r="AN510" s="14">
        <f>AN509+AM510</f>
        <v/>
      </c>
    </row>
    <row r="511">
      <c r="A511" s="8" t="n">
        <v>20</v>
      </c>
      <c r="B511" s="8" t="n">
        <v>8</v>
      </c>
      <c r="C511" s="8" t="n">
        <v>2</v>
      </c>
      <c r="D511" s="8" t="inlineStr">
        <is>
          <t>月卡收益</t>
        </is>
      </c>
      <c r="E511" s="9">
        <f>K510</f>
        <v/>
      </c>
      <c r="F511" s="9" t="n">
        <v>1540</v>
      </c>
      <c r="G511" s="9" t="n">
        <v>0</v>
      </c>
      <c r="H511" s="9" t="n">
        <v>0</v>
      </c>
      <c r="I511" s="9" t="n">
        <v>0</v>
      </c>
      <c r="J511" s="9" t="n">
        <v>8000</v>
      </c>
      <c r="K511" s="9">
        <f>E511+F511+G511+H511+I511-J511</f>
        <v/>
      </c>
      <c r="L511" s="10">
        <f>Q510</f>
        <v/>
      </c>
      <c r="M511" s="10" t="n">
        <v>0</v>
      </c>
      <c r="N511" s="10" t="n">
        <v>11</v>
      </c>
      <c r="O511" s="10">
        <f>J511/160</f>
        <v/>
      </c>
      <c r="P511" s="10" t="n">
        <v>90</v>
      </c>
      <c r="Q511" s="10">
        <f>L511+M511+N511+O511-P511</f>
        <v/>
      </c>
      <c r="R511" s="11">
        <f>T510</f>
        <v/>
      </c>
      <c r="S511" s="11">
        <f>N(V511) + N(X511) + N(Z511)</f>
        <v/>
      </c>
      <c r="T511" s="11">
        <f>R511+P511-S511</f>
        <v/>
      </c>
      <c r="U511" s="11" t="inlineStr">
        <is>
          <t>是</t>
        </is>
      </c>
      <c r="V511" s="11" t="n">
        <v>49</v>
      </c>
      <c r="W511" s="11" t="inlineStr">
        <is>
          <t>是</t>
        </is>
      </c>
      <c r="X511" s="11" t="n">
        <v>54</v>
      </c>
      <c r="Y511" s="11" t="inlineStr">
        <is>
          <t>-</t>
        </is>
      </c>
      <c r="Z511" s="11" t="n">
        <v>0</v>
      </c>
      <c r="AA511" s="11" t="inlineStr">
        <is>
          <t>无</t>
        </is>
      </c>
      <c r="AB511" s="12">
        <f>AE510</f>
        <v/>
      </c>
      <c r="AC511" s="12" t="n">
        <v>0</v>
      </c>
      <c r="AD511" s="12" t="n">
        <v>0</v>
      </c>
      <c r="AE511" s="12">
        <f>AB511+AC511+AD511</f>
        <v/>
      </c>
      <c r="AF511" s="13">
        <f>AI510</f>
        <v/>
      </c>
      <c r="AG511" s="13" t="n">
        <v>0</v>
      </c>
      <c r="AH511" s="13" t="n">
        <v>0</v>
      </c>
      <c r="AI511" s="13">
        <f>AF511+AG511+AH511</f>
        <v/>
      </c>
      <c r="AJ511" s="14" t="n">
        <v>0</v>
      </c>
      <c r="AK511" s="14" t="n">
        <v>0</v>
      </c>
      <c r="AL511" s="14" t="n">
        <v>0</v>
      </c>
      <c r="AM511" s="14">
        <f>AJ511+AK511+AL511</f>
        <v/>
      </c>
      <c r="AN511" s="14">
        <f>AN510+AM511</f>
        <v/>
      </c>
    </row>
    <row r="512">
      <c r="A512" s="8" t="n">
        <v>20</v>
      </c>
      <c r="B512" s="8" t="n">
        <v>9</v>
      </c>
      <c r="C512" s="8" t="n">
        <v>1</v>
      </c>
      <c r="D512" s="8" t="inlineStr">
        <is>
          <t>版本免费+义相逢 + 月卡收益</t>
        </is>
      </c>
      <c r="E512" s="9">
        <f>K511</f>
        <v/>
      </c>
      <c r="F512" s="9" t="n">
        <v>1540</v>
      </c>
      <c r="G512" s="9" t="n">
        <v>4800</v>
      </c>
      <c r="H512" s="9" t="n">
        <v>0</v>
      </c>
      <c r="I512" s="9" t="n">
        <v>0</v>
      </c>
      <c r="J512" s="9" t="n">
        <v>0</v>
      </c>
      <c r="K512" s="9">
        <f>E512+F512+G512+H512+I512-J512</f>
        <v/>
      </c>
      <c r="L512" s="10">
        <f>Q511</f>
        <v/>
      </c>
      <c r="M512" s="10" t="n">
        <v>85</v>
      </c>
      <c r="N512" s="10" t="n">
        <v>11</v>
      </c>
      <c r="O512" s="10">
        <f>J512/160</f>
        <v/>
      </c>
      <c r="P512" s="10" t="n">
        <v>100</v>
      </c>
      <c r="Q512" s="10">
        <f>L512+M512+N512+O512-P512</f>
        <v/>
      </c>
      <c r="R512" s="11">
        <f>T511</f>
        <v/>
      </c>
      <c r="S512" s="11">
        <f>N(V512) + N(X512) + N(Z512)</f>
        <v/>
      </c>
      <c r="T512" s="11">
        <f>R512+P512-S512</f>
        <v/>
      </c>
      <c r="U512" s="11" t="inlineStr">
        <is>
          <t>是</t>
        </is>
      </c>
      <c r="V512" s="11" t="n">
        <v>47</v>
      </c>
      <c r="W512" s="11" t="inlineStr">
        <is>
          <t>是</t>
        </is>
      </c>
      <c r="X512" s="11" t="n">
        <v>51</v>
      </c>
      <c r="Y512" s="11" t="inlineStr">
        <is>
          <t>-</t>
        </is>
      </c>
      <c r="Z512" s="11" t="n">
        <v>0</v>
      </c>
      <c r="AA512" s="11" t="inlineStr">
        <is>
          <t>无</t>
        </is>
      </c>
      <c r="AB512" s="12">
        <f>AE511</f>
        <v/>
      </c>
      <c r="AC512" s="12" t="n">
        <v>4</v>
      </c>
      <c r="AD512" s="12" t="n">
        <v>0</v>
      </c>
      <c r="AE512" s="12">
        <f>AB512+AC512+AD512</f>
        <v/>
      </c>
      <c r="AF512" s="13">
        <f>AI511</f>
        <v/>
      </c>
      <c r="AG512" s="13" t="n">
        <v>0</v>
      </c>
      <c r="AH512" s="13" t="n">
        <v>0</v>
      </c>
      <c r="AI512" s="13">
        <f>AF512+AG512+AH512</f>
        <v/>
      </c>
      <c r="AJ512" s="14" t="n">
        <v>0</v>
      </c>
      <c r="AK512" s="14" t="n">
        <v>50</v>
      </c>
      <c r="AL512" s="14" t="n">
        <v>0</v>
      </c>
      <c r="AM512" s="14">
        <f>AJ512+AK512+AL512</f>
        <v/>
      </c>
      <c r="AN512" s="14">
        <f>AN511+AM512</f>
        <v/>
      </c>
    </row>
    <row r="513">
      <c r="A513" s="8" t="n">
        <v>20</v>
      </c>
      <c r="B513" s="8" t="n">
        <v>9</v>
      </c>
      <c r="C513" s="8" t="n">
        <v>2</v>
      </c>
      <c r="D513" s="8" t="inlineStr">
        <is>
          <t>月卡收益 [月卡续费-30元]</t>
        </is>
      </c>
      <c r="E513" s="9">
        <f>K512</f>
        <v/>
      </c>
      <c r="F513" s="9" t="n">
        <v>1540</v>
      </c>
      <c r="G513" s="9" t="n">
        <v>0</v>
      </c>
      <c r="H513" s="9" t="n">
        <v>0</v>
      </c>
      <c r="I513" s="9" t="n">
        <v>0</v>
      </c>
      <c r="J513" s="9" t="n">
        <v>2880</v>
      </c>
      <c r="K513" s="9">
        <f>E513+F513+G513+H513+I513-J513</f>
        <v/>
      </c>
      <c r="L513" s="10">
        <f>Q512</f>
        <v/>
      </c>
      <c r="M513" s="10" t="n">
        <v>0</v>
      </c>
      <c r="N513" s="10" t="n">
        <v>1</v>
      </c>
      <c r="O513" s="10">
        <f>J513/160</f>
        <v/>
      </c>
      <c r="P513" s="10" t="n">
        <v>20</v>
      </c>
      <c r="Q513" s="10">
        <f>L513+M513+N513+O513-P513</f>
        <v/>
      </c>
      <c r="R513" s="11">
        <f>T512</f>
        <v/>
      </c>
      <c r="S513" s="11">
        <f>N(V513) + N(X513) + N(Z513)</f>
        <v/>
      </c>
      <c r="T513" s="11">
        <f>R513+P513-S513</f>
        <v/>
      </c>
      <c r="U513" s="11" t="inlineStr">
        <is>
          <t>是</t>
        </is>
      </c>
      <c r="V513" s="11" t="n">
        <v>19</v>
      </c>
      <c r="W513" s="11" t="inlineStr">
        <is>
          <t>否</t>
        </is>
      </c>
      <c r="X513" s="11" t="inlineStr">
        <is>
          <t>-</t>
        </is>
      </c>
      <c r="Y513" s="11" t="inlineStr">
        <is>
          <t>-</t>
        </is>
      </c>
      <c r="Z513" s="11" t="n">
        <v>0</v>
      </c>
      <c r="AA513" s="11" t="inlineStr">
        <is>
          <t>无</t>
        </is>
      </c>
      <c r="AB513" s="12">
        <f>AE512</f>
        <v/>
      </c>
      <c r="AC513" s="12" t="n">
        <v>0</v>
      </c>
      <c r="AD513" s="12" t="n">
        <v>0</v>
      </c>
      <c r="AE513" s="12">
        <f>AB513+AC513+AD513</f>
        <v/>
      </c>
      <c r="AF513" s="13">
        <f>AI512</f>
        <v/>
      </c>
      <c r="AG513" s="13" t="n">
        <v>0</v>
      </c>
      <c r="AH513" s="13" t="n">
        <v>0</v>
      </c>
      <c r="AI513" s="13">
        <f>AF513+AG513+AH513</f>
        <v/>
      </c>
      <c r="AJ513" s="14" t="n">
        <v>30</v>
      </c>
      <c r="AK513" s="14" t="n">
        <v>0</v>
      </c>
      <c r="AL513" s="14" t="n">
        <v>0</v>
      </c>
      <c r="AM513" s="14">
        <f>AJ513+AK513+AL513</f>
        <v/>
      </c>
      <c r="AN513" s="14">
        <f>AN512+AM513</f>
        <v/>
      </c>
    </row>
    <row r="514">
      <c r="A514" s="8" t="n">
        <v>20</v>
      </c>
      <c r="B514" s="8" t="n">
        <v>10</v>
      </c>
      <c r="C514" s="8" t="n">
        <v>1</v>
      </c>
      <c r="D514" s="8" t="inlineStr">
        <is>
          <t>版本免费+义相逢 + 月卡收益</t>
        </is>
      </c>
      <c r="E514" s="9">
        <f>K513</f>
        <v/>
      </c>
      <c r="F514" s="9" t="n">
        <v>1540</v>
      </c>
      <c r="G514" s="9" t="n">
        <v>4800</v>
      </c>
      <c r="H514" s="9" t="n">
        <v>0</v>
      </c>
      <c r="I514" s="9" t="n">
        <v>0</v>
      </c>
      <c r="J514" s="9" t="n">
        <v>0</v>
      </c>
      <c r="K514" s="9">
        <f>E514+F514+G514+H514+I514-J514</f>
        <v/>
      </c>
      <c r="L514" s="10">
        <f>Q513</f>
        <v/>
      </c>
      <c r="M514" s="10" t="n">
        <v>85</v>
      </c>
      <c r="N514" s="10" t="n">
        <v>6</v>
      </c>
      <c r="O514" s="10">
        <f>J514/160</f>
        <v/>
      </c>
      <c r="P514" s="10" t="n">
        <v>60</v>
      </c>
      <c r="Q514" s="10">
        <f>L514+M514+N514+O514-P514</f>
        <v/>
      </c>
      <c r="R514" s="11">
        <f>T513</f>
        <v/>
      </c>
      <c r="S514" s="11">
        <f>N(V514) + N(X514) + N(Z514)</f>
        <v/>
      </c>
      <c r="T514" s="11">
        <f>R514+P514-S514</f>
        <v/>
      </c>
      <c r="U514" s="11" t="inlineStr">
        <is>
          <t>是</t>
        </is>
      </c>
      <c r="V514" s="11" t="n">
        <v>49</v>
      </c>
      <c r="W514" s="11" t="inlineStr">
        <is>
          <t>否</t>
        </is>
      </c>
      <c r="X514" s="11" t="inlineStr">
        <is>
          <t>-</t>
        </is>
      </c>
      <c r="Y514" s="11" t="inlineStr">
        <is>
          <t>-</t>
        </is>
      </c>
      <c r="Z514" s="11" t="n">
        <v>0</v>
      </c>
      <c r="AA514" s="11" t="inlineStr">
        <is>
          <t>垫到60抽</t>
        </is>
      </c>
      <c r="AB514" s="12">
        <f>AE513</f>
        <v/>
      </c>
      <c r="AC514" s="12" t="n">
        <v>4</v>
      </c>
      <c r="AD514" s="12" t="n">
        <v>0</v>
      </c>
      <c r="AE514" s="12">
        <f>AB514+AC514+AD514</f>
        <v/>
      </c>
      <c r="AF514" s="13">
        <f>AI513</f>
        <v/>
      </c>
      <c r="AG514" s="13" t="n">
        <v>0</v>
      </c>
      <c r="AH514" s="13" t="n">
        <v>0</v>
      </c>
      <c r="AI514" s="13">
        <f>AF514+AG514+AH514</f>
        <v/>
      </c>
      <c r="AJ514" s="14" t="n">
        <v>0</v>
      </c>
      <c r="AK514" s="14" t="n">
        <v>50</v>
      </c>
      <c r="AL514" s="14" t="n">
        <v>0</v>
      </c>
      <c r="AM514" s="14">
        <f>AJ514+AK514+AL514</f>
        <v/>
      </c>
      <c r="AN514" s="14">
        <f>AN513+AM514</f>
        <v/>
      </c>
    </row>
    <row r="515">
      <c r="A515" s="8" t="n">
        <v>20</v>
      </c>
      <c r="B515" s="8" t="n">
        <v>10</v>
      </c>
      <c r="C515" s="8" t="n">
        <v>2</v>
      </c>
      <c r="D515" s="8" t="inlineStr">
        <is>
          <t>月卡收益 [月卡续费-30元]</t>
        </is>
      </c>
      <c r="E515" s="9">
        <f>K514</f>
        <v/>
      </c>
      <c r="F515" s="9" t="n">
        <v>1540</v>
      </c>
      <c r="G515" s="9" t="n">
        <v>0</v>
      </c>
      <c r="H515" s="9" t="n">
        <v>0</v>
      </c>
      <c r="I515" s="9" t="n">
        <v>0</v>
      </c>
      <c r="J515" s="9" t="n">
        <v>960</v>
      </c>
      <c r="K515" s="9">
        <f>E515+F515+G515+H515+I515-J515</f>
        <v/>
      </c>
      <c r="L515" s="10">
        <f>Q514</f>
        <v/>
      </c>
      <c r="M515" s="10" t="n">
        <v>0</v>
      </c>
      <c r="N515" s="10" t="n">
        <v>3</v>
      </c>
      <c r="O515" s="10">
        <f>J515/160</f>
        <v/>
      </c>
      <c r="P515" s="10" t="n">
        <v>40</v>
      </c>
      <c r="Q515" s="10">
        <f>L515+M515+N515+O515-P515</f>
        <v/>
      </c>
      <c r="R515" s="11">
        <f>T514</f>
        <v/>
      </c>
      <c r="S515" s="11">
        <f>N(V515) + N(X515) + N(Z515)</f>
        <v/>
      </c>
      <c r="T515" s="11">
        <f>R515+P515-S515</f>
        <v/>
      </c>
      <c r="U515" s="11" t="inlineStr">
        <is>
          <t>是</t>
        </is>
      </c>
      <c r="V515" s="11" t="n">
        <v>49</v>
      </c>
      <c r="W515" s="11" t="inlineStr">
        <is>
          <t>否</t>
        </is>
      </c>
      <c r="X515" s="11" t="inlineStr">
        <is>
          <t>-</t>
        </is>
      </c>
      <c r="Y515" s="11" t="inlineStr">
        <is>
          <t>-</t>
        </is>
      </c>
      <c r="Z515" s="11" t="n">
        <v>0</v>
      </c>
      <c r="AA515" s="11" t="inlineStr">
        <is>
          <t>无</t>
        </is>
      </c>
      <c r="AB515" s="12">
        <f>AE514</f>
        <v/>
      </c>
      <c r="AC515" s="12" t="n">
        <v>0</v>
      </c>
      <c r="AD515" s="12" t="n">
        <v>0</v>
      </c>
      <c r="AE515" s="12">
        <f>AB515+AC515+AD515</f>
        <v/>
      </c>
      <c r="AF515" s="13">
        <f>AI514</f>
        <v/>
      </c>
      <c r="AG515" s="13" t="n">
        <v>0</v>
      </c>
      <c r="AH515" s="13" t="n">
        <v>0</v>
      </c>
      <c r="AI515" s="13">
        <f>AF515+AG515+AH515</f>
        <v/>
      </c>
      <c r="AJ515" s="14" t="n">
        <v>30</v>
      </c>
      <c r="AK515" s="14" t="n">
        <v>0</v>
      </c>
      <c r="AL515" s="14" t="n">
        <v>0</v>
      </c>
      <c r="AM515" s="14">
        <f>AJ515+AK515+AL515</f>
        <v/>
      </c>
      <c r="AN515" s="14">
        <f>AN514+AM515</f>
        <v/>
      </c>
    </row>
    <row r="516">
      <c r="A516" s="8" t="n">
        <v>20</v>
      </c>
      <c r="B516" s="8" t="n">
        <v>11</v>
      </c>
      <c r="C516" s="8" t="n">
        <v>1</v>
      </c>
      <c r="D516" s="8" t="inlineStr">
        <is>
          <t>版本免费+义相逢 + 月卡收益</t>
        </is>
      </c>
      <c r="E516" s="9">
        <f>K515</f>
        <v/>
      </c>
      <c r="F516" s="9" t="n">
        <v>1540</v>
      </c>
      <c r="G516" s="9" t="n">
        <v>4800</v>
      </c>
      <c r="H516" s="9" t="n">
        <v>0</v>
      </c>
      <c r="I516" s="9" t="n">
        <v>0</v>
      </c>
      <c r="J516" s="9" t="n">
        <v>0</v>
      </c>
      <c r="K516" s="9">
        <f>E516+F516+G516+H516+I516-J516</f>
        <v/>
      </c>
      <c r="L516" s="10">
        <f>Q515</f>
        <v/>
      </c>
      <c r="M516" s="10" t="n">
        <v>85</v>
      </c>
      <c r="N516" s="10" t="n">
        <v>6</v>
      </c>
      <c r="O516" s="10">
        <f>J516/160</f>
        <v/>
      </c>
      <c r="P516" s="10" t="n">
        <v>60</v>
      </c>
      <c r="Q516" s="10">
        <f>L516+M516+N516+O516-P516</f>
        <v/>
      </c>
      <c r="R516" s="11">
        <f>T515</f>
        <v/>
      </c>
      <c r="S516" s="11">
        <f>N(V516) + N(X516) + N(Z516)</f>
        <v/>
      </c>
      <c r="T516" s="11">
        <f>R516+P516-S516</f>
        <v/>
      </c>
      <c r="U516" s="11" t="inlineStr">
        <is>
          <t>是</t>
        </is>
      </c>
      <c r="V516" s="11" t="n">
        <v>48</v>
      </c>
      <c r="W516" s="11" t="inlineStr">
        <is>
          <t>否</t>
        </is>
      </c>
      <c r="X516" s="11" t="inlineStr">
        <is>
          <t>-</t>
        </is>
      </c>
      <c r="Y516" s="11" t="inlineStr">
        <is>
          <t>-</t>
        </is>
      </c>
      <c r="Z516" s="11" t="n">
        <v>0</v>
      </c>
      <c r="AA516" s="11" t="inlineStr">
        <is>
          <t>垫到60抽</t>
        </is>
      </c>
      <c r="AB516" s="12">
        <f>AE515</f>
        <v/>
      </c>
      <c r="AC516" s="12" t="n">
        <v>4</v>
      </c>
      <c r="AD516" s="12" t="n">
        <v>0</v>
      </c>
      <c r="AE516" s="12">
        <f>AB516+AC516+AD516</f>
        <v/>
      </c>
      <c r="AF516" s="13">
        <f>AI515</f>
        <v/>
      </c>
      <c r="AG516" s="13" t="n">
        <v>0</v>
      </c>
      <c r="AH516" s="13" t="n">
        <v>0</v>
      </c>
      <c r="AI516" s="13">
        <f>AF516+AG516+AH516</f>
        <v/>
      </c>
      <c r="AJ516" s="14" t="n">
        <v>0</v>
      </c>
      <c r="AK516" s="14" t="n">
        <v>50</v>
      </c>
      <c r="AL516" s="14" t="n">
        <v>0</v>
      </c>
      <c r="AM516" s="14">
        <f>AJ516+AK516+AL516</f>
        <v/>
      </c>
      <c r="AN516" s="14">
        <f>AN515+AM516</f>
        <v/>
      </c>
    </row>
    <row r="517">
      <c r="A517" s="8" t="n">
        <v>20</v>
      </c>
      <c r="B517" s="8" t="n">
        <v>11</v>
      </c>
      <c r="C517" s="8" t="n">
        <v>2</v>
      </c>
      <c r="D517" s="8" t="inlineStr">
        <is>
          <t>月卡收益 [月卡续费-30元]</t>
        </is>
      </c>
      <c r="E517" s="9">
        <f>K516</f>
        <v/>
      </c>
      <c r="F517" s="9" t="n">
        <v>1540</v>
      </c>
      <c r="G517" s="9" t="n">
        <v>0</v>
      </c>
      <c r="H517" s="9" t="n">
        <v>0</v>
      </c>
      <c r="I517" s="9" t="n">
        <v>0</v>
      </c>
      <c r="J517" s="9" t="n">
        <v>8480</v>
      </c>
      <c r="K517" s="9">
        <f>E517+F517+G517+H517+I517-J517</f>
        <v/>
      </c>
      <c r="L517" s="10">
        <f>Q516</f>
        <v/>
      </c>
      <c r="M517" s="10" t="n">
        <v>0</v>
      </c>
      <c r="N517" s="10" t="n">
        <v>11</v>
      </c>
      <c r="O517" s="10">
        <f>J517/160</f>
        <v/>
      </c>
      <c r="P517" s="10" t="n">
        <v>90</v>
      </c>
      <c r="Q517" s="10">
        <f>L517+M517+N517+O517-P517</f>
        <v/>
      </c>
      <c r="R517" s="11">
        <f>T516</f>
        <v/>
      </c>
      <c r="S517" s="11">
        <f>N(V517) + N(X517) + N(Z517)</f>
        <v/>
      </c>
      <c r="T517" s="11">
        <f>R517+P517-S517</f>
        <v/>
      </c>
      <c r="U517" s="11" t="inlineStr">
        <is>
          <t>是</t>
        </is>
      </c>
      <c r="V517" s="11" t="n">
        <v>51</v>
      </c>
      <c r="W517" s="11" t="inlineStr">
        <is>
          <t>是</t>
        </is>
      </c>
      <c r="X517" s="11" t="n">
        <v>48</v>
      </c>
      <c r="Y517" s="11" t="inlineStr">
        <is>
          <t>-</t>
        </is>
      </c>
      <c r="Z517" s="11" t="n">
        <v>0</v>
      </c>
      <c r="AA517" s="11" t="inlineStr">
        <is>
          <t>无</t>
        </is>
      </c>
      <c r="AB517" s="12">
        <f>AE516</f>
        <v/>
      </c>
      <c r="AC517" s="12" t="n">
        <v>0</v>
      </c>
      <c r="AD517" s="12" t="n">
        <v>0</v>
      </c>
      <c r="AE517" s="12">
        <f>AB517+AC517+AD517</f>
        <v/>
      </c>
      <c r="AF517" s="13">
        <f>AI516</f>
        <v/>
      </c>
      <c r="AG517" s="13" t="n">
        <v>0</v>
      </c>
      <c r="AH517" s="13" t="n">
        <v>0</v>
      </c>
      <c r="AI517" s="13">
        <f>AF517+AG517+AH517</f>
        <v/>
      </c>
      <c r="AJ517" s="14" t="n">
        <v>30</v>
      </c>
      <c r="AK517" s="14" t="n">
        <v>0</v>
      </c>
      <c r="AL517" s="14" t="n">
        <v>0</v>
      </c>
      <c r="AM517" s="14">
        <f>AJ517+AK517+AL517</f>
        <v/>
      </c>
      <c r="AN517" s="14">
        <f>AN516+AM517</f>
        <v/>
      </c>
    </row>
    <row r="518">
      <c r="A518" s="8" t="n">
        <v>20</v>
      </c>
      <c r="B518" s="8" t="n">
        <v>12</v>
      </c>
      <c r="C518" s="8" t="n">
        <v>1</v>
      </c>
      <c r="D518" s="8" t="inlineStr">
        <is>
          <t>版本免费+义相逢 + 月卡收益</t>
        </is>
      </c>
      <c r="E518" s="9">
        <f>K517</f>
        <v/>
      </c>
      <c r="F518" s="9" t="n">
        <v>1540</v>
      </c>
      <c r="G518" s="9" t="n">
        <v>4800</v>
      </c>
      <c r="H518" s="9" t="n">
        <v>0</v>
      </c>
      <c r="I518" s="9" t="n">
        <v>0</v>
      </c>
      <c r="J518" s="9" t="n">
        <v>0</v>
      </c>
      <c r="K518" s="9">
        <f>E518+F518+G518+H518+I518-J518</f>
        <v/>
      </c>
      <c r="L518" s="10">
        <f>Q517</f>
        <v/>
      </c>
      <c r="M518" s="10" t="n">
        <v>85</v>
      </c>
      <c r="N518" s="10" t="n">
        <v>11</v>
      </c>
      <c r="O518" s="10">
        <f>J518/160</f>
        <v/>
      </c>
      <c r="P518" s="10" t="n">
        <v>90</v>
      </c>
      <c r="Q518" s="10">
        <f>L518+M518+N518+O518-P518</f>
        <v/>
      </c>
      <c r="R518" s="11">
        <f>T517</f>
        <v/>
      </c>
      <c r="S518" s="11">
        <f>N(V518) + N(X518) + N(Z518)</f>
        <v/>
      </c>
      <c r="T518" s="11">
        <f>R518+P518-S518</f>
        <v/>
      </c>
      <c r="U518" s="11" t="inlineStr">
        <is>
          <t>是</t>
        </is>
      </c>
      <c r="V518" s="11" t="n">
        <v>48</v>
      </c>
      <c r="W518" s="11" t="inlineStr">
        <is>
          <t>是</t>
        </is>
      </c>
      <c r="X518" s="11" t="n">
        <v>48</v>
      </c>
      <c r="Y518" s="11" t="inlineStr">
        <is>
          <t>-</t>
        </is>
      </c>
      <c r="Z518" s="11" t="n">
        <v>0</v>
      </c>
      <c r="AA518" s="11" t="inlineStr">
        <is>
          <t>无</t>
        </is>
      </c>
      <c r="AB518" s="12">
        <f>AE517</f>
        <v/>
      </c>
      <c r="AC518" s="12" t="n">
        <v>4</v>
      </c>
      <c r="AD518" s="12" t="n">
        <v>0</v>
      </c>
      <c r="AE518" s="12">
        <f>AB518+AC518+AD518</f>
        <v/>
      </c>
      <c r="AF518" s="13">
        <f>AI517</f>
        <v/>
      </c>
      <c r="AG518" s="13" t="n">
        <v>0</v>
      </c>
      <c r="AH518" s="13" t="n">
        <v>0</v>
      </c>
      <c r="AI518" s="13">
        <f>AF518+AG518+AH518</f>
        <v/>
      </c>
      <c r="AJ518" s="14" t="n">
        <v>0</v>
      </c>
      <c r="AK518" s="14" t="n">
        <v>50</v>
      </c>
      <c r="AL518" s="14" t="n">
        <v>0</v>
      </c>
      <c r="AM518" s="14">
        <f>AJ518+AK518+AL518</f>
        <v/>
      </c>
      <c r="AN518" s="14">
        <f>AN517+AM518</f>
        <v/>
      </c>
    </row>
    <row r="519">
      <c r="A519" s="8" t="n">
        <v>20</v>
      </c>
      <c r="B519" s="8" t="n">
        <v>12</v>
      </c>
      <c r="C519" s="8" t="n">
        <v>2</v>
      </c>
      <c r="D519" s="8" t="inlineStr">
        <is>
          <t>月卡收益 [月卡续费-30元]</t>
        </is>
      </c>
      <c r="E519" s="9">
        <f>K518</f>
        <v/>
      </c>
      <c r="F519" s="9" t="n">
        <v>1540</v>
      </c>
      <c r="G519" s="9" t="n">
        <v>0</v>
      </c>
      <c r="H519" s="9" t="n">
        <v>0</v>
      </c>
      <c r="I519" s="9" t="n">
        <v>0</v>
      </c>
      <c r="J519" s="9" t="n">
        <v>12480</v>
      </c>
      <c r="K519" s="9">
        <f>E519+F519+G519+H519+I519-J519</f>
        <v/>
      </c>
      <c r="L519" s="10">
        <f>Q518</f>
        <v/>
      </c>
      <c r="M519" s="10" t="n">
        <v>0</v>
      </c>
      <c r="N519" s="10" t="n">
        <v>11</v>
      </c>
      <c r="O519" s="10">
        <f>J519/160</f>
        <v/>
      </c>
      <c r="P519" s="10" t="n">
        <v>100</v>
      </c>
      <c r="Q519" s="10">
        <f>L519+M519+N519+O519-P519</f>
        <v/>
      </c>
      <c r="R519" s="11">
        <f>T518</f>
        <v/>
      </c>
      <c r="S519" s="11">
        <f>N(V519) + N(X519) + N(Z519)</f>
        <v/>
      </c>
      <c r="T519" s="11">
        <f>R519+P519-S519</f>
        <v/>
      </c>
      <c r="U519" s="11" t="inlineStr">
        <is>
          <t>是</t>
        </is>
      </c>
      <c r="V519" s="11" t="n">
        <v>49</v>
      </c>
      <c r="W519" s="11" t="inlineStr">
        <is>
          <t>是</t>
        </is>
      </c>
      <c r="X519" s="11" t="n">
        <v>52</v>
      </c>
      <c r="Y519" s="11" t="inlineStr">
        <is>
          <t>-</t>
        </is>
      </c>
      <c r="Z519" s="11" t="n">
        <v>0</v>
      </c>
      <c r="AA519" s="11" t="inlineStr">
        <is>
          <t>无</t>
        </is>
      </c>
      <c r="AB519" s="12">
        <f>AE518</f>
        <v/>
      </c>
      <c r="AC519" s="12" t="n">
        <v>0</v>
      </c>
      <c r="AD519" s="12" t="n">
        <v>0</v>
      </c>
      <c r="AE519" s="12">
        <f>AB519+AC519+AD519</f>
        <v/>
      </c>
      <c r="AF519" s="13">
        <f>AI518</f>
        <v/>
      </c>
      <c r="AG519" s="13" t="n">
        <v>0</v>
      </c>
      <c r="AH519" s="13" t="n">
        <v>0</v>
      </c>
      <c r="AI519" s="13">
        <f>AF519+AG519+AH519</f>
        <v/>
      </c>
      <c r="AJ519" s="14" t="n">
        <v>30</v>
      </c>
      <c r="AK519" s="14" t="n">
        <v>0</v>
      </c>
      <c r="AL519" s="14" t="n">
        <v>0</v>
      </c>
      <c r="AM519" s="14">
        <f>AJ519+AK519+AL519</f>
        <v/>
      </c>
      <c r="AN519" s="14">
        <f>AN518+AM519</f>
        <v/>
      </c>
    </row>
    <row r="520">
      <c r="A520" s="8" t="n">
        <v>20</v>
      </c>
      <c r="B520" s="8" t="n">
        <v>13</v>
      </c>
      <c r="C520" s="8" t="n">
        <v>1</v>
      </c>
      <c r="D520" s="8" t="inlineStr">
        <is>
          <t>版本免费+义相逢 + 月卡收益</t>
        </is>
      </c>
      <c r="E520" s="9">
        <f>K519</f>
        <v/>
      </c>
      <c r="F520" s="9" t="n">
        <v>1540</v>
      </c>
      <c r="G520" s="9" t="n">
        <v>4800</v>
      </c>
      <c r="H520" s="9" t="n">
        <v>0</v>
      </c>
      <c r="I520" s="9" t="n">
        <v>0</v>
      </c>
      <c r="J520" s="9" t="n">
        <v>0</v>
      </c>
      <c r="K520" s="9">
        <f>E520+F520+G520+H520+I520-J520</f>
        <v/>
      </c>
      <c r="L520" s="10">
        <f>Q519</f>
        <v/>
      </c>
      <c r="M520" s="10" t="n">
        <v>85</v>
      </c>
      <c r="N520" s="10" t="n">
        <v>6</v>
      </c>
      <c r="O520" s="10">
        <f>J520/160</f>
        <v/>
      </c>
      <c r="P520" s="10" t="n">
        <v>60</v>
      </c>
      <c r="Q520" s="10">
        <f>L520+M520+N520+O520-P520</f>
        <v/>
      </c>
      <c r="R520" s="11">
        <f>T519</f>
        <v/>
      </c>
      <c r="S520" s="11">
        <f>N(V520) + N(X520) + N(Z520)</f>
        <v/>
      </c>
      <c r="T520" s="11">
        <f>R520+P520-S520</f>
        <v/>
      </c>
      <c r="U520" s="11" t="inlineStr">
        <is>
          <t>是</t>
        </is>
      </c>
      <c r="V520" s="11" t="n">
        <v>51</v>
      </c>
      <c r="W520" s="11" t="inlineStr">
        <is>
          <t>否</t>
        </is>
      </c>
      <c r="X520" s="11" t="inlineStr">
        <is>
          <t>-</t>
        </is>
      </c>
      <c r="Y520" s="11" t="inlineStr">
        <is>
          <t>-</t>
        </is>
      </c>
      <c r="Z520" s="11" t="n">
        <v>0</v>
      </c>
      <c r="AA520" s="11" t="inlineStr">
        <is>
          <t>垫到60抽</t>
        </is>
      </c>
      <c r="AB520" s="12">
        <f>AE519</f>
        <v/>
      </c>
      <c r="AC520" s="12" t="n">
        <v>4</v>
      </c>
      <c r="AD520" s="12" t="n">
        <v>0</v>
      </c>
      <c r="AE520" s="12">
        <f>AB520+AC520+AD520</f>
        <v/>
      </c>
      <c r="AF520" s="13">
        <f>AI519</f>
        <v/>
      </c>
      <c r="AG520" s="13" t="n">
        <v>0</v>
      </c>
      <c r="AH520" s="13" t="n">
        <v>0</v>
      </c>
      <c r="AI520" s="13">
        <f>AF520+AG520+AH520</f>
        <v/>
      </c>
      <c r="AJ520" s="14" t="n">
        <v>0</v>
      </c>
      <c r="AK520" s="14" t="n">
        <v>50</v>
      </c>
      <c r="AL520" s="14" t="n">
        <v>0</v>
      </c>
      <c r="AM520" s="14">
        <f>AJ520+AK520+AL520</f>
        <v/>
      </c>
      <c r="AN520" s="14">
        <f>AN519+AM520</f>
        <v/>
      </c>
    </row>
    <row r="521">
      <c r="A521" s="8" t="n">
        <v>20</v>
      </c>
      <c r="B521" s="8" t="n">
        <v>13</v>
      </c>
      <c r="C521" s="8" t="n">
        <v>2</v>
      </c>
      <c r="D521" s="8" t="inlineStr">
        <is>
          <t>月卡收益 [月卡续费-30元]</t>
        </is>
      </c>
      <c r="E521" s="9">
        <f>K520</f>
        <v/>
      </c>
      <c r="F521" s="9" t="n">
        <v>1540</v>
      </c>
      <c r="G521" s="9" t="n">
        <v>0</v>
      </c>
      <c r="H521" s="9" t="n">
        <v>0</v>
      </c>
      <c r="I521" s="9" t="n">
        <v>0</v>
      </c>
      <c r="J521" s="9" t="n">
        <v>960</v>
      </c>
      <c r="K521" s="9">
        <f>E521+F521+G521+H521+I521-J521</f>
        <v/>
      </c>
      <c r="L521" s="10">
        <f>Q520</f>
        <v/>
      </c>
      <c r="M521" s="10" t="n">
        <v>0</v>
      </c>
      <c r="N521" s="10" t="n">
        <v>3</v>
      </c>
      <c r="O521" s="10">
        <f>J521/160</f>
        <v/>
      </c>
      <c r="P521" s="10" t="n">
        <v>40</v>
      </c>
      <c r="Q521" s="10">
        <f>L521+M521+N521+O521-P521</f>
        <v/>
      </c>
      <c r="R521" s="11">
        <f>T520</f>
        <v/>
      </c>
      <c r="S521" s="11">
        <f>N(V521) + N(X521) + N(Z521)</f>
        <v/>
      </c>
      <c r="T521" s="11">
        <f>R521+P521-S521</f>
        <v/>
      </c>
      <c r="U521" s="11" t="inlineStr">
        <is>
          <t>是</t>
        </is>
      </c>
      <c r="V521" s="11" t="n">
        <v>47</v>
      </c>
      <c r="W521" s="11" t="inlineStr">
        <is>
          <t>否</t>
        </is>
      </c>
      <c r="X521" s="11" t="inlineStr">
        <is>
          <t>-</t>
        </is>
      </c>
      <c r="Y521" s="11" t="inlineStr">
        <is>
          <t>-</t>
        </is>
      </c>
      <c r="Z521" s="11" t="n">
        <v>0</v>
      </c>
      <c r="AA521" s="11" t="inlineStr">
        <is>
          <t>无</t>
        </is>
      </c>
      <c r="AB521" s="12">
        <f>AE520</f>
        <v/>
      </c>
      <c r="AC521" s="12" t="n">
        <v>0</v>
      </c>
      <c r="AD521" s="12" t="n">
        <v>0</v>
      </c>
      <c r="AE521" s="12">
        <f>AB521+AC521+AD521</f>
        <v/>
      </c>
      <c r="AF521" s="13">
        <f>AI520</f>
        <v/>
      </c>
      <c r="AG521" s="13" t="n">
        <v>0</v>
      </c>
      <c r="AH521" s="13" t="n">
        <v>0</v>
      </c>
      <c r="AI521" s="13">
        <f>AF521+AG521+AH521</f>
        <v/>
      </c>
      <c r="AJ521" s="14" t="n">
        <v>30</v>
      </c>
      <c r="AK521" s="14" t="n">
        <v>0</v>
      </c>
      <c r="AL521" s="14" t="n">
        <v>0</v>
      </c>
      <c r="AM521" s="14">
        <f>AJ521+AK521+AL521</f>
        <v/>
      </c>
      <c r="AN521" s="14">
        <f>AN520+AM521</f>
        <v/>
      </c>
    </row>
    <row r="522">
      <c r="A522" s="8" t="n">
        <v>21</v>
      </c>
      <c r="B522" s="8" t="n">
        <v>1</v>
      </c>
      <c r="C522" s="8" t="n">
        <v>1</v>
      </c>
      <c r="D522" s="8" t="inlineStr">
        <is>
          <t>版本免费+义相逢 + 月卡收益</t>
        </is>
      </c>
      <c r="E522" s="9" t="n">
        <v>21760</v>
      </c>
      <c r="F522" s="9" t="n">
        <v>1540</v>
      </c>
      <c r="G522" s="9" t="n">
        <v>4800</v>
      </c>
      <c r="H522" s="9" t="n">
        <v>0</v>
      </c>
      <c r="I522" s="9" t="n">
        <v>0</v>
      </c>
      <c r="J522" s="9" t="n">
        <v>0</v>
      </c>
      <c r="K522" s="9">
        <f>E522+F522+G522+H522+I522-J522</f>
        <v/>
      </c>
      <c r="L522" s="10" t="n">
        <v>0</v>
      </c>
      <c r="M522" s="10" t="n">
        <v>85</v>
      </c>
      <c r="N522" s="10" t="n">
        <v>6</v>
      </c>
      <c r="O522" s="10">
        <f>J522/160</f>
        <v/>
      </c>
      <c r="P522" s="10" t="n">
        <v>60</v>
      </c>
      <c r="Q522" s="10">
        <f>L522+M522+N522+O522-P522</f>
        <v/>
      </c>
      <c r="R522" s="11" t="n">
        <v>3</v>
      </c>
      <c r="S522" s="11">
        <f>N(V522) + N(X522) + N(Z522)</f>
        <v/>
      </c>
      <c r="T522" s="11">
        <f>R522+P522-S522</f>
        <v/>
      </c>
      <c r="U522" s="11" t="inlineStr">
        <is>
          <t>是</t>
        </is>
      </c>
      <c r="V522" s="11" t="n">
        <v>50</v>
      </c>
      <c r="W522" s="11" t="inlineStr">
        <is>
          <t>否</t>
        </is>
      </c>
      <c r="X522" s="11" t="inlineStr">
        <is>
          <t>-</t>
        </is>
      </c>
      <c r="Y522" s="11" t="inlineStr">
        <is>
          <t>-</t>
        </is>
      </c>
      <c r="Z522" s="11" t="n">
        <v>0</v>
      </c>
      <c r="AA522" s="11" t="inlineStr">
        <is>
          <t>垫到60抽</t>
        </is>
      </c>
      <c r="AB522" s="12" t="n">
        <v>1070</v>
      </c>
      <c r="AC522" s="12" t="n">
        <v>4</v>
      </c>
      <c r="AD522" s="12" t="n">
        <v>0</v>
      </c>
      <c r="AE522" s="12">
        <f>AB522+AC522+AD522</f>
        <v/>
      </c>
      <c r="AF522" s="13" t="n">
        <v>150000</v>
      </c>
      <c r="AG522" s="13" t="n">
        <v>0</v>
      </c>
      <c r="AH522" s="13" t="n">
        <v>0</v>
      </c>
      <c r="AI522" s="13">
        <f>AF522+AG522+AH522</f>
        <v/>
      </c>
      <c r="AJ522" s="14" t="n">
        <v>0</v>
      </c>
      <c r="AK522" s="14" t="n">
        <v>50</v>
      </c>
      <c r="AL522" s="14" t="n">
        <v>0</v>
      </c>
      <c r="AM522" s="14">
        <f>AJ522+AK522+AL522</f>
        <v/>
      </c>
      <c r="AN522" s="14">
        <f>AM522</f>
        <v/>
      </c>
    </row>
    <row r="523">
      <c r="A523" s="8" t="n">
        <v>21</v>
      </c>
      <c r="B523" s="8" t="n">
        <v>1</v>
      </c>
      <c r="C523" s="8" t="n">
        <v>2</v>
      </c>
      <c r="D523" s="8" t="inlineStr">
        <is>
          <t>月卡收益 [月卡续费-30元]</t>
        </is>
      </c>
      <c r="E523" s="9">
        <f>K522</f>
        <v/>
      </c>
      <c r="F523" s="9" t="n">
        <v>1540</v>
      </c>
      <c r="G523" s="9" t="n">
        <v>0</v>
      </c>
      <c r="H523" s="9" t="n">
        <v>0</v>
      </c>
      <c r="I523" s="9" t="n">
        <v>0</v>
      </c>
      <c r="J523" s="9" t="n">
        <v>960</v>
      </c>
      <c r="K523" s="9">
        <f>E523+F523+G523+H523+I523-J523</f>
        <v/>
      </c>
      <c r="L523" s="10">
        <f>Q522</f>
        <v/>
      </c>
      <c r="M523" s="10" t="n">
        <v>0</v>
      </c>
      <c r="N523" s="10" t="n">
        <v>3</v>
      </c>
      <c r="O523" s="10">
        <f>J523/160</f>
        <v/>
      </c>
      <c r="P523" s="10" t="n">
        <v>40</v>
      </c>
      <c r="Q523" s="10">
        <f>L523+M523+N523+O523-P523</f>
        <v/>
      </c>
      <c r="R523" s="11">
        <f>T522</f>
        <v/>
      </c>
      <c r="S523" s="11">
        <f>N(V523) + N(X523) + N(Z523)</f>
        <v/>
      </c>
      <c r="T523" s="11">
        <f>R523+P523-S523</f>
        <v/>
      </c>
      <c r="U523" s="11" t="inlineStr">
        <is>
          <t>是</t>
        </is>
      </c>
      <c r="V523" s="11" t="n">
        <v>49</v>
      </c>
      <c r="W523" s="11" t="inlineStr">
        <is>
          <t>否</t>
        </is>
      </c>
      <c r="X523" s="11" t="inlineStr">
        <is>
          <t>-</t>
        </is>
      </c>
      <c r="Y523" s="11" t="inlineStr">
        <is>
          <t>UP(4)</t>
        </is>
      </c>
      <c r="Z523" s="11" t="n">
        <v>4</v>
      </c>
      <c r="AA523" s="11" t="inlineStr">
        <is>
          <t>无</t>
        </is>
      </c>
      <c r="AB523" s="12">
        <f>AE522</f>
        <v/>
      </c>
      <c r="AC523" s="12" t="n">
        <v>0</v>
      </c>
      <c r="AD523" s="12" t="n">
        <v>0</v>
      </c>
      <c r="AE523" s="12">
        <f>AB523+AC523+AD523</f>
        <v/>
      </c>
      <c r="AF523" s="13">
        <f>AI522</f>
        <v/>
      </c>
      <c r="AG523" s="13" t="n">
        <v>0</v>
      </c>
      <c r="AH523" s="13" t="n">
        <v>0</v>
      </c>
      <c r="AI523" s="13">
        <f>AF523+AG523+AH523</f>
        <v/>
      </c>
      <c r="AJ523" s="14" t="n">
        <v>30</v>
      </c>
      <c r="AK523" s="14" t="n">
        <v>0</v>
      </c>
      <c r="AL523" s="14" t="n">
        <v>0</v>
      </c>
      <c r="AM523" s="14">
        <f>AJ523+AK523+AL523</f>
        <v/>
      </c>
      <c r="AN523" s="14">
        <f>AN522+AM523</f>
        <v/>
      </c>
    </row>
    <row r="524">
      <c r="A524" s="8" t="n">
        <v>21</v>
      </c>
      <c r="B524" s="8" t="n">
        <v>2</v>
      </c>
      <c r="C524" s="8" t="n">
        <v>1</v>
      </c>
      <c r="D524" s="8" t="inlineStr">
        <is>
          <t>版本免费+义相逢 + 月卡收益</t>
        </is>
      </c>
      <c r="E524" s="9">
        <f>K523</f>
        <v/>
      </c>
      <c r="F524" s="9" t="n">
        <v>1540</v>
      </c>
      <c r="G524" s="9" t="n">
        <v>4800</v>
      </c>
      <c r="H524" s="9" t="n">
        <v>0</v>
      </c>
      <c r="I524" s="9" t="n">
        <v>0</v>
      </c>
      <c r="J524" s="9" t="n">
        <v>15040</v>
      </c>
      <c r="K524" s="9">
        <f>E524+F524+G524+H524+I524-J524</f>
        <v/>
      </c>
      <c r="L524" s="10">
        <f>Q523</f>
        <v/>
      </c>
      <c r="M524" s="10" t="n">
        <v>85</v>
      </c>
      <c r="N524" s="10" t="n">
        <v>21</v>
      </c>
      <c r="O524" s="10">
        <f>J524/160</f>
        <v/>
      </c>
      <c r="P524" s="10" t="n">
        <v>200</v>
      </c>
      <c r="Q524" s="10">
        <f>L524+M524+N524+O524-P524</f>
        <v/>
      </c>
      <c r="R524" s="11">
        <f>T523</f>
        <v/>
      </c>
      <c r="S524" s="11">
        <f>N(V524) + N(X524) + N(Z524)</f>
        <v/>
      </c>
      <c r="T524" s="11">
        <f>R524+P524-S524</f>
        <v/>
      </c>
      <c r="U524" s="11" t="inlineStr">
        <is>
          <t>是</t>
        </is>
      </c>
      <c r="V524" s="11" t="n">
        <v>50</v>
      </c>
      <c r="W524" s="11" t="inlineStr">
        <is>
          <t>是</t>
        </is>
      </c>
      <c r="X524" s="11" t="n">
        <v>50</v>
      </c>
      <c r="Y524" s="11" t="inlineStr">
        <is>
          <t>歪(46), UP(46)</t>
        </is>
      </c>
      <c r="Z524" s="11" t="n">
        <v>92</v>
      </c>
      <c r="AA524" s="11" t="inlineStr">
        <is>
          <t>冲刺200(动态100)</t>
        </is>
      </c>
      <c r="AB524" s="12">
        <f>AE523</f>
        <v/>
      </c>
      <c r="AC524" s="12" t="n">
        <v>4</v>
      </c>
      <c r="AD524" s="12" t="n">
        <v>1</v>
      </c>
      <c r="AE524" s="12">
        <f>AB524+AC524+AD524</f>
        <v/>
      </c>
      <c r="AF524" s="13">
        <f>AI523</f>
        <v/>
      </c>
      <c r="AG524" s="13" t="n">
        <v>0</v>
      </c>
      <c r="AH524" s="13" t="n">
        <v>5000</v>
      </c>
      <c r="AI524" s="13">
        <f>AF524+AG524+AH524</f>
        <v/>
      </c>
      <c r="AJ524" s="14" t="n">
        <v>0</v>
      </c>
      <c r="AK524" s="14" t="n">
        <v>50</v>
      </c>
      <c r="AL524" s="14" t="n">
        <v>0</v>
      </c>
      <c r="AM524" s="14">
        <f>AJ524+AK524+AL524</f>
        <v/>
      </c>
      <c r="AN524" s="14">
        <f>AN523+AM524</f>
        <v/>
      </c>
    </row>
    <row r="525">
      <c r="A525" s="8" t="n">
        <v>21</v>
      </c>
      <c r="B525" s="8" t="n">
        <v>2</v>
      </c>
      <c r="C525" s="8" t="n">
        <v>2</v>
      </c>
      <c r="D525" s="8" t="inlineStr">
        <is>
          <t>月卡收益 [月卡续费-30元]</t>
        </is>
      </c>
      <c r="E525" s="9">
        <f>K524</f>
        <v/>
      </c>
      <c r="F525" s="9" t="n">
        <v>1540</v>
      </c>
      <c r="G525" s="9" t="n">
        <v>0</v>
      </c>
      <c r="H525" s="9" t="n">
        <v>0</v>
      </c>
      <c r="I525" s="9" t="n">
        <v>0</v>
      </c>
      <c r="J525" s="9" t="n">
        <v>5920</v>
      </c>
      <c r="K525" s="9">
        <f>E525+F525+G525+H525+I525-J525</f>
        <v/>
      </c>
      <c r="L525" s="10">
        <f>Q524</f>
        <v/>
      </c>
      <c r="M525" s="10" t="n">
        <v>0</v>
      </c>
      <c r="N525" s="10" t="n">
        <v>3</v>
      </c>
      <c r="O525" s="10">
        <f>J525/160</f>
        <v/>
      </c>
      <c r="P525" s="10" t="n">
        <v>40</v>
      </c>
      <c r="Q525" s="10">
        <f>L525+M525+N525+O525-P525</f>
        <v/>
      </c>
      <c r="R525" s="11">
        <f>T524</f>
        <v/>
      </c>
      <c r="S525" s="11">
        <f>N(V525) + N(X525) + N(Z525)</f>
        <v/>
      </c>
      <c r="T525" s="11">
        <f>R525+P525-S525</f>
        <v/>
      </c>
      <c r="U525" s="11" t="inlineStr">
        <is>
          <t>是</t>
        </is>
      </c>
      <c r="V525" s="11" t="n">
        <v>46</v>
      </c>
      <c r="W525" s="11" t="inlineStr">
        <is>
          <t>否</t>
        </is>
      </c>
      <c r="X525" s="11" t="inlineStr">
        <is>
          <t>-</t>
        </is>
      </c>
      <c r="Y525" s="11" t="inlineStr">
        <is>
          <t>-</t>
        </is>
      </c>
      <c r="Z525" s="11" t="n">
        <v>0</v>
      </c>
      <c r="AA525" s="11" t="inlineStr">
        <is>
          <t>无</t>
        </is>
      </c>
      <c r="AB525" s="12">
        <f>AE524</f>
        <v/>
      </c>
      <c r="AC525" s="12" t="n">
        <v>0</v>
      </c>
      <c r="AD525" s="12" t="n">
        <v>0</v>
      </c>
      <c r="AE525" s="12">
        <f>AB525+AC525+AD525</f>
        <v/>
      </c>
      <c r="AF525" s="13">
        <f>AI524</f>
        <v/>
      </c>
      <c r="AG525" s="13" t="n">
        <v>0</v>
      </c>
      <c r="AH525" s="13" t="n">
        <v>0</v>
      </c>
      <c r="AI525" s="13">
        <f>AF525+AG525+AH525</f>
        <v/>
      </c>
      <c r="AJ525" s="14" t="n">
        <v>30</v>
      </c>
      <c r="AK525" s="14" t="n">
        <v>0</v>
      </c>
      <c r="AL525" s="14" t="n">
        <v>0</v>
      </c>
      <c r="AM525" s="14">
        <f>AJ525+AK525+AL525</f>
        <v/>
      </c>
      <c r="AN525" s="14">
        <f>AN524+AM525</f>
        <v/>
      </c>
    </row>
    <row r="526">
      <c r="A526" s="8" t="n">
        <v>21</v>
      </c>
      <c r="B526" s="8" t="n">
        <v>3</v>
      </c>
      <c r="C526" s="8" t="n">
        <v>1</v>
      </c>
      <c r="D526" s="8" t="inlineStr">
        <is>
          <t>版本免费+义相逢 + 月卡收益</t>
        </is>
      </c>
      <c r="E526" s="9">
        <f>K525</f>
        <v/>
      </c>
      <c r="F526" s="9" t="n">
        <v>1540</v>
      </c>
      <c r="G526" s="9" t="n">
        <v>4800</v>
      </c>
      <c r="H526" s="9" t="n">
        <v>0</v>
      </c>
      <c r="I526" s="9" t="n">
        <v>0</v>
      </c>
      <c r="J526" s="9" t="n">
        <v>0</v>
      </c>
      <c r="K526" s="9">
        <f>E526+F526+G526+H526+I526-J526</f>
        <v/>
      </c>
      <c r="L526" s="10">
        <f>Q525</f>
        <v/>
      </c>
      <c r="M526" s="10" t="n">
        <v>85</v>
      </c>
      <c r="N526" s="10" t="n">
        <v>6</v>
      </c>
      <c r="O526" s="10">
        <f>J526/160</f>
        <v/>
      </c>
      <c r="P526" s="10" t="n">
        <v>60</v>
      </c>
      <c r="Q526" s="10">
        <f>L526+M526+N526+O526-P526</f>
        <v/>
      </c>
      <c r="R526" s="11">
        <f>T525</f>
        <v/>
      </c>
      <c r="S526" s="11">
        <f>N(V526) + N(X526) + N(Z526)</f>
        <v/>
      </c>
      <c r="T526" s="11">
        <f>R526+P526-S526</f>
        <v/>
      </c>
      <c r="U526" s="11" t="inlineStr">
        <is>
          <t>是</t>
        </is>
      </c>
      <c r="V526" s="11" t="n">
        <v>48</v>
      </c>
      <c r="W526" s="11" t="inlineStr">
        <is>
          <t>否</t>
        </is>
      </c>
      <c r="X526" s="11" t="inlineStr">
        <is>
          <t>-</t>
        </is>
      </c>
      <c r="Y526" s="11" t="inlineStr">
        <is>
          <t>-</t>
        </is>
      </c>
      <c r="Z526" s="11" t="n">
        <v>0</v>
      </c>
      <c r="AA526" s="11" t="inlineStr">
        <is>
          <t>垫到60抽</t>
        </is>
      </c>
      <c r="AB526" s="12">
        <f>AE525</f>
        <v/>
      </c>
      <c r="AC526" s="12" t="n">
        <v>4</v>
      </c>
      <c r="AD526" s="12" t="n">
        <v>0</v>
      </c>
      <c r="AE526" s="12">
        <f>AB526+AC526+AD526</f>
        <v/>
      </c>
      <c r="AF526" s="13">
        <f>AI525</f>
        <v/>
      </c>
      <c r="AG526" s="13" t="n">
        <v>0</v>
      </c>
      <c r="AH526" s="13" t="n">
        <v>0</v>
      </c>
      <c r="AI526" s="13">
        <f>AF526+AG526+AH526</f>
        <v/>
      </c>
      <c r="AJ526" s="14" t="n">
        <v>0</v>
      </c>
      <c r="AK526" s="14" t="n">
        <v>50</v>
      </c>
      <c r="AL526" s="14" t="n">
        <v>0</v>
      </c>
      <c r="AM526" s="14">
        <f>AJ526+AK526+AL526</f>
        <v/>
      </c>
      <c r="AN526" s="14">
        <f>AN525+AM526</f>
        <v/>
      </c>
    </row>
    <row r="527">
      <c r="A527" s="8" t="n">
        <v>21</v>
      </c>
      <c r="B527" s="8" t="n">
        <v>3</v>
      </c>
      <c r="C527" s="8" t="n">
        <v>2</v>
      </c>
      <c r="D527" s="8" t="inlineStr">
        <is>
          <t>月卡收益</t>
        </is>
      </c>
      <c r="E527" s="9">
        <f>K526</f>
        <v/>
      </c>
      <c r="F527" s="9" t="n">
        <v>1540</v>
      </c>
      <c r="G527" s="9" t="n">
        <v>0</v>
      </c>
      <c r="H527" s="9" t="n">
        <v>0</v>
      </c>
      <c r="I527" s="9" t="n">
        <v>0</v>
      </c>
      <c r="J527" s="9" t="n">
        <v>960</v>
      </c>
      <c r="K527" s="9">
        <f>E527+F527+G527+H527+I527-J527</f>
        <v/>
      </c>
      <c r="L527" s="10">
        <f>Q526</f>
        <v/>
      </c>
      <c r="M527" s="10" t="n">
        <v>0</v>
      </c>
      <c r="N527" s="10" t="n">
        <v>3</v>
      </c>
      <c r="O527" s="10">
        <f>J527/160</f>
        <v/>
      </c>
      <c r="P527" s="10" t="n">
        <v>40</v>
      </c>
      <c r="Q527" s="10">
        <f>L527+M527+N527+O527-P527</f>
        <v/>
      </c>
      <c r="R527" s="11">
        <f>T526</f>
        <v/>
      </c>
      <c r="S527" s="11">
        <f>N(V527) + N(X527) + N(Z527)</f>
        <v/>
      </c>
      <c r="T527" s="11">
        <f>R527+P527-S527</f>
        <v/>
      </c>
      <c r="U527" s="11" t="inlineStr">
        <is>
          <t>是</t>
        </is>
      </c>
      <c r="V527" s="11" t="n">
        <v>51</v>
      </c>
      <c r="W527" s="11" t="inlineStr">
        <is>
          <t>否</t>
        </is>
      </c>
      <c r="X527" s="11" t="inlineStr">
        <is>
          <t>-</t>
        </is>
      </c>
      <c r="Y527" s="11" t="inlineStr">
        <is>
          <t>-</t>
        </is>
      </c>
      <c r="Z527" s="11" t="n">
        <v>0</v>
      </c>
      <c r="AA527" s="11" t="inlineStr">
        <is>
          <t>无</t>
        </is>
      </c>
      <c r="AB527" s="12">
        <f>AE526</f>
        <v/>
      </c>
      <c r="AC527" s="12" t="n">
        <v>0</v>
      </c>
      <c r="AD527" s="12" t="n">
        <v>0</v>
      </c>
      <c r="AE527" s="12">
        <f>AB527+AC527+AD527</f>
        <v/>
      </c>
      <c r="AF527" s="13">
        <f>AI526</f>
        <v/>
      </c>
      <c r="AG527" s="13" t="n">
        <v>0</v>
      </c>
      <c r="AH527" s="13" t="n">
        <v>0</v>
      </c>
      <c r="AI527" s="13">
        <f>AF527+AG527+AH527</f>
        <v/>
      </c>
      <c r="AJ527" s="14" t="n">
        <v>0</v>
      </c>
      <c r="AK527" s="14" t="n">
        <v>0</v>
      </c>
      <c r="AL527" s="14" t="n">
        <v>0</v>
      </c>
      <c r="AM527" s="14">
        <f>AJ527+AK527+AL527</f>
        <v/>
      </c>
      <c r="AN527" s="14">
        <f>AN526+AM527</f>
        <v/>
      </c>
    </row>
    <row r="528">
      <c r="A528" s="8" t="n">
        <v>21</v>
      </c>
      <c r="B528" s="8" t="n">
        <v>4</v>
      </c>
      <c r="C528" s="8" t="n">
        <v>1</v>
      </c>
      <c r="D528" s="8" t="inlineStr">
        <is>
          <t>版本免费+义相逢 + 月卡收益 [月卡续费-30元]</t>
        </is>
      </c>
      <c r="E528" s="9">
        <f>K527</f>
        <v/>
      </c>
      <c r="F528" s="9" t="n">
        <v>1540</v>
      </c>
      <c r="G528" s="9" t="n">
        <v>4800</v>
      </c>
      <c r="H528" s="9" t="n">
        <v>0</v>
      </c>
      <c r="I528" s="9" t="n">
        <v>0</v>
      </c>
      <c r="J528" s="9" t="n">
        <v>640</v>
      </c>
      <c r="K528" s="9">
        <f>E528+F528+G528+H528+I528-J528</f>
        <v/>
      </c>
      <c r="L528" s="10">
        <f>Q527</f>
        <v/>
      </c>
      <c r="M528" s="10" t="n">
        <v>85</v>
      </c>
      <c r="N528" s="10" t="n">
        <v>11</v>
      </c>
      <c r="O528" s="10">
        <f>J528/160</f>
        <v/>
      </c>
      <c r="P528" s="10" t="n">
        <v>100</v>
      </c>
      <c r="Q528" s="10">
        <f>L528+M528+N528+O528-P528</f>
        <v/>
      </c>
      <c r="R528" s="11">
        <f>T527</f>
        <v/>
      </c>
      <c r="S528" s="11">
        <f>N(V528) + N(X528) + N(Z528)</f>
        <v/>
      </c>
      <c r="T528" s="11">
        <f>R528+P528-S528</f>
        <v/>
      </c>
      <c r="U528" s="11" t="inlineStr">
        <is>
          <t>是</t>
        </is>
      </c>
      <c r="V528" s="11" t="n">
        <v>53</v>
      </c>
      <c r="W528" s="11" t="inlineStr">
        <is>
          <t>是</t>
        </is>
      </c>
      <c r="X528" s="11" t="n">
        <v>46</v>
      </c>
      <c r="Y528" s="11" t="inlineStr">
        <is>
          <t>-</t>
        </is>
      </c>
      <c r="Z528" s="11" t="n">
        <v>0</v>
      </c>
      <c r="AA528" s="11" t="inlineStr">
        <is>
          <t>无</t>
        </is>
      </c>
      <c r="AB528" s="12">
        <f>AE527</f>
        <v/>
      </c>
      <c r="AC528" s="12" t="n">
        <v>4</v>
      </c>
      <c r="AD528" s="12" t="n">
        <v>0</v>
      </c>
      <c r="AE528" s="12">
        <f>AB528+AC528+AD528</f>
        <v/>
      </c>
      <c r="AF528" s="13">
        <f>AI527</f>
        <v/>
      </c>
      <c r="AG528" s="13" t="n">
        <v>0</v>
      </c>
      <c r="AH528" s="13" t="n">
        <v>0</v>
      </c>
      <c r="AI528" s="13">
        <f>AF528+AG528+AH528</f>
        <v/>
      </c>
      <c r="AJ528" s="14" t="n">
        <v>30</v>
      </c>
      <c r="AK528" s="14" t="n">
        <v>50</v>
      </c>
      <c r="AL528" s="14" t="n">
        <v>0</v>
      </c>
      <c r="AM528" s="14">
        <f>AJ528+AK528+AL528</f>
        <v/>
      </c>
      <c r="AN528" s="14">
        <f>AN527+AM528</f>
        <v/>
      </c>
    </row>
    <row r="529">
      <c r="A529" s="8" t="n">
        <v>21</v>
      </c>
      <c r="B529" s="8" t="n">
        <v>4</v>
      </c>
      <c r="C529" s="8" t="n">
        <v>2</v>
      </c>
      <c r="D529" s="8" t="inlineStr">
        <is>
          <t>月卡收益</t>
        </is>
      </c>
      <c r="E529" s="9">
        <f>K528</f>
        <v/>
      </c>
      <c r="F529" s="9" t="n">
        <v>1540</v>
      </c>
      <c r="G529" s="9" t="n">
        <v>0</v>
      </c>
      <c r="H529" s="9" t="n">
        <v>0</v>
      </c>
      <c r="I529" s="9" t="n">
        <v>0</v>
      </c>
      <c r="J529" s="9" t="n">
        <v>9120</v>
      </c>
      <c r="K529" s="9">
        <f>E529+F529+G529+H529+I529-J529</f>
        <v/>
      </c>
      <c r="L529" s="10">
        <f>Q528</f>
        <v/>
      </c>
      <c r="M529" s="10" t="n">
        <v>0</v>
      </c>
      <c r="N529" s="10" t="n">
        <v>6</v>
      </c>
      <c r="O529" s="10">
        <f>J529/160</f>
        <v/>
      </c>
      <c r="P529" s="10" t="n">
        <v>60</v>
      </c>
      <c r="Q529" s="10">
        <f>L529+M529+N529+O529-P529</f>
        <v/>
      </c>
      <c r="R529" s="11">
        <f>T528</f>
        <v/>
      </c>
      <c r="S529" s="11">
        <f>N(V529) + N(X529) + N(Z529)</f>
        <v/>
      </c>
      <c r="T529" s="11">
        <f>R529+P529-S529</f>
        <v/>
      </c>
      <c r="U529" s="11" t="inlineStr">
        <is>
          <t>是</t>
        </is>
      </c>
      <c r="V529" s="11" t="n">
        <v>47</v>
      </c>
      <c r="W529" s="11" t="inlineStr">
        <is>
          <t>否</t>
        </is>
      </c>
      <c r="X529" s="11" t="inlineStr">
        <is>
          <t>-</t>
        </is>
      </c>
      <c r="Y529" s="11" t="inlineStr">
        <is>
          <t>-</t>
        </is>
      </c>
      <c r="Z529" s="11" t="n">
        <v>0</v>
      </c>
      <c r="AA529" s="11" t="inlineStr">
        <is>
          <t>垫到60抽</t>
        </is>
      </c>
      <c r="AB529" s="12">
        <f>AE528</f>
        <v/>
      </c>
      <c r="AC529" s="12" t="n">
        <v>0</v>
      </c>
      <c r="AD529" s="12" t="n">
        <v>0</v>
      </c>
      <c r="AE529" s="12">
        <f>AB529+AC529+AD529</f>
        <v/>
      </c>
      <c r="AF529" s="13">
        <f>AI528</f>
        <v/>
      </c>
      <c r="AG529" s="13" t="n">
        <v>0</v>
      </c>
      <c r="AH529" s="13" t="n">
        <v>0</v>
      </c>
      <c r="AI529" s="13">
        <f>AF529+AG529+AH529</f>
        <v/>
      </c>
      <c r="AJ529" s="14" t="n">
        <v>0</v>
      </c>
      <c r="AK529" s="14" t="n">
        <v>0</v>
      </c>
      <c r="AL529" s="14" t="n">
        <v>0</v>
      </c>
      <c r="AM529" s="14">
        <f>AJ529+AK529+AL529</f>
        <v/>
      </c>
      <c r="AN529" s="14">
        <f>AN528+AM529</f>
        <v/>
      </c>
    </row>
    <row r="530">
      <c r="A530" s="8" t="n">
        <v>21</v>
      </c>
      <c r="B530" s="8" t="n">
        <v>5</v>
      </c>
      <c r="C530" s="8" t="n">
        <v>1</v>
      </c>
      <c r="D530" s="8" t="inlineStr">
        <is>
          <t>版本免费+义相逢 + 月卡收益 [月卡续费-30元]</t>
        </is>
      </c>
      <c r="E530" s="9">
        <f>K529</f>
        <v/>
      </c>
      <c r="F530" s="9" t="n">
        <v>1540</v>
      </c>
      <c r="G530" s="9" t="n">
        <v>4800</v>
      </c>
      <c r="H530" s="9" t="n">
        <v>0</v>
      </c>
      <c r="I530" s="9" t="n">
        <v>0</v>
      </c>
      <c r="J530" s="9" t="n">
        <v>0</v>
      </c>
      <c r="K530" s="9">
        <f>E530+F530+G530+H530+I530-J530</f>
        <v/>
      </c>
      <c r="L530" s="10">
        <f>Q529</f>
        <v/>
      </c>
      <c r="M530" s="10" t="n">
        <v>85</v>
      </c>
      <c r="N530" s="10" t="n">
        <v>3</v>
      </c>
      <c r="O530" s="10">
        <f>J530/160</f>
        <v/>
      </c>
      <c r="P530" s="10" t="n">
        <v>40</v>
      </c>
      <c r="Q530" s="10">
        <f>L530+M530+N530+O530-P530</f>
        <v/>
      </c>
      <c r="R530" s="11">
        <f>T529</f>
        <v/>
      </c>
      <c r="S530" s="11">
        <f>N(V530) + N(X530) + N(Z530)</f>
        <v/>
      </c>
      <c r="T530" s="11">
        <f>R530+P530-S530</f>
        <v/>
      </c>
      <c r="U530" s="11" t="inlineStr">
        <is>
          <t>是</t>
        </is>
      </c>
      <c r="V530" s="11" t="n">
        <v>52</v>
      </c>
      <c r="W530" s="11" t="inlineStr">
        <is>
          <t>否</t>
        </is>
      </c>
      <c r="X530" s="11" t="inlineStr">
        <is>
          <t>-</t>
        </is>
      </c>
      <c r="Y530" s="11" t="inlineStr">
        <is>
          <t>-</t>
        </is>
      </c>
      <c r="Z530" s="11" t="n">
        <v>0</v>
      </c>
      <c r="AA530" s="11" t="inlineStr">
        <is>
          <t>无</t>
        </is>
      </c>
      <c r="AB530" s="12">
        <f>AE529</f>
        <v/>
      </c>
      <c r="AC530" s="12" t="n">
        <v>4</v>
      </c>
      <c r="AD530" s="12" t="n">
        <v>0</v>
      </c>
      <c r="AE530" s="12">
        <f>AB530+AC530+AD530</f>
        <v/>
      </c>
      <c r="AF530" s="13">
        <f>AI529</f>
        <v/>
      </c>
      <c r="AG530" s="13" t="n">
        <v>0</v>
      </c>
      <c r="AH530" s="13" t="n">
        <v>0</v>
      </c>
      <c r="AI530" s="13">
        <f>AF530+AG530+AH530</f>
        <v/>
      </c>
      <c r="AJ530" s="14" t="n">
        <v>30</v>
      </c>
      <c r="AK530" s="14" t="n">
        <v>50</v>
      </c>
      <c r="AL530" s="14" t="n">
        <v>0</v>
      </c>
      <c r="AM530" s="14">
        <f>AJ530+AK530+AL530</f>
        <v/>
      </c>
      <c r="AN530" s="14">
        <f>AN529+AM530</f>
        <v/>
      </c>
    </row>
    <row r="531">
      <c r="A531" s="8" t="n">
        <v>21</v>
      </c>
      <c r="B531" s="8" t="n">
        <v>5</v>
      </c>
      <c r="C531" s="8" t="n">
        <v>2</v>
      </c>
      <c r="D531" s="8" t="inlineStr">
        <is>
          <t>月卡收益</t>
        </is>
      </c>
      <c r="E531" s="9">
        <f>K530</f>
        <v/>
      </c>
      <c r="F531" s="9" t="n">
        <v>1540</v>
      </c>
      <c r="G531" s="9" t="n">
        <v>0</v>
      </c>
      <c r="H531" s="9" t="n">
        <v>0</v>
      </c>
      <c r="I531" s="9" t="n">
        <v>0</v>
      </c>
      <c r="J531" s="9" t="n">
        <v>6080</v>
      </c>
      <c r="K531" s="9">
        <f>E531+F531+G531+H531+I531-J531</f>
        <v/>
      </c>
      <c r="L531" s="10">
        <f>Q530</f>
        <v/>
      </c>
      <c r="M531" s="10" t="n">
        <v>0</v>
      </c>
      <c r="N531" s="10" t="n">
        <v>11</v>
      </c>
      <c r="O531" s="10">
        <f>J531/160</f>
        <v/>
      </c>
      <c r="P531" s="10" t="n">
        <v>100</v>
      </c>
      <c r="Q531" s="10">
        <f>L531+M531+N531+O531-P531</f>
        <v/>
      </c>
      <c r="R531" s="11">
        <f>T530</f>
        <v/>
      </c>
      <c r="S531" s="11">
        <f>N(V531) + N(X531) + N(Z531)</f>
        <v/>
      </c>
      <c r="T531" s="11">
        <f>R531+P531-S531</f>
        <v/>
      </c>
      <c r="U531" s="11" t="inlineStr">
        <is>
          <t>是</t>
        </is>
      </c>
      <c r="V531" s="11" t="n">
        <v>50</v>
      </c>
      <c r="W531" s="11" t="inlineStr">
        <is>
          <t>是</t>
        </is>
      </c>
      <c r="X531" s="11" t="n">
        <v>50</v>
      </c>
      <c r="Y531" s="11" t="inlineStr">
        <is>
          <t>-</t>
        </is>
      </c>
      <c r="Z531" s="11" t="n">
        <v>0</v>
      </c>
      <c r="AA531" s="11" t="inlineStr">
        <is>
          <t>无</t>
        </is>
      </c>
      <c r="AB531" s="12">
        <f>AE530</f>
        <v/>
      </c>
      <c r="AC531" s="12" t="n">
        <v>0</v>
      </c>
      <c r="AD531" s="12" t="n">
        <v>0</v>
      </c>
      <c r="AE531" s="12">
        <f>AB531+AC531+AD531</f>
        <v/>
      </c>
      <c r="AF531" s="13">
        <f>AI530</f>
        <v/>
      </c>
      <c r="AG531" s="13" t="n">
        <v>0</v>
      </c>
      <c r="AH531" s="13" t="n">
        <v>0</v>
      </c>
      <c r="AI531" s="13">
        <f>AF531+AG531+AH531</f>
        <v/>
      </c>
      <c r="AJ531" s="14" t="n">
        <v>0</v>
      </c>
      <c r="AK531" s="14" t="n">
        <v>0</v>
      </c>
      <c r="AL531" s="14" t="n">
        <v>0</v>
      </c>
      <c r="AM531" s="14">
        <f>AJ531+AK531+AL531</f>
        <v/>
      </c>
      <c r="AN531" s="14">
        <f>AN530+AM531</f>
        <v/>
      </c>
    </row>
    <row r="532">
      <c r="A532" s="8" t="n">
        <v>21</v>
      </c>
      <c r="B532" s="8" t="n">
        <v>6</v>
      </c>
      <c r="C532" s="8" t="n">
        <v>1</v>
      </c>
      <c r="D532" s="8" t="inlineStr">
        <is>
          <t>版本免费+义相逢 + 月卡收益 [月卡续费-30元]</t>
        </is>
      </c>
      <c r="E532" s="9">
        <f>K531</f>
        <v/>
      </c>
      <c r="F532" s="9" t="n">
        <v>1540</v>
      </c>
      <c r="G532" s="9" t="n">
        <v>4800</v>
      </c>
      <c r="H532" s="9" t="n">
        <v>0</v>
      </c>
      <c r="I532" s="9" t="n">
        <v>0</v>
      </c>
      <c r="J532" s="9" t="n">
        <v>0</v>
      </c>
      <c r="K532" s="9">
        <f>E532+F532+G532+H532+I532-J532</f>
        <v/>
      </c>
      <c r="L532" s="10">
        <f>Q531</f>
        <v/>
      </c>
      <c r="M532" s="10" t="n">
        <v>85</v>
      </c>
      <c r="N532" s="10" t="n">
        <v>11</v>
      </c>
      <c r="O532" s="10">
        <f>J532/160</f>
        <v/>
      </c>
      <c r="P532" s="10" t="n">
        <v>90</v>
      </c>
      <c r="Q532" s="10">
        <f>L532+M532+N532+O532-P532</f>
        <v/>
      </c>
      <c r="R532" s="11">
        <f>T531</f>
        <v/>
      </c>
      <c r="S532" s="11">
        <f>N(V532) + N(X532) + N(Z532)</f>
        <v/>
      </c>
      <c r="T532" s="11">
        <f>R532+P532-S532</f>
        <v/>
      </c>
      <c r="U532" s="11" t="inlineStr">
        <is>
          <t>是</t>
        </is>
      </c>
      <c r="V532" s="11" t="n">
        <v>48</v>
      </c>
      <c r="W532" s="11" t="inlineStr">
        <is>
          <t>是</t>
        </is>
      </c>
      <c r="X532" s="11" t="n">
        <v>47</v>
      </c>
      <c r="Y532" s="11" t="inlineStr">
        <is>
          <t>-</t>
        </is>
      </c>
      <c r="Z532" s="11" t="n">
        <v>0</v>
      </c>
      <c r="AA532" s="11" t="inlineStr">
        <is>
          <t>无</t>
        </is>
      </c>
      <c r="AB532" s="12">
        <f>AE531</f>
        <v/>
      </c>
      <c r="AC532" s="12" t="n">
        <v>4</v>
      </c>
      <c r="AD532" s="12" t="n">
        <v>0</v>
      </c>
      <c r="AE532" s="12">
        <f>AB532+AC532+AD532</f>
        <v/>
      </c>
      <c r="AF532" s="13">
        <f>AI531</f>
        <v/>
      </c>
      <c r="AG532" s="13" t="n">
        <v>0</v>
      </c>
      <c r="AH532" s="13" t="n">
        <v>0</v>
      </c>
      <c r="AI532" s="13">
        <f>AF532+AG532+AH532</f>
        <v/>
      </c>
      <c r="AJ532" s="14" t="n">
        <v>30</v>
      </c>
      <c r="AK532" s="14" t="n">
        <v>50</v>
      </c>
      <c r="AL532" s="14" t="n">
        <v>0</v>
      </c>
      <c r="AM532" s="14">
        <f>AJ532+AK532+AL532</f>
        <v/>
      </c>
      <c r="AN532" s="14">
        <f>AN531+AM532</f>
        <v/>
      </c>
    </row>
    <row r="533">
      <c r="A533" s="8" t="n">
        <v>21</v>
      </c>
      <c r="B533" s="8" t="n">
        <v>6</v>
      </c>
      <c r="C533" s="8" t="n">
        <v>2</v>
      </c>
      <c r="D533" s="8" t="inlineStr">
        <is>
          <t>月卡收益</t>
        </is>
      </c>
      <c r="E533" s="9">
        <f>K532</f>
        <v/>
      </c>
      <c r="F533" s="9" t="n">
        <v>1540</v>
      </c>
      <c r="G533" s="9" t="n">
        <v>0</v>
      </c>
      <c r="H533" s="9" t="n">
        <v>0</v>
      </c>
      <c r="I533" s="9" t="n">
        <v>0</v>
      </c>
      <c r="J533" s="9" t="n">
        <v>8160</v>
      </c>
      <c r="K533" s="9">
        <f>E533+F533+G533+H533+I533-J533</f>
        <v/>
      </c>
      <c r="L533" s="10">
        <f>Q532</f>
        <v/>
      </c>
      <c r="M533" s="10" t="n">
        <v>0</v>
      </c>
      <c r="N533" s="10" t="n">
        <v>6</v>
      </c>
      <c r="O533" s="10">
        <f>J533/160</f>
        <v/>
      </c>
      <c r="P533" s="10" t="n">
        <v>60</v>
      </c>
      <c r="Q533" s="10">
        <f>L533+M533+N533+O533-P533</f>
        <v/>
      </c>
      <c r="R533" s="11">
        <f>T532</f>
        <v/>
      </c>
      <c r="S533" s="11">
        <f>N(V533) + N(X533) + N(Z533)</f>
        <v/>
      </c>
      <c r="T533" s="11">
        <f>R533+P533-S533</f>
        <v/>
      </c>
      <c r="U533" s="11" t="inlineStr">
        <is>
          <t>是</t>
        </is>
      </c>
      <c r="V533" s="11" t="n">
        <v>48</v>
      </c>
      <c r="W533" s="11" t="inlineStr">
        <is>
          <t>否</t>
        </is>
      </c>
      <c r="X533" s="11" t="inlineStr">
        <is>
          <t>-</t>
        </is>
      </c>
      <c r="Y533" s="11" t="inlineStr">
        <is>
          <t>-</t>
        </is>
      </c>
      <c r="Z533" s="11" t="n">
        <v>0</v>
      </c>
      <c r="AA533" s="11" t="inlineStr">
        <is>
          <t>垫到60抽</t>
        </is>
      </c>
      <c r="AB533" s="12">
        <f>AE532</f>
        <v/>
      </c>
      <c r="AC533" s="12" t="n">
        <v>0</v>
      </c>
      <c r="AD533" s="12" t="n">
        <v>0</v>
      </c>
      <c r="AE533" s="12">
        <f>AB533+AC533+AD533</f>
        <v/>
      </c>
      <c r="AF533" s="13">
        <f>AI532</f>
        <v/>
      </c>
      <c r="AG533" s="13" t="n">
        <v>0</v>
      </c>
      <c r="AH533" s="13" t="n">
        <v>0</v>
      </c>
      <c r="AI533" s="13">
        <f>AF533+AG533+AH533</f>
        <v/>
      </c>
      <c r="AJ533" s="14" t="n">
        <v>0</v>
      </c>
      <c r="AK533" s="14" t="n">
        <v>0</v>
      </c>
      <c r="AL533" s="14" t="n">
        <v>0</v>
      </c>
      <c r="AM533" s="14">
        <f>AJ533+AK533+AL533</f>
        <v/>
      </c>
      <c r="AN533" s="14">
        <f>AN532+AM533</f>
        <v/>
      </c>
    </row>
    <row r="534">
      <c r="A534" s="8" t="n">
        <v>21</v>
      </c>
      <c r="B534" s="8" t="n">
        <v>7</v>
      </c>
      <c r="C534" s="8" t="n">
        <v>1</v>
      </c>
      <c r="D534" s="8" t="inlineStr">
        <is>
          <t>版本免费+义相逢 + 月卡收益 [月卡续费-30元]</t>
        </is>
      </c>
      <c r="E534" s="9">
        <f>K533</f>
        <v/>
      </c>
      <c r="F534" s="9" t="n">
        <v>1540</v>
      </c>
      <c r="G534" s="9" t="n">
        <v>4800</v>
      </c>
      <c r="H534" s="9" t="n">
        <v>0</v>
      </c>
      <c r="I534" s="9" t="n">
        <v>0</v>
      </c>
      <c r="J534" s="9" t="n">
        <v>0</v>
      </c>
      <c r="K534" s="9">
        <f>E534+F534+G534+H534+I534-J534</f>
        <v/>
      </c>
      <c r="L534" s="10">
        <f>Q533</f>
        <v/>
      </c>
      <c r="M534" s="10" t="n">
        <v>85</v>
      </c>
      <c r="N534" s="10" t="n">
        <v>3</v>
      </c>
      <c r="O534" s="10">
        <f>J534/160</f>
        <v/>
      </c>
      <c r="P534" s="10" t="n">
        <v>40</v>
      </c>
      <c r="Q534" s="10">
        <f>L534+M534+N534+O534-P534</f>
        <v/>
      </c>
      <c r="R534" s="11">
        <f>T533</f>
        <v/>
      </c>
      <c r="S534" s="11">
        <f>N(V534) + N(X534) + N(Z534)</f>
        <v/>
      </c>
      <c r="T534" s="11">
        <f>R534+P534-S534</f>
        <v/>
      </c>
      <c r="U534" s="11" t="inlineStr">
        <is>
          <t>是</t>
        </is>
      </c>
      <c r="V534" s="11" t="n">
        <v>52</v>
      </c>
      <c r="W534" s="11" t="inlineStr">
        <is>
          <t>否</t>
        </is>
      </c>
      <c r="X534" s="11" t="inlineStr">
        <is>
          <t>-</t>
        </is>
      </c>
      <c r="Y534" s="11" t="inlineStr">
        <is>
          <t>-</t>
        </is>
      </c>
      <c r="Z534" s="11" t="n">
        <v>0</v>
      </c>
      <c r="AA534" s="11" t="inlineStr">
        <is>
          <t>无</t>
        </is>
      </c>
      <c r="AB534" s="12">
        <f>AE533</f>
        <v/>
      </c>
      <c r="AC534" s="12" t="n">
        <v>4</v>
      </c>
      <c r="AD534" s="12" t="n">
        <v>0</v>
      </c>
      <c r="AE534" s="12">
        <f>AB534+AC534+AD534</f>
        <v/>
      </c>
      <c r="AF534" s="13">
        <f>AI533</f>
        <v/>
      </c>
      <c r="AG534" s="13" t="n">
        <v>0</v>
      </c>
      <c r="AH534" s="13" t="n">
        <v>0</v>
      </c>
      <c r="AI534" s="13">
        <f>AF534+AG534+AH534</f>
        <v/>
      </c>
      <c r="AJ534" s="14" t="n">
        <v>30</v>
      </c>
      <c r="AK534" s="14" t="n">
        <v>50</v>
      </c>
      <c r="AL534" s="14" t="n">
        <v>0</v>
      </c>
      <c r="AM534" s="14">
        <f>AJ534+AK534+AL534</f>
        <v/>
      </c>
      <c r="AN534" s="14">
        <f>AN533+AM534</f>
        <v/>
      </c>
    </row>
    <row r="535">
      <c r="A535" s="8" t="n">
        <v>21</v>
      </c>
      <c r="B535" s="8" t="n">
        <v>7</v>
      </c>
      <c r="C535" s="8" t="n">
        <v>2</v>
      </c>
      <c r="D535" s="8" t="inlineStr">
        <is>
          <t>月卡收益</t>
        </is>
      </c>
      <c r="E535" s="9">
        <f>K534</f>
        <v/>
      </c>
      <c r="F535" s="9" t="n">
        <v>1540</v>
      </c>
      <c r="G535" s="9" t="n">
        <v>0</v>
      </c>
      <c r="H535" s="9" t="n">
        <v>0</v>
      </c>
      <c r="I535" s="9" t="n">
        <v>0</v>
      </c>
      <c r="J535" s="9" t="n">
        <v>7680</v>
      </c>
      <c r="K535" s="9">
        <f>E535+F535+G535+H535+I535-J535</f>
        <v/>
      </c>
      <c r="L535" s="10">
        <f>Q534</f>
        <v/>
      </c>
      <c r="M535" s="10" t="n">
        <v>0</v>
      </c>
      <c r="N535" s="10" t="n">
        <v>11</v>
      </c>
      <c r="O535" s="10">
        <f>J535/160</f>
        <v/>
      </c>
      <c r="P535" s="10" t="n">
        <v>110</v>
      </c>
      <c r="Q535" s="10">
        <f>L535+M535+N535+O535-P535</f>
        <v/>
      </c>
      <c r="R535" s="11">
        <f>T534</f>
        <v/>
      </c>
      <c r="S535" s="11">
        <f>N(V535) + N(X535) + N(Z535)</f>
        <v/>
      </c>
      <c r="T535" s="11">
        <f>R535+P535-S535</f>
        <v/>
      </c>
      <c r="U535" s="11" t="inlineStr">
        <is>
          <t>是</t>
        </is>
      </c>
      <c r="V535" s="11" t="n">
        <v>53</v>
      </c>
      <c r="W535" s="11" t="inlineStr">
        <is>
          <t>是</t>
        </is>
      </c>
      <c r="X535" s="11" t="n">
        <v>49</v>
      </c>
      <c r="Y535" s="11" t="inlineStr">
        <is>
          <t>-</t>
        </is>
      </c>
      <c r="Z535" s="11" t="n">
        <v>0</v>
      </c>
      <c r="AA535" s="11" t="inlineStr">
        <is>
          <t>无</t>
        </is>
      </c>
      <c r="AB535" s="12">
        <f>AE534</f>
        <v/>
      </c>
      <c r="AC535" s="12" t="n">
        <v>0</v>
      </c>
      <c r="AD535" s="12" t="n">
        <v>0</v>
      </c>
      <c r="AE535" s="12">
        <f>AB535+AC535+AD535</f>
        <v/>
      </c>
      <c r="AF535" s="13">
        <f>AI534</f>
        <v/>
      </c>
      <c r="AG535" s="13" t="n">
        <v>0</v>
      </c>
      <c r="AH535" s="13" t="n">
        <v>0</v>
      </c>
      <c r="AI535" s="13">
        <f>AF535+AG535+AH535</f>
        <v/>
      </c>
      <c r="AJ535" s="14" t="n">
        <v>0</v>
      </c>
      <c r="AK535" s="14" t="n">
        <v>0</v>
      </c>
      <c r="AL535" s="14" t="n">
        <v>0</v>
      </c>
      <c r="AM535" s="14">
        <f>AJ535+AK535+AL535</f>
        <v/>
      </c>
      <c r="AN535" s="14">
        <f>AN534+AM535</f>
        <v/>
      </c>
    </row>
    <row r="536">
      <c r="A536" s="8" t="n">
        <v>21</v>
      </c>
      <c r="B536" s="8" t="n">
        <v>8</v>
      </c>
      <c r="C536" s="8" t="n">
        <v>1</v>
      </c>
      <c r="D536" s="8" t="inlineStr">
        <is>
          <t>版本免费+义相逢 + 月卡收益 [月卡续费-30元]</t>
        </is>
      </c>
      <c r="E536" s="9">
        <f>K535</f>
        <v/>
      </c>
      <c r="F536" s="9" t="n">
        <v>1540</v>
      </c>
      <c r="G536" s="9" t="n">
        <v>4800</v>
      </c>
      <c r="H536" s="9" t="n">
        <v>0</v>
      </c>
      <c r="I536" s="9" t="n">
        <v>0</v>
      </c>
      <c r="J536" s="9" t="n">
        <v>0</v>
      </c>
      <c r="K536" s="9">
        <f>E536+F536+G536+H536+I536-J536</f>
        <v/>
      </c>
      <c r="L536" s="10">
        <f>Q535</f>
        <v/>
      </c>
      <c r="M536" s="10" t="n">
        <v>85</v>
      </c>
      <c r="N536" s="10" t="n">
        <v>6</v>
      </c>
      <c r="O536" s="10">
        <f>J536/160</f>
        <v/>
      </c>
      <c r="P536" s="10" t="n">
        <v>60</v>
      </c>
      <c r="Q536" s="10">
        <f>L536+M536+N536+O536-P536</f>
        <v/>
      </c>
      <c r="R536" s="11">
        <f>T535</f>
        <v/>
      </c>
      <c r="S536" s="11">
        <f>N(V536) + N(X536) + N(Z536)</f>
        <v/>
      </c>
      <c r="T536" s="11">
        <f>R536+P536-S536</f>
        <v/>
      </c>
      <c r="U536" s="11" t="inlineStr">
        <is>
          <t>是</t>
        </is>
      </c>
      <c r="V536" s="11" t="n">
        <v>49</v>
      </c>
      <c r="W536" s="11" t="inlineStr">
        <is>
          <t>否</t>
        </is>
      </c>
      <c r="X536" s="11" t="inlineStr">
        <is>
          <t>-</t>
        </is>
      </c>
      <c r="Y536" s="11" t="inlineStr">
        <is>
          <t>-</t>
        </is>
      </c>
      <c r="Z536" s="11" t="n">
        <v>0</v>
      </c>
      <c r="AA536" s="11" t="inlineStr">
        <is>
          <t>垫到60抽</t>
        </is>
      </c>
      <c r="AB536" s="12">
        <f>AE535</f>
        <v/>
      </c>
      <c r="AC536" s="12" t="n">
        <v>4</v>
      </c>
      <c r="AD536" s="12" t="n">
        <v>0</v>
      </c>
      <c r="AE536" s="12">
        <f>AB536+AC536+AD536</f>
        <v/>
      </c>
      <c r="AF536" s="13">
        <f>AI535</f>
        <v/>
      </c>
      <c r="AG536" s="13" t="n">
        <v>0</v>
      </c>
      <c r="AH536" s="13" t="n">
        <v>0</v>
      </c>
      <c r="AI536" s="13">
        <f>AF536+AG536+AH536</f>
        <v/>
      </c>
      <c r="AJ536" s="14" t="n">
        <v>30</v>
      </c>
      <c r="AK536" s="14" t="n">
        <v>50</v>
      </c>
      <c r="AL536" s="14" t="n">
        <v>0</v>
      </c>
      <c r="AM536" s="14">
        <f>AJ536+AK536+AL536</f>
        <v/>
      </c>
      <c r="AN536" s="14">
        <f>AN535+AM536</f>
        <v/>
      </c>
    </row>
    <row r="537">
      <c r="A537" s="8" t="n">
        <v>21</v>
      </c>
      <c r="B537" s="8" t="n">
        <v>8</v>
      </c>
      <c r="C537" s="8" t="n">
        <v>2</v>
      </c>
      <c r="D537" s="8" t="inlineStr">
        <is>
          <t>月卡收益</t>
        </is>
      </c>
      <c r="E537" s="9">
        <f>K536</f>
        <v/>
      </c>
      <c r="F537" s="9" t="n">
        <v>1540</v>
      </c>
      <c r="G537" s="9" t="n">
        <v>0</v>
      </c>
      <c r="H537" s="9" t="n">
        <v>0</v>
      </c>
      <c r="I537" s="9" t="n">
        <v>0</v>
      </c>
      <c r="J537" s="9" t="n">
        <v>8480</v>
      </c>
      <c r="K537" s="9">
        <f>E537+F537+G537+H537+I537-J537</f>
        <v/>
      </c>
      <c r="L537" s="10">
        <f>Q536</f>
        <v/>
      </c>
      <c r="M537" s="10" t="n">
        <v>0</v>
      </c>
      <c r="N537" s="10" t="n">
        <v>11</v>
      </c>
      <c r="O537" s="10">
        <f>J537/160</f>
        <v/>
      </c>
      <c r="P537" s="10" t="n">
        <v>90</v>
      </c>
      <c r="Q537" s="10">
        <f>L537+M537+N537+O537-P537</f>
        <v/>
      </c>
      <c r="R537" s="11">
        <f>T536</f>
        <v/>
      </c>
      <c r="S537" s="11">
        <f>N(V537) + N(X537) + N(Z537)</f>
        <v/>
      </c>
      <c r="T537" s="11">
        <f>R537+P537-S537</f>
        <v/>
      </c>
      <c r="U537" s="11" t="inlineStr">
        <is>
          <t>是</t>
        </is>
      </c>
      <c r="V537" s="11" t="n">
        <v>48</v>
      </c>
      <c r="W537" s="11" t="inlineStr">
        <is>
          <t>是</t>
        </is>
      </c>
      <c r="X537" s="11" t="n">
        <v>48</v>
      </c>
      <c r="Y537" s="11" t="inlineStr">
        <is>
          <t>-</t>
        </is>
      </c>
      <c r="Z537" s="11" t="n">
        <v>0</v>
      </c>
      <c r="AA537" s="11" t="inlineStr">
        <is>
          <t>垫到90抽</t>
        </is>
      </c>
      <c r="AB537" s="12">
        <f>AE536</f>
        <v/>
      </c>
      <c r="AC537" s="12" t="n">
        <v>0</v>
      </c>
      <c r="AD537" s="12" t="n">
        <v>0</v>
      </c>
      <c r="AE537" s="12">
        <f>AB537+AC537+AD537</f>
        <v/>
      </c>
      <c r="AF537" s="13">
        <f>AI536</f>
        <v/>
      </c>
      <c r="AG537" s="13" t="n">
        <v>0</v>
      </c>
      <c r="AH537" s="13" t="n">
        <v>0</v>
      </c>
      <c r="AI537" s="13">
        <f>AF537+AG537+AH537</f>
        <v/>
      </c>
      <c r="AJ537" s="14" t="n">
        <v>0</v>
      </c>
      <c r="AK537" s="14" t="n">
        <v>0</v>
      </c>
      <c r="AL537" s="14" t="n">
        <v>0</v>
      </c>
      <c r="AM537" s="14">
        <f>AJ537+AK537+AL537</f>
        <v/>
      </c>
      <c r="AN537" s="14">
        <f>AN536+AM537</f>
        <v/>
      </c>
    </row>
    <row r="538">
      <c r="A538" s="8" t="n">
        <v>21</v>
      </c>
      <c r="B538" s="8" t="n">
        <v>9</v>
      </c>
      <c r="C538" s="8" t="n">
        <v>1</v>
      </c>
      <c r="D538" s="8" t="inlineStr">
        <is>
          <t>版本免费+义相逢 + 月卡收益 [月卡续费-30元]</t>
        </is>
      </c>
      <c r="E538" s="9">
        <f>K537</f>
        <v/>
      </c>
      <c r="F538" s="9" t="n">
        <v>1540</v>
      </c>
      <c r="G538" s="9" t="n">
        <v>4800</v>
      </c>
      <c r="H538" s="9" t="n">
        <v>0</v>
      </c>
      <c r="I538" s="9" t="n">
        <v>0</v>
      </c>
      <c r="J538" s="9" t="n">
        <v>0</v>
      </c>
      <c r="K538" s="9">
        <f>E538+F538+G538+H538+I538-J538</f>
        <v/>
      </c>
      <c r="L538" s="10">
        <f>Q537</f>
        <v/>
      </c>
      <c r="M538" s="10" t="n">
        <v>85</v>
      </c>
      <c r="N538" s="10" t="n">
        <v>3</v>
      </c>
      <c r="O538" s="10">
        <f>J538/160</f>
        <v/>
      </c>
      <c r="P538" s="10" t="n">
        <v>40</v>
      </c>
      <c r="Q538" s="10">
        <f>L538+M538+N538+O538-P538</f>
        <v/>
      </c>
      <c r="R538" s="11">
        <f>T537</f>
        <v/>
      </c>
      <c r="S538" s="11">
        <f>N(V538) + N(X538) + N(Z538)</f>
        <v/>
      </c>
      <c r="T538" s="11">
        <f>R538+P538-S538</f>
        <v/>
      </c>
      <c r="U538" s="11" t="inlineStr">
        <is>
          <t>是</t>
        </is>
      </c>
      <c r="V538" s="11" t="n">
        <v>50</v>
      </c>
      <c r="W538" s="11" t="inlineStr">
        <is>
          <t>否</t>
        </is>
      </c>
      <c r="X538" s="11" t="inlineStr">
        <is>
          <t>-</t>
        </is>
      </c>
      <c r="Y538" s="11" t="inlineStr">
        <is>
          <t>-</t>
        </is>
      </c>
      <c r="Z538" s="11" t="n">
        <v>0</v>
      </c>
      <c r="AA538" s="11" t="inlineStr">
        <is>
          <t>无</t>
        </is>
      </c>
      <c r="AB538" s="12">
        <f>AE537</f>
        <v/>
      </c>
      <c r="AC538" s="12" t="n">
        <v>4</v>
      </c>
      <c r="AD538" s="12" t="n">
        <v>0</v>
      </c>
      <c r="AE538" s="12">
        <f>AB538+AC538+AD538</f>
        <v/>
      </c>
      <c r="AF538" s="13">
        <f>AI537</f>
        <v/>
      </c>
      <c r="AG538" s="13" t="n">
        <v>0</v>
      </c>
      <c r="AH538" s="13" t="n">
        <v>0</v>
      </c>
      <c r="AI538" s="13">
        <f>AF538+AG538+AH538</f>
        <v/>
      </c>
      <c r="AJ538" s="14" t="n">
        <v>30</v>
      </c>
      <c r="AK538" s="14" t="n">
        <v>50</v>
      </c>
      <c r="AL538" s="14" t="n">
        <v>0</v>
      </c>
      <c r="AM538" s="14">
        <f>AJ538+AK538+AL538</f>
        <v/>
      </c>
      <c r="AN538" s="14">
        <f>AN537+AM538</f>
        <v/>
      </c>
    </row>
    <row r="539">
      <c r="A539" s="8" t="n">
        <v>21</v>
      </c>
      <c r="B539" s="8" t="n">
        <v>9</v>
      </c>
      <c r="C539" s="8" t="n">
        <v>2</v>
      </c>
      <c r="D539" s="8" t="inlineStr">
        <is>
          <t>月卡收益</t>
        </is>
      </c>
      <c r="E539" s="9">
        <f>K538</f>
        <v/>
      </c>
      <c r="F539" s="9" t="n">
        <v>1540</v>
      </c>
      <c r="G539" s="9" t="n">
        <v>0</v>
      </c>
      <c r="H539" s="9" t="n">
        <v>0</v>
      </c>
      <c r="I539" s="9" t="n">
        <v>0</v>
      </c>
      <c r="J539" s="9" t="n">
        <v>0</v>
      </c>
      <c r="K539" s="9">
        <f>E539+F539+G539+H539+I539-J539</f>
        <v/>
      </c>
      <c r="L539" s="10">
        <f>Q538</f>
        <v/>
      </c>
      <c r="M539" s="10" t="n">
        <v>0</v>
      </c>
      <c r="N539" s="10" t="n">
        <v>1</v>
      </c>
      <c r="O539" s="10">
        <f>J539/160</f>
        <v/>
      </c>
      <c r="P539" s="10" t="n">
        <v>20</v>
      </c>
      <c r="Q539" s="10">
        <f>L539+M539+N539+O539-P539</f>
        <v/>
      </c>
      <c r="R539" s="11">
        <f>T538</f>
        <v/>
      </c>
      <c r="S539" s="11">
        <f>N(V539) + N(X539) + N(Z539)</f>
        <v/>
      </c>
      <c r="T539" s="11">
        <f>R539+P539-S539</f>
        <v/>
      </c>
      <c r="U539" s="11" t="inlineStr">
        <is>
          <t>是</t>
        </is>
      </c>
      <c r="V539" s="11" t="n">
        <v>22</v>
      </c>
      <c r="W539" s="11" t="inlineStr">
        <is>
          <t>否</t>
        </is>
      </c>
      <c r="X539" s="11" t="inlineStr">
        <is>
          <t>-</t>
        </is>
      </c>
      <c r="Y539" s="11" t="inlineStr">
        <is>
          <t>-</t>
        </is>
      </c>
      <c r="Z539" s="11" t="n">
        <v>0</v>
      </c>
      <c r="AA539" s="11" t="inlineStr">
        <is>
          <t>无</t>
        </is>
      </c>
      <c r="AB539" s="12">
        <f>AE538</f>
        <v/>
      </c>
      <c r="AC539" s="12" t="n">
        <v>0</v>
      </c>
      <c r="AD539" s="12" t="n">
        <v>0</v>
      </c>
      <c r="AE539" s="12">
        <f>AB539+AC539+AD539</f>
        <v/>
      </c>
      <c r="AF539" s="13">
        <f>AI538</f>
        <v/>
      </c>
      <c r="AG539" s="13" t="n">
        <v>0</v>
      </c>
      <c r="AH539" s="13" t="n">
        <v>0</v>
      </c>
      <c r="AI539" s="13">
        <f>AF539+AG539+AH539</f>
        <v/>
      </c>
      <c r="AJ539" s="14" t="n">
        <v>0</v>
      </c>
      <c r="AK539" s="14" t="n">
        <v>0</v>
      </c>
      <c r="AL539" s="14" t="n">
        <v>0</v>
      </c>
      <c r="AM539" s="14">
        <f>AJ539+AK539+AL539</f>
        <v/>
      </c>
      <c r="AN539" s="14">
        <f>AN538+AM539</f>
        <v/>
      </c>
    </row>
    <row r="540">
      <c r="A540" s="8" t="n">
        <v>21</v>
      </c>
      <c r="B540" s="8" t="n">
        <v>10</v>
      </c>
      <c r="C540" s="8" t="n">
        <v>1</v>
      </c>
      <c r="D540" s="8" t="inlineStr">
        <is>
          <t>版本免费+义相逢 + 月卡收益 [月卡续费-30元]</t>
        </is>
      </c>
      <c r="E540" s="9">
        <f>K539</f>
        <v/>
      </c>
      <c r="F540" s="9" t="n">
        <v>1540</v>
      </c>
      <c r="G540" s="9" t="n">
        <v>4800</v>
      </c>
      <c r="H540" s="9" t="n">
        <v>0</v>
      </c>
      <c r="I540" s="9" t="n">
        <v>0</v>
      </c>
      <c r="J540" s="9" t="n">
        <v>0</v>
      </c>
      <c r="K540" s="9">
        <f>E540+F540+G540+H540+I540-J540</f>
        <v/>
      </c>
      <c r="L540" s="10">
        <f>Q539</f>
        <v/>
      </c>
      <c r="M540" s="10" t="n">
        <v>85</v>
      </c>
      <c r="N540" s="10" t="n">
        <v>6</v>
      </c>
      <c r="O540" s="10">
        <f>J540/160</f>
        <v/>
      </c>
      <c r="P540" s="10" t="n">
        <v>60</v>
      </c>
      <c r="Q540" s="10">
        <f>L540+M540+N540+O540-P540</f>
        <v/>
      </c>
      <c r="R540" s="11">
        <f>T539</f>
        <v/>
      </c>
      <c r="S540" s="11">
        <f>N(V540) + N(X540) + N(Z540)</f>
        <v/>
      </c>
      <c r="T540" s="11">
        <f>R540+P540-S540</f>
        <v/>
      </c>
      <c r="U540" s="11" t="inlineStr">
        <is>
          <t>是</t>
        </is>
      </c>
      <c r="V540" s="11" t="n">
        <v>52</v>
      </c>
      <c r="W540" s="11" t="inlineStr">
        <is>
          <t>否</t>
        </is>
      </c>
      <c r="X540" s="11" t="inlineStr">
        <is>
          <t>-</t>
        </is>
      </c>
      <c r="Y540" s="11" t="inlineStr">
        <is>
          <t>-</t>
        </is>
      </c>
      <c r="Z540" s="11" t="n">
        <v>0</v>
      </c>
      <c r="AA540" s="11" t="inlineStr">
        <is>
          <t>无</t>
        </is>
      </c>
      <c r="AB540" s="12">
        <f>AE539</f>
        <v/>
      </c>
      <c r="AC540" s="12" t="n">
        <v>4</v>
      </c>
      <c r="AD540" s="12" t="n">
        <v>0</v>
      </c>
      <c r="AE540" s="12">
        <f>AB540+AC540+AD540</f>
        <v/>
      </c>
      <c r="AF540" s="13">
        <f>AI539</f>
        <v/>
      </c>
      <c r="AG540" s="13" t="n">
        <v>0</v>
      </c>
      <c r="AH540" s="13" t="n">
        <v>0</v>
      </c>
      <c r="AI540" s="13">
        <f>AF540+AG540+AH540</f>
        <v/>
      </c>
      <c r="AJ540" s="14" t="n">
        <v>30</v>
      </c>
      <c r="AK540" s="14" t="n">
        <v>50</v>
      </c>
      <c r="AL540" s="14" t="n">
        <v>0</v>
      </c>
      <c r="AM540" s="14">
        <f>AJ540+AK540+AL540</f>
        <v/>
      </c>
      <c r="AN540" s="14">
        <f>AN539+AM540</f>
        <v/>
      </c>
    </row>
    <row r="541">
      <c r="A541" s="8" t="n">
        <v>21</v>
      </c>
      <c r="B541" s="8" t="n">
        <v>10</v>
      </c>
      <c r="C541" s="8" t="n">
        <v>2</v>
      </c>
      <c r="D541" s="8" t="inlineStr">
        <is>
          <t>月卡收益</t>
        </is>
      </c>
      <c r="E541" s="9">
        <f>K540</f>
        <v/>
      </c>
      <c r="F541" s="9" t="n">
        <v>1540</v>
      </c>
      <c r="G541" s="9" t="n">
        <v>0</v>
      </c>
      <c r="H541" s="9" t="n">
        <v>0</v>
      </c>
      <c r="I541" s="9" t="n">
        <v>0</v>
      </c>
      <c r="J541" s="9" t="n">
        <v>3040</v>
      </c>
      <c r="K541" s="9">
        <f>E541+F541+G541+H541+I541-J541</f>
        <v/>
      </c>
      <c r="L541" s="10">
        <f>Q540</f>
        <v/>
      </c>
      <c r="M541" s="10" t="n">
        <v>0</v>
      </c>
      <c r="N541" s="10" t="n">
        <v>11</v>
      </c>
      <c r="O541" s="10">
        <f>J541/160</f>
        <v/>
      </c>
      <c r="P541" s="10" t="n">
        <v>90</v>
      </c>
      <c r="Q541" s="10">
        <f>L541+M541+N541+O541-P541</f>
        <v/>
      </c>
      <c r="R541" s="11">
        <f>T540</f>
        <v/>
      </c>
      <c r="S541" s="11">
        <f>N(V541) + N(X541) + N(Z541)</f>
        <v/>
      </c>
      <c r="T541" s="11">
        <f>R541+P541-S541</f>
        <v/>
      </c>
      <c r="U541" s="11" t="inlineStr">
        <is>
          <t>是</t>
        </is>
      </c>
      <c r="V541" s="11" t="n">
        <v>36</v>
      </c>
      <c r="W541" s="11" t="inlineStr">
        <is>
          <t>是</t>
        </is>
      </c>
      <c r="X541" s="11" t="n">
        <v>46</v>
      </c>
      <c r="Y541" s="11" t="inlineStr">
        <is>
          <t>-</t>
        </is>
      </c>
      <c r="Z541" s="11" t="n">
        <v>0</v>
      </c>
      <c r="AA541" s="11" t="inlineStr">
        <is>
          <t>垫到90抽</t>
        </is>
      </c>
      <c r="AB541" s="12">
        <f>AE540</f>
        <v/>
      </c>
      <c r="AC541" s="12" t="n">
        <v>0</v>
      </c>
      <c r="AD541" s="12" t="n">
        <v>0</v>
      </c>
      <c r="AE541" s="12">
        <f>AB541+AC541+AD541</f>
        <v/>
      </c>
      <c r="AF541" s="13">
        <f>AI540</f>
        <v/>
      </c>
      <c r="AG541" s="13" t="n">
        <v>0</v>
      </c>
      <c r="AH541" s="13" t="n">
        <v>0</v>
      </c>
      <c r="AI541" s="13">
        <f>AF541+AG541+AH541</f>
        <v/>
      </c>
      <c r="AJ541" s="14" t="n">
        <v>0</v>
      </c>
      <c r="AK541" s="14" t="n">
        <v>0</v>
      </c>
      <c r="AL541" s="14" t="n">
        <v>0</v>
      </c>
      <c r="AM541" s="14">
        <f>AJ541+AK541+AL541</f>
        <v/>
      </c>
      <c r="AN541" s="14">
        <f>AN540+AM541</f>
        <v/>
      </c>
    </row>
    <row r="542">
      <c r="A542" s="8" t="n">
        <v>21</v>
      </c>
      <c r="B542" s="8" t="n">
        <v>11</v>
      </c>
      <c r="C542" s="8" t="n">
        <v>1</v>
      </c>
      <c r="D542" s="8" t="inlineStr">
        <is>
          <t>版本免费+义相逢 + 月卡收益</t>
        </is>
      </c>
      <c r="E542" s="9">
        <f>K541</f>
        <v/>
      </c>
      <c r="F542" s="9" t="n">
        <v>1540</v>
      </c>
      <c r="G542" s="9" t="n">
        <v>4800</v>
      </c>
      <c r="H542" s="9" t="n">
        <v>0</v>
      </c>
      <c r="I542" s="9" t="n">
        <v>0</v>
      </c>
      <c r="J542" s="9" t="n">
        <v>0</v>
      </c>
      <c r="K542" s="9">
        <f>E542+F542+G542+H542+I542-J542</f>
        <v/>
      </c>
      <c r="L542" s="10">
        <f>Q541</f>
        <v/>
      </c>
      <c r="M542" s="10" t="n">
        <v>85</v>
      </c>
      <c r="N542" s="10" t="n">
        <v>3</v>
      </c>
      <c r="O542" s="10">
        <f>J542/160</f>
        <v/>
      </c>
      <c r="P542" s="10" t="n">
        <v>30</v>
      </c>
      <c r="Q542" s="10">
        <f>L542+M542+N542+O542-P542</f>
        <v/>
      </c>
      <c r="R542" s="11">
        <f>T541</f>
        <v/>
      </c>
      <c r="S542" s="11">
        <f>N(V542) + N(X542) + N(Z542)</f>
        <v/>
      </c>
      <c r="T542" s="11">
        <f>R542+P542-S542</f>
        <v/>
      </c>
      <c r="U542" s="11" t="inlineStr">
        <is>
          <t>是</t>
        </is>
      </c>
      <c r="V542" s="11" t="n">
        <v>47</v>
      </c>
      <c r="W542" s="11" t="inlineStr">
        <is>
          <t>否</t>
        </is>
      </c>
      <c r="X542" s="11" t="inlineStr">
        <is>
          <t>-</t>
        </is>
      </c>
      <c r="Y542" s="11" t="inlineStr">
        <is>
          <t>-</t>
        </is>
      </c>
      <c r="Z542" s="11" t="n">
        <v>0</v>
      </c>
      <c r="AA542" s="11" t="inlineStr">
        <is>
          <t>无</t>
        </is>
      </c>
      <c r="AB542" s="12">
        <f>AE541</f>
        <v/>
      </c>
      <c r="AC542" s="12" t="n">
        <v>4</v>
      </c>
      <c r="AD542" s="12" t="n">
        <v>0</v>
      </c>
      <c r="AE542" s="12">
        <f>AB542+AC542+AD542</f>
        <v/>
      </c>
      <c r="AF542" s="13">
        <f>AI541</f>
        <v/>
      </c>
      <c r="AG542" s="13" t="n">
        <v>0</v>
      </c>
      <c r="AH542" s="13" t="n">
        <v>0</v>
      </c>
      <c r="AI542" s="13">
        <f>AF542+AG542+AH542</f>
        <v/>
      </c>
      <c r="AJ542" s="14" t="n">
        <v>0</v>
      </c>
      <c r="AK542" s="14" t="n">
        <v>50</v>
      </c>
      <c r="AL542" s="14" t="n">
        <v>0</v>
      </c>
      <c r="AM542" s="14">
        <f>AJ542+AK542+AL542</f>
        <v/>
      </c>
      <c r="AN542" s="14">
        <f>AN541+AM542</f>
        <v/>
      </c>
    </row>
    <row r="543">
      <c r="A543" s="8" t="n">
        <v>21</v>
      </c>
      <c r="B543" s="8" t="n">
        <v>11</v>
      </c>
      <c r="C543" s="8" t="n">
        <v>2</v>
      </c>
      <c r="D543" s="8" t="inlineStr">
        <is>
          <t>月卡收益 [月卡续费-30元]</t>
        </is>
      </c>
      <c r="E543" s="9">
        <f>K542</f>
        <v/>
      </c>
      <c r="F543" s="9" t="n">
        <v>1540</v>
      </c>
      <c r="G543" s="9" t="n">
        <v>0</v>
      </c>
      <c r="H543" s="9" t="n">
        <v>0</v>
      </c>
      <c r="I543" s="9" t="n">
        <v>0</v>
      </c>
      <c r="J543" s="9" t="n">
        <v>18560</v>
      </c>
      <c r="K543" s="9">
        <f>E543+F543+G543+H543+I543-J543</f>
        <v/>
      </c>
      <c r="L543" s="10">
        <f>Q542</f>
        <v/>
      </c>
      <c r="M543" s="10" t="n">
        <v>0</v>
      </c>
      <c r="N543" s="10" t="n">
        <v>21</v>
      </c>
      <c r="O543" s="10">
        <f>J543/160</f>
        <v/>
      </c>
      <c r="P543" s="10" t="n">
        <v>200</v>
      </c>
      <c r="Q543" s="10">
        <f>L543+M543+N543+O543-P543</f>
        <v/>
      </c>
      <c r="R543" s="11">
        <f>T542</f>
        <v/>
      </c>
      <c r="S543" s="11">
        <f>N(V543) + N(X543) + N(Z543)</f>
        <v/>
      </c>
      <c r="T543" s="11">
        <f>R543+P543-S543</f>
        <v/>
      </c>
      <c r="U543" s="11" t="inlineStr">
        <is>
          <t>是</t>
        </is>
      </c>
      <c r="V543" s="11" t="n">
        <v>50</v>
      </c>
      <c r="W543" s="11" t="inlineStr">
        <is>
          <t>是</t>
        </is>
      </c>
      <c r="X543" s="11" t="n">
        <v>50</v>
      </c>
      <c r="Y543" s="11" t="inlineStr">
        <is>
          <t>歪(53)</t>
        </is>
      </c>
      <c r="Z543" s="11" t="n">
        <v>53</v>
      </c>
      <c r="AA543" s="11" t="inlineStr">
        <is>
          <t>冲刺200(动态100)</t>
        </is>
      </c>
      <c r="AB543" s="12">
        <f>AE542</f>
        <v/>
      </c>
      <c r="AC543" s="12" t="n">
        <v>0</v>
      </c>
      <c r="AD543" s="12" t="n">
        <v>1</v>
      </c>
      <c r="AE543" s="12">
        <f>AB543+AC543+AD543</f>
        <v/>
      </c>
      <c r="AF543" s="13">
        <f>AI542</f>
        <v/>
      </c>
      <c r="AG543" s="13" t="n">
        <v>0</v>
      </c>
      <c r="AH543" s="13" t="n">
        <v>5000</v>
      </c>
      <c r="AI543" s="13">
        <f>AF543+AG543+AH543</f>
        <v/>
      </c>
      <c r="AJ543" s="14" t="n">
        <v>30</v>
      </c>
      <c r="AK543" s="14" t="n">
        <v>0</v>
      </c>
      <c r="AL543" s="14" t="n">
        <v>0</v>
      </c>
      <c r="AM543" s="14">
        <f>AJ543+AK543+AL543</f>
        <v/>
      </c>
      <c r="AN543" s="14">
        <f>AN542+AM543</f>
        <v/>
      </c>
    </row>
    <row r="544">
      <c r="A544" s="8" t="n">
        <v>21</v>
      </c>
      <c r="B544" s="8" t="n">
        <v>12</v>
      </c>
      <c r="C544" s="8" t="n">
        <v>1</v>
      </c>
      <c r="D544" s="8" t="inlineStr">
        <is>
          <t>版本免费+义相逢 + 月卡收益</t>
        </is>
      </c>
      <c r="E544" s="9">
        <f>K543</f>
        <v/>
      </c>
      <c r="F544" s="9" t="n">
        <v>1540</v>
      </c>
      <c r="G544" s="9" t="n">
        <v>4800</v>
      </c>
      <c r="H544" s="9" t="n">
        <v>0</v>
      </c>
      <c r="I544" s="9" t="n">
        <v>0</v>
      </c>
      <c r="J544" s="9" t="n">
        <v>0</v>
      </c>
      <c r="K544" s="9">
        <f>E544+F544+G544+H544+I544-J544</f>
        <v/>
      </c>
      <c r="L544" s="10">
        <f>Q543</f>
        <v/>
      </c>
      <c r="M544" s="10" t="n">
        <v>85</v>
      </c>
      <c r="N544" s="10" t="n">
        <v>1</v>
      </c>
      <c r="O544" s="10">
        <f>J544/160</f>
        <v/>
      </c>
      <c r="P544" s="10" t="n">
        <v>10</v>
      </c>
      <c r="Q544" s="10">
        <f>L544+M544+N544+O544-P544</f>
        <v/>
      </c>
      <c r="R544" s="11">
        <f>T543</f>
        <v/>
      </c>
      <c r="S544" s="11">
        <f>N(V544) + N(X544) + N(Z544)</f>
        <v/>
      </c>
      <c r="T544" s="11">
        <f>R544+P544-S544</f>
        <v/>
      </c>
      <c r="U544" s="11" t="inlineStr">
        <is>
          <t>是</t>
        </is>
      </c>
      <c r="V544" s="11" t="n">
        <v>51</v>
      </c>
      <c r="W544" s="11" t="inlineStr">
        <is>
          <t>否</t>
        </is>
      </c>
      <c r="X544" s="11" t="inlineStr">
        <is>
          <t>-</t>
        </is>
      </c>
      <c r="Y544" s="11" t="inlineStr">
        <is>
          <t>-</t>
        </is>
      </c>
      <c r="Z544" s="11" t="n">
        <v>0</v>
      </c>
      <c r="AA544" s="11" t="inlineStr">
        <is>
          <t>无</t>
        </is>
      </c>
      <c r="AB544" s="12">
        <f>AE543</f>
        <v/>
      </c>
      <c r="AC544" s="12" t="n">
        <v>4</v>
      </c>
      <c r="AD544" s="12" t="n">
        <v>0</v>
      </c>
      <c r="AE544" s="12">
        <f>AB544+AC544+AD544</f>
        <v/>
      </c>
      <c r="AF544" s="13">
        <f>AI543</f>
        <v/>
      </c>
      <c r="AG544" s="13" t="n">
        <v>0</v>
      </c>
      <c r="AH544" s="13" t="n">
        <v>0</v>
      </c>
      <c r="AI544" s="13">
        <f>AF544+AG544+AH544</f>
        <v/>
      </c>
      <c r="AJ544" s="14" t="n">
        <v>0</v>
      </c>
      <c r="AK544" s="14" t="n">
        <v>50</v>
      </c>
      <c r="AL544" s="14" t="n">
        <v>0</v>
      </c>
      <c r="AM544" s="14">
        <f>AJ544+AK544+AL544</f>
        <v/>
      </c>
      <c r="AN544" s="14">
        <f>AN543+AM544</f>
        <v/>
      </c>
    </row>
    <row r="545">
      <c r="A545" s="8" t="n">
        <v>21</v>
      </c>
      <c r="B545" s="8" t="n">
        <v>12</v>
      </c>
      <c r="C545" s="8" t="n">
        <v>2</v>
      </c>
      <c r="D545" s="8" t="inlineStr">
        <is>
          <t>月卡收益 [月卡续费-30元]</t>
        </is>
      </c>
      <c r="E545" s="9">
        <f>K544</f>
        <v/>
      </c>
      <c r="F545" s="9" t="n">
        <v>1540</v>
      </c>
      <c r="G545" s="9" t="n">
        <v>0</v>
      </c>
      <c r="H545" s="9" t="n">
        <v>0</v>
      </c>
      <c r="I545" s="9" t="n">
        <v>0</v>
      </c>
      <c r="J545" s="9" t="n">
        <v>2080</v>
      </c>
      <c r="K545" s="9">
        <f>E545+F545+G545+H545+I545-J545</f>
        <v/>
      </c>
      <c r="L545" s="10">
        <f>Q544</f>
        <v/>
      </c>
      <c r="M545" s="10" t="n">
        <v>0</v>
      </c>
      <c r="N545" s="10" t="n">
        <v>11</v>
      </c>
      <c r="O545" s="10">
        <f>J545/160</f>
        <v/>
      </c>
      <c r="P545" s="10" t="n">
        <v>100</v>
      </c>
      <c r="Q545" s="10">
        <f>L545+M545+N545+O545-P545</f>
        <v/>
      </c>
      <c r="R545" s="11">
        <f>T544</f>
        <v/>
      </c>
      <c r="S545" s="11">
        <f>N(V545) + N(X545) + N(Z545)</f>
        <v/>
      </c>
      <c r="T545" s="11">
        <f>R545+P545-S545</f>
        <v/>
      </c>
      <c r="U545" s="11" t="inlineStr">
        <is>
          <t>是</t>
        </is>
      </c>
      <c r="V545" s="11" t="n">
        <v>49</v>
      </c>
      <c r="W545" s="11" t="inlineStr">
        <is>
          <t>是</t>
        </is>
      </c>
      <c r="X545" s="11" t="n">
        <v>50</v>
      </c>
      <c r="Y545" s="11" t="inlineStr">
        <is>
          <t>-</t>
        </is>
      </c>
      <c r="Z545" s="11" t="n">
        <v>0</v>
      </c>
      <c r="AA545" s="11" t="inlineStr">
        <is>
          <t>无</t>
        </is>
      </c>
      <c r="AB545" s="12">
        <f>AE544</f>
        <v/>
      </c>
      <c r="AC545" s="12" t="n">
        <v>0</v>
      </c>
      <c r="AD545" s="12" t="n">
        <v>0</v>
      </c>
      <c r="AE545" s="12">
        <f>AB545+AC545+AD545</f>
        <v/>
      </c>
      <c r="AF545" s="13">
        <f>AI544</f>
        <v/>
      </c>
      <c r="AG545" s="13" t="n">
        <v>0</v>
      </c>
      <c r="AH545" s="13" t="n">
        <v>0</v>
      </c>
      <c r="AI545" s="13">
        <f>AF545+AG545+AH545</f>
        <v/>
      </c>
      <c r="AJ545" s="14" t="n">
        <v>30</v>
      </c>
      <c r="AK545" s="14" t="n">
        <v>0</v>
      </c>
      <c r="AL545" s="14" t="n">
        <v>0</v>
      </c>
      <c r="AM545" s="14">
        <f>AJ545+AK545+AL545</f>
        <v/>
      </c>
      <c r="AN545" s="14">
        <f>AN544+AM545</f>
        <v/>
      </c>
    </row>
    <row r="546">
      <c r="A546" s="8" t="n">
        <v>21</v>
      </c>
      <c r="B546" s="8" t="n">
        <v>13</v>
      </c>
      <c r="C546" s="8" t="n">
        <v>1</v>
      </c>
      <c r="D546" s="8" t="inlineStr">
        <is>
          <t>版本免费+义相逢 + 月卡收益</t>
        </is>
      </c>
      <c r="E546" s="9">
        <f>K545</f>
        <v/>
      </c>
      <c r="F546" s="9" t="n">
        <v>1540</v>
      </c>
      <c r="G546" s="9" t="n">
        <v>4800</v>
      </c>
      <c r="H546" s="9" t="n">
        <v>0</v>
      </c>
      <c r="I546" s="9" t="n">
        <v>0</v>
      </c>
      <c r="J546" s="9" t="n">
        <v>0</v>
      </c>
      <c r="K546" s="9">
        <f>E546+F546+G546+H546+I546-J546</f>
        <v/>
      </c>
      <c r="L546" s="10">
        <f>Q545</f>
        <v/>
      </c>
      <c r="M546" s="10" t="n">
        <v>85</v>
      </c>
      <c r="N546" s="10" t="n">
        <v>6</v>
      </c>
      <c r="O546" s="10">
        <f>J546/160</f>
        <v/>
      </c>
      <c r="P546" s="10" t="n">
        <v>60</v>
      </c>
      <c r="Q546" s="10">
        <f>L546+M546+N546+O546-P546</f>
        <v/>
      </c>
      <c r="R546" s="11">
        <f>T545</f>
        <v/>
      </c>
      <c r="S546" s="11">
        <f>N(V546) + N(X546) + N(Z546)</f>
        <v/>
      </c>
      <c r="T546" s="11">
        <f>R546+P546-S546</f>
        <v/>
      </c>
      <c r="U546" s="11" t="inlineStr">
        <is>
          <t>是</t>
        </is>
      </c>
      <c r="V546" s="11" t="n">
        <v>48</v>
      </c>
      <c r="W546" s="11" t="inlineStr">
        <is>
          <t>否</t>
        </is>
      </c>
      <c r="X546" s="11" t="inlineStr">
        <is>
          <t>-</t>
        </is>
      </c>
      <c r="Y546" s="11" t="inlineStr">
        <is>
          <t>-</t>
        </is>
      </c>
      <c r="Z546" s="11" t="n">
        <v>0</v>
      </c>
      <c r="AA546" s="11" t="inlineStr">
        <is>
          <t>垫到60抽</t>
        </is>
      </c>
      <c r="AB546" s="12">
        <f>AE545</f>
        <v/>
      </c>
      <c r="AC546" s="12" t="n">
        <v>4</v>
      </c>
      <c r="AD546" s="12" t="n">
        <v>0</v>
      </c>
      <c r="AE546" s="12">
        <f>AB546+AC546+AD546</f>
        <v/>
      </c>
      <c r="AF546" s="13">
        <f>AI545</f>
        <v/>
      </c>
      <c r="AG546" s="13" t="n">
        <v>0</v>
      </c>
      <c r="AH546" s="13" t="n">
        <v>0</v>
      </c>
      <c r="AI546" s="13">
        <f>AF546+AG546+AH546</f>
        <v/>
      </c>
      <c r="AJ546" s="14" t="n">
        <v>0</v>
      </c>
      <c r="AK546" s="14" t="n">
        <v>50</v>
      </c>
      <c r="AL546" s="14" t="n">
        <v>0</v>
      </c>
      <c r="AM546" s="14">
        <f>AJ546+AK546+AL546</f>
        <v/>
      </c>
      <c r="AN546" s="14">
        <f>AN545+AM546</f>
        <v/>
      </c>
    </row>
    <row r="547">
      <c r="A547" s="8" t="n">
        <v>21</v>
      </c>
      <c r="B547" s="8" t="n">
        <v>13</v>
      </c>
      <c r="C547" s="8" t="n">
        <v>2</v>
      </c>
      <c r="D547" s="8" t="inlineStr">
        <is>
          <t>月卡收益 [月卡续费-30元]</t>
        </is>
      </c>
      <c r="E547" s="9">
        <f>K546</f>
        <v/>
      </c>
      <c r="F547" s="9" t="n">
        <v>1540</v>
      </c>
      <c r="G547" s="9" t="n">
        <v>0</v>
      </c>
      <c r="H547" s="9" t="n">
        <v>0</v>
      </c>
      <c r="I547" s="9" t="n">
        <v>0</v>
      </c>
      <c r="J547" s="9" t="n">
        <v>4160</v>
      </c>
      <c r="K547" s="9">
        <f>E547+F547+G547+H547+I547-J547</f>
        <v/>
      </c>
      <c r="L547" s="10">
        <f>Q546</f>
        <v/>
      </c>
      <c r="M547" s="10" t="n">
        <v>0</v>
      </c>
      <c r="N547" s="10" t="n">
        <v>6</v>
      </c>
      <c r="O547" s="10">
        <f>J547/160</f>
        <v/>
      </c>
      <c r="P547" s="10" t="n">
        <v>60</v>
      </c>
      <c r="Q547" s="10">
        <f>L547+M547+N547+O547-P547</f>
        <v/>
      </c>
      <c r="R547" s="11">
        <f>T546</f>
        <v/>
      </c>
      <c r="S547" s="11">
        <f>N(V547) + N(X547) + N(Z547)</f>
        <v/>
      </c>
      <c r="T547" s="11">
        <f>R547+P547-S547</f>
        <v/>
      </c>
      <c r="U547" s="11" t="inlineStr">
        <is>
          <t>是</t>
        </is>
      </c>
      <c r="V547" s="11" t="n">
        <v>22</v>
      </c>
      <c r="W547" s="11" t="inlineStr">
        <is>
          <t>是</t>
        </is>
      </c>
      <c r="X547" s="11" t="n">
        <v>48</v>
      </c>
      <c r="Y547" s="11" t="inlineStr">
        <is>
          <t>-</t>
        </is>
      </c>
      <c r="Z547" s="11" t="n">
        <v>0</v>
      </c>
      <c r="AA547" s="11" t="inlineStr">
        <is>
          <t>无</t>
        </is>
      </c>
      <c r="AB547" s="12">
        <f>AE546</f>
        <v/>
      </c>
      <c r="AC547" s="12" t="n">
        <v>0</v>
      </c>
      <c r="AD547" s="12" t="n">
        <v>0</v>
      </c>
      <c r="AE547" s="12">
        <f>AB547+AC547+AD547</f>
        <v/>
      </c>
      <c r="AF547" s="13">
        <f>AI546</f>
        <v/>
      </c>
      <c r="AG547" s="13" t="n">
        <v>0</v>
      </c>
      <c r="AH547" s="13" t="n">
        <v>0</v>
      </c>
      <c r="AI547" s="13">
        <f>AF547+AG547+AH547</f>
        <v/>
      </c>
      <c r="AJ547" s="14" t="n">
        <v>30</v>
      </c>
      <c r="AK547" s="14" t="n">
        <v>0</v>
      </c>
      <c r="AL547" s="14" t="n">
        <v>0</v>
      </c>
      <c r="AM547" s="14">
        <f>AJ547+AK547+AL547</f>
        <v/>
      </c>
      <c r="AN547" s="14">
        <f>AN546+AM547</f>
        <v/>
      </c>
    </row>
    <row r="548">
      <c r="A548" s="8" t="n">
        <v>22</v>
      </c>
      <c r="B548" s="8" t="n">
        <v>1</v>
      </c>
      <c r="C548" s="8" t="n">
        <v>1</v>
      </c>
      <c r="D548" s="8" t="inlineStr">
        <is>
          <t>版本免费+义相逢 + 月卡收益</t>
        </is>
      </c>
      <c r="E548" s="9" t="n">
        <v>33320</v>
      </c>
      <c r="F548" s="9" t="n">
        <v>1540</v>
      </c>
      <c r="G548" s="9" t="n">
        <v>4800</v>
      </c>
      <c r="H548" s="9" t="n">
        <v>0</v>
      </c>
      <c r="I548" s="9" t="n">
        <v>0</v>
      </c>
      <c r="J548" s="9" t="n">
        <v>14560</v>
      </c>
      <c r="K548" s="9">
        <f>E548+F548+G548+H548+I548-J548</f>
        <v/>
      </c>
      <c r="L548" s="10" t="n">
        <v>3</v>
      </c>
      <c r="M548" s="10" t="n">
        <v>85</v>
      </c>
      <c r="N548" s="10" t="n">
        <v>21</v>
      </c>
      <c r="O548" s="10">
        <f>J548/160</f>
        <v/>
      </c>
      <c r="P548" s="10" t="n">
        <v>200</v>
      </c>
      <c r="Q548" s="10">
        <f>L548+M548+N548+O548-P548</f>
        <v/>
      </c>
      <c r="R548" s="11" t="n">
        <v>9</v>
      </c>
      <c r="S548" s="11">
        <f>N(V548) + N(X548) + N(Z548)</f>
        <v/>
      </c>
      <c r="T548" s="11">
        <f>R548+P548-S548</f>
        <v/>
      </c>
      <c r="U548" s="11" t="inlineStr">
        <is>
          <t>是</t>
        </is>
      </c>
      <c r="V548" s="11" t="n">
        <v>52</v>
      </c>
      <c r="W548" s="11" t="inlineStr">
        <is>
          <t>是</t>
        </is>
      </c>
      <c r="X548" s="11" t="n">
        <v>52</v>
      </c>
      <c r="Y548" s="11" t="inlineStr">
        <is>
          <t>UP(49), 歪(49), UP(7)</t>
        </is>
      </c>
      <c r="Z548" s="11" t="n">
        <v>105</v>
      </c>
      <c r="AA548" s="11" t="inlineStr">
        <is>
          <t>冲刺200(动态100)</t>
        </is>
      </c>
      <c r="AB548" s="12" t="n">
        <v>1124</v>
      </c>
      <c r="AC548" s="12" t="n">
        <v>4</v>
      </c>
      <c r="AD548" s="12" t="n">
        <v>1</v>
      </c>
      <c r="AE548" s="12">
        <f>AB548+AC548+AD548</f>
        <v/>
      </c>
      <c r="AF548" s="13" t="n">
        <v>160000</v>
      </c>
      <c r="AG548" s="13" t="n">
        <v>0</v>
      </c>
      <c r="AH548" s="13" t="n">
        <v>5000</v>
      </c>
      <c r="AI548" s="13">
        <f>AF548+AG548+AH548</f>
        <v/>
      </c>
      <c r="AJ548" s="14" t="n">
        <v>0</v>
      </c>
      <c r="AK548" s="14" t="n">
        <v>50</v>
      </c>
      <c r="AL548" s="14" t="n">
        <v>0</v>
      </c>
      <c r="AM548" s="14">
        <f>AJ548+AK548+AL548</f>
        <v/>
      </c>
      <c r="AN548" s="14">
        <f>AM548</f>
        <v/>
      </c>
    </row>
    <row r="549">
      <c r="A549" s="8" t="n">
        <v>22</v>
      </c>
      <c r="B549" s="8" t="n">
        <v>1</v>
      </c>
      <c r="C549" s="8" t="n">
        <v>2</v>
      </c>
      <c r="D549" s="8" t="inlineStr">
        <is>
          <t>月卡收益 [月卡续费-30元]</t>
        </is>
      </c>
      <c r="E549" s="9">
        <f>K548</f>
        <v/>
      </c>
      <c r="F549" s="9" t="n">
        <v>1540</v>
      </c>
      <c r="G549" s="9" t="n">
        <v>0</v>
      </c>
      <c r="H549" s="9" t="n">
        <v>0</v>
      </c>
      <c r="I549" s="9" t="n">
        <v>0</v>
      </c>
      <c r="J549" s="9" t="n">
        <v>9120</v>
      </c>
      <c r="K549" s="9">
        <f>E549+F549+G549+H549+I549-J549</f>
        <v/>
      </c>
      <c r="L549" s="10">
        <f>Q548</f>
        <v/>
      </c>
      <c r="M549" s="10" t="n">
        <v>0</v>
      </c>
      <c r="N549" s="10" t="n">
        <v>6</v>
      </c>
      <c r="O549" s="10">
        <f>J549/160</f>
        <v/>
      </c>
      <c r="P549" s="10" t="n">
        <v>60</v>
      </c>
      <c r="Q549" s="10">
        <f>L549+M549+N549+O549-P549</f>
        <v/>
      </c>
      <c r="R549" s="11">
        <f>T548</f>
        <v/>
      </c>
      <c r="S549" s="11">
        <f>N(V549) + N(X549) + N(Z549)</f>
        <v/>
      </c>
      <c r="T549" s="11">
        <f>R549+P549-S549</f>
        <v/>
      </c>
      <c r="U549" s="11" t="inlineStr">
        <is>
          <t>是</t>
        </is>
      </c>
      <c r="V549" s="11" t="n">
        <v>50</v>
      </c>
      <c r="W549" s="11" t="inlineStr">
        <is>
          <t>否</t>
        </is>
      </c>
      <c r="X549" s="11" t="inlineStr">
        <is>
          <t>-</t>
        </is>
      </c>
      <c r="Y549" s="11" t="inlineStr">
        <is>
          <t>-</t>
        </is>
      </c>
      <c r="Z549" s="11" t="n">
        <v>0</v>
      </c>
      <c r="AA549" s="11" t="inlineStr">
        <is>
          <t>垫到60抽</t>
        </is>
      </c>
      <c r="AB549" s="12">
        <f>AE548</f>
        <v/>
      </c>
      <c r="AC549" s="12" t="n">
        <v>0</v>
      </c>
      <c r="AD549" s="12" t="n">
        <v>0</v>
      </c>
      <c r="AE549" s="12">
        <f>AB549+AC549+AD549</f>
        <v/>
      </c>
      <c r="AF549" s="13">
        <f>AI548</f>
        <v/>
      </c>
      <c r="AG549" s="13" t="n">
        <v>0</v>
      </c>
      <c r="AH549" s="13" t="n">
        <v>0</v>
      </c>
      <c r="AI549" s="13">
        <f>AF549+AG549+AH549</f>
        <v/>
      </c>
      <c r="AJ549" s="14" t="n">
        <v>30</v>
      </c>
      <c r="AK549" s="14" t="n">
        <v>0</v>
      </c>
      <c r="AL549" s="14" t="n">
        <v>0</v>
      </c>
      <c r="AM549" s="14">
        <f>AJ549+AK549+AL549</f>
        <v/>
      </c>
      <c r="AN549" s="14">
        <f>AN548+AM549</f>
        <v/>
      </c>
    </row>
    <row r="550">
      <c r="A550" s="8" t="n">
        <v>22</v>
      </c>
      <c r="B550" s="8" t="n">
        <v>2</v>
      </c>
      <c r="C550" s="8" t="n">
        <v>1</v>
      </c>
      <c r="D550" s="8" t="inlineStr">
        <is>
          <t>版本免费+义相逢 + 月卡收益</t>
        </is>
      </c>
      <c r="E550" s="9">
        <f>K549</f>
        <v/>
      </c>
      <c r="F550" s="9" t="n">
        <v>1540</v>
      </c>
      <c r="G550" s="9" t="n">
        <v>4800</v>
      </c>
      <c r="H550" s="9" t="n">
        <v>0</v>
      </c>
      <c r="I550" s="9" t="n">
        <v>0</v>
      </c>
      <c r="J550" s="9" t="n">
        <v>0</v>
      </c>
      <c r="K550" s="9">
        <f>E550+F550+G550+H550+I550-J550</f>
        <v/>
      </c>
      <c r="L550" s="10">
        <f>Q549</f>
        <v/>
      </c>
      <c r="M550" s="10" t="n">
        <v>85</v>
      </c>
      <c r="N550" s="10" t="n">
        <v>3</v>
      </c>
      <c r="O550" s="10">
        <f>J550/160</f>
        <v/>
      </c>
      <c r="P550" s="10" t="n">
        <v>40</v>
      </c>
      <c r="Q550" s="10">
        <f>L550+M550+N550+O550-P550</f>
        <v/>
      </c>
      <c r="R550" s="11">
        <f>T549</f>
        <v/>
      </c>
      <c r="S550" s="11">
        <f>N(V550) + N(X550) + N(Z550)</f>
        <v/>
      </c>
      <c r="T550" s="11">
        <f>R550+P550-S550</f>
        <v/>
      </c>
      <c r="U550" s="11" t="inlineStr">
        <is>
          <t>是</t>
        </is>
      </c>
      <c r="V550" s="11" t="n">
        <v>49</v>
      </c>
      <c r="W550" s="11" t="inlineStr">
        <is>
          <t>否</t>
        </is>
      </c>
      <c r="X550" s="11" t="inlineStr">
        <is>
          <t>-</t>
        </is>
      </c>
      <c r="Y550" s="11" t="inlineStr">
        <is>
          <t>-</t>
        </is>
      </c>
      <c r="Z550" s="11" t="n">
        <v>0</v>
      </c>
      <c r="AA550" s="11" t="inlineStr">
        <is>
          <t>无</t>
        </is>
      </c>
      <c r="AB550" s="12">
        <f>AE549</f>
        <v/>
      </c>
      <c r="AC550" s="12" t="n">
        <v>4</v>
      </c>
      <c r="AD550" s="12" t="n">
        <v>0</v>
      </c>
      <c r="AE550" s="12">
        <f>AB550+AC550+AD550</f>
        <v/>
      </c>
      <c r="AF550" s="13">
        <f>AI549</f>
        <v/>
      </c>
      <c r="AG550" s="13" t="n">
        <v>0</v>
      </c>
      <c r="AH550" s="13" t="n">
        <v>0</v>
      </c>
      <c r="AI550" s="13">
        <f>AF550+AG550+AH550</f>
        <v/>
      </c>
      <c r="AJ550" s="14" t="n">
        <v>0</v>
      </c>
      <c r="AK550" s="14" t="n">
        <v>50</v>
      </c>
      <c r="AL550" s="14" t="n">
        <v>0</v>
      </c>
      <c r="AM550" s="14">
        <f>AJ550+AK550+AL550</f>
        <v/>
      </c>
      <c r="AN550" s="14">
        <f>AN549+AM550</f>
        <v/>
      </c>
    </row>
    <row r="551">
      <c r="A551" s="8" t="n">
        <v>22</v>
      </c>
      <c r="B551" s="8" t="n">
        <v>2</v>
      </c>
      <c r="C551" s="8" t="n">
        <v>2</v>
      </c>
      <c r="D551" s="8" t="inlineStr">
        <is>
          <t>月卡收益 [月卡续费-30元]</t>
        </is>
      </c>
      <c r="E551" s="9">
        <f>K550</f>
        <v/>
      </c>
      <c r="F551" s="9" t="n">
        <v>1540</v>
      </c>
      <c r="G551" s="9" t="n">
        <v>0</v>
      </c>
      <c r="H551" s="9" t="n">
        <v>0</v>
      </c>
      <c r="I551" s="9" t="n">
        <v>0</v>
      </c>
      <c r="J551" s="9" t="n">
        <v>6080</v>
      </c>
      <c r="K551" s="9">
        <f>E551+F551+G551+H551+I551-J551</f>
        <v/>
      </c>
      <c r="L551" s="10">
        <f>Q550</f>
        <v/>
      </c>
      <c r="M551" s="10" t="n">
        <v>0</v>
      </c>
      <c r="N551" s="10" t="n">
        <v>11</v>
      </c>
      <c r="O551" s="10">
        <f>J551/160</f>
        <v/>
      </c>
      <c r="P551" s="10" t="n">
        <v>100</v>
      </c>
      <c r="Q551" s="10">
        <f>L551+M551+N551+O551-P551</f>
        <v/>
      </c>
      <c r="R551" s="11">
        <f>T550</f>
        <v/>
      </c>
      <c r="S551" s="11">
        <f>N(V551) + N(X551) + N(Z551)</f>
        <v/>
      </c>
      <c r="T551" s="11">
        <f>R551+P551-S551</f>
        <v/>
      </c>
      <c r="U551" s="11" t="inlineStr">
        <is>
          <t>是</t>
        </is>
      </c>
      <c r="V551" s="11" t="n">
        <v>49</v>
      </c>
      <c r="W551" s="11" t="inlineStr">
        <is>
          <t>是</t>
        </is>
      </c>
      <c r="X551" s="11" t="n">
        <v>49</v>
      </c>
      <c r="Y551" s="11" t="inlineStr">
        <is>
          <t>-</t>
        </is>
      </c>
      <c r="Z551" s="11" t="n">
        <v>0</v>
      </c>
      <c r="AA551" s="11" t="inlineStr">
        <is>
          <t>无</t>
        </is>
      </c>
      <c r="AB551" s="12">
        <f>AE550</f>
        <v/>
      </c>
      <c r="AC551" s="12" t="n">
        <v>0</v>
      </c>
      <c r="AD551" s="12" t="n">
        <v>0</v>
      </c>
      <c r="AE551" s="12">
        <f>AB551+AC551+AD551</f>
        <v/>
      </c>
      <c r="AF551" s="13">
        <f>AI550</f>
        <v/>
      </c>
      <c r="AG551" s="13" t="n">
        <v>0</v>
      </c>
      <c r="AH551" s="13" t="n">
        <v>0</v>
      </c>
      <c r="AI551" s="13">
        <f>AF551+AG551+AH551</f>
        <v/>
      </c>
      <c r="AJ551" s="14" t="n">
        <v>30</v>
      </c>
      <c r="AK551" s="14" t="n">
        <v>0</v>
      </c>
      <c r="AL551" s="14" t="n">
        <v>0</v>
      </c>
      <c r="AM551" s="14">
        <f>AJ551+AK551+AL551</f>
        <v/>
      </c>
      <c r="AN551" s="14">
        <f>AN550+AM551</f>
        <v/>
      </c>
    </row>
    <row r="552">
      <c r="A552" s="8" t="n">
        <v>22</v>
      </c>
      <c r="B552" s="8" t="n">
        <v>3</v>
      </c>
      <c r="C552" s="8" t="n">
        <v>1</v>
      </c>
      <c r="D552" s="8" t="inlineStr">
        <is>
          <t>版本免费+义相逢 + 月卡收益</t>
        </is>
      </c>
      <c r="E552" s="9">
        <f>K551</f>
        <v/>
      </c>
      <c r="F552" s="9" t="n">
        <v>1540</v>
      </c>
      <c r="G552" s="9" t="n">
        <v>4800</v>
      </c>
      <c r="H552" s="9" t="n">
        <v>0</v>
      </c>
      <c r="I552" s="9" t="n">
        <v>0</v>
      </c>
      <c r="J552" s="9" t="n">
        <v>0</v>
      </c>
      <c r="K552" s="9">
        <f>E552+F552+G552+H552+I552-J552</f>
        <v/>
      </c>
      <c r="L552" s="10">
        <f>Q551</f>
        <v/>
      </c>
      <c r="M552" s="10" t="n">
        <v>85</v>
      </c>
      <c r="N552" s="10" t="n">
        <v>6</v>
      </c>
      <c r="O552" s="10">
        <f>J552/160</f>
        <v/>
      </c>
      <c r="P552" s="10" t="n">
        <v>60</v>
      </c>
      <c r="Q552" s="10">
        <f>L552+M552+N552+O552-P552</f>
        <v/>
      </c>
      <c r="R552" s="11">
        <f>T551</f>
        <v/>
      </c>
      <c r="S552" s="11">
        <f>N(V552) + N(X552) + N(Z552)</f>
        <v/>
      </c>
      <c r="T552" s="11">
        <f>R552+P552-S552</f>
        <v/>
      </c>
      <c r="U552" s="11" t="inlineStr">
        <is>
          <t>是</t>
        </is>
      </c>
      <c r="V552" s="11" t="n">
        <v>52</v>
      </c>
      <c r="W552" s="11" t="inlineStr">
        <is>
          <t>否</t>
        </is>
      </c>
      <c r="X552" s="11" t="inlineStr">
        <is>
          <t>-</t>
        </is>
      </c>
      <c r="Y552" s="11" t="inlineStr">
        <is>
          <t>-</t>
        </is>
      </c>
      <c r="Z552" s="11" t="n">
        <v>0</v>
      </c>
      <c r="AA552" s="11" t="inlineStr">
        <is>
          <t>垫到60抽</t>
        </is>
      </c>
      <c r="AB552" s="12">
        <f>AE551</f>
        <v/>
      </c>
      <c r="AC552" s="12" t="n">
        <v>4</v>
      </c>
      <c r="AD552" s="12" t="n">
        <v>0</v>
      </c>
      <c r="AE552" s="12">
        <f>AB552+AC552+AD552</f>
        <v/>
      </c>
      <c r="AF552" s="13">
        <f>AI551</f>
        <v/>
      </c>
      <c r="AG552" s="13" t="n">
        <v>0</v>
      </c>
      <c r="AH552" s="13" t="n">
        <v>0</v>
      </c>
      <c r="AI552" s="13">
        <f>AF552+AG552+AH552</f>
        <v/>
      </c>
      <c r="AJ552" s="14" t="n">
        <v>0</v>
      </c>
      <c r="AK552" s="14" t="n">
        <v>50</v>
      </c>
      <c r="AL552" s="14" t="n">
        <v>0</v>
      </c>
      <c r="AM552" s="14">
        <f>AJ552+AK552+AL552</f>
        <v/>
      </c>
      <c r="AN552" s="14">
        <f>AN551+AM552</f>
        <v/>
      </c>
    </row>
    <row r="553">
      <c r="A553" s="8" t="n">
        <v>22</v>
      </c>
      <c r="B553" s="8" t="n">
        <v>3</v>
      </c>
      <c r="C553" s="8" t="n">
        <v>2</v>
      </c>
      <c r="D553" s="8" t="inlineStr">
        <is>
          <t>月卡收益 [月卡续费-30元]</t>
        </is>
      </c>
      <c r="E553" s="9">
        <f>K552</f>
        <v/>
      </c>
      <c r="F553" s="9" t="n">
        <v>1540</v>
      </c>
      <c r="G553" s="9" t="n">
        <v>0</v>
      </c>
      <c r="H553" s="9" t="n">
        <v>0</v>
      </c>
      <c r="I553" s="9" t="n">
        <v>0</v>
      </c>
      <c r="J553" s="9" t="n">
        <v>4160</v>
      </c>
      <c r="K553" s="9">
        <f>E553+F553+G553+H553+I553-J553</f>
        <v/>
      </c>
      <c r="L553" s="10">
        <f>Q552</f>
        <v/>
      </c>
      <c r="M553" s="10" t="n">
        <v>0</v>
      </c>
      <c r="N553" s="10" t="n">
        <v>6</v>
      </c>
      <c r="O553" s="10">
        <f>J553/160</f>
        <v/>
      </c>
      <c r="P553" s="10" t="n">
        <v>60</v>
      </c>
      <c r="Q553" s="10">
        <f>L553+M553+N553+O553-P553</f>
        <v/>
      </c>
      <c r="R553" s="11">
        <f>T552</f>
        <v/>
      </c>
      <c r="S553" s="11">
        <f>N(V553) + N(X553) + N(Z553)</f>
        <v/>
      </c>
      <c r="T553" s="11">
        <f>R553+P553-S553</f>
        <v/>
      </c>
      <c r="U553" s="11" t="inlineStr">
        <is>
          <t>是</t>
        </is>
      </c>
      <c r="V553" s="11" t="n">
        <v>54</v>
      </c>
      <c r="W553" s="11" t="inlineStr">
        <is>
          <t>否</t>
        </is>
      </c>
      <c r="X553" s="11" t="inlineStr">
        <is>
          <t>-</t>
        </is>
      </c>
      <c r="Y553" s="11" t="inlineStr">
        <is>
          <t>-</t>
        </is>
      </c>
      <c r="Z553" s="11" t="n">
        <v>0</v>
      </c>
      <c r="AA553" s="11" t="inlineStr">
        <is>
          <t>垫到60抽</t>
        </is>
      </c>
      <c r="AB553" s="12">
        <f>AE552</f>
        <v/>
      </c>
      <c r="AC553" s="12" t="n">
        <v>0</v>
      </c>
      <c r="AD553" s="12" t="n">
        <v>0</v>
      </c>
      <c r="AE553" s="12">
        <f>AB553+AC553+AD553</f>
        <v/>
      </c>
      <c r="AF553" s="13">
        <f>AI552</f>
        <v/>
      </c>
      <c r="AG553" s="13" t="n">
        <v>0</v>
      </c>
      <c r="AH553" s="13" t="n">
        <v>0</v>
      </c>
      <c r="AI553" s="13">
        <f>AF553+AG553+AH553</f>
        <v/>
      </c>
      <c r="AJ553" s="14" t="n">
        <v>30</v>
      </c>
      <c r="AK553" s="14" t="n">
        <v>0</v>
      </c>
      <c r="AL553" s="14" t="n">
        <v>0</v>
      </c>
      <c r="AM553" s="14">
        <f>AJ553+AK553+AL553</f>
        <v/>
      </c>
      <c r="AN553" s="14">
        <f>AN552+AM553</f>
        <v/>
      </c>
    </row>
    <row r="554">
      <c r="A554" s="8" t="n">
        <v>22</v>
      </c>
      <c r="B554" s="8" t="n">
        <v>4</v>
      </c>
      <c r="C554" s="8" t="n">
        <v>1</v>
      </c>
      <c r="D554" s="8" t="inlineStr">
        <is>
          <t>版本免费+义相逢 + 月卡收益</t>
        </is>
      </c>
      <c r="E554" s="9">
        <f>K553</f>
        <v/>
      </c>
      <c r="F554" s="9" t="n">
        <v>1540</v>
      </c>
      <c r="G554" s="9" t="n">
        <v>4800</v>
      </c>
      <c r="H554" s="9" t="n">
        <v>0</v>
      </c>
      <c r="I554" s="9" t="n">
        <v>0</v>
      </c>
      <c r="J554" s="9" t="n">
        <v>0</v>
      </c>
      <c r="K554" s="9">
        <f>E554+F554+G554+H554+I554-J554</f>
        <v/>
      </c>
      <c r="L554" s="10">
        <f>Q553</f>
        <v/>
      </c>
      <c r="M554" s="10" t="n">
        <v>85</v>
      </c>
      <c r="N554" s="10" t="n">
        <v>11</v>
      </c>
      <c r="O554" s="10">
        <f>J554/160</f>
        <v/>
      </c>
      <c r="P554" s="10" t="n">
        <v>90</v>
      </c>
      <c r="Q554" s="10">
        <f>L554+M554+N554+O554-P554</f>
        <v/>
      </c>
      <c r="R554" s="11">
        <f>T553</f>
        <v/>
      </c>
      <c r="S554" s="11">
        <f>N(V554) + N(X554) + N(Z554)</f>
        <v/>
      </c>
      <c r="T554" s="11">
        <f>R554+P554-S554</f>
        <v/>
      </c>
      <c r="U554" s="11" t="inlineStr">
        <is>
          <t>是</t>
        </is>
      </c>
      <c r="V554" s="11" t="n">
        <v>55</v>
      </c>
      <c r="W554" s="11" t="inlineStr">
        <is>
          <t>是</t>
        </is>
      </c>
      <c r="X554" s="11" t="n">
        <v>52</v>
      </c>
      <c r="Y554" s="11" t="inlineStr">
        <is>
          <t>-</t>
        </is>
      </c>
      <c r="Z554" s="11" t="n">
        <v>0</v>
      </c>
      <c r="AA554" s="11" t="inlineStr">
        <is>
          <t>无</t>
        </is>
      </c>
      <c r="AB554" s="12">
        <f>AE553</f>
        <v/>
      </c>
      <c r="AC554" s="12" t="n">
        <v>4</v>
      </c>
      <c r="AD554" s="12" t="n">
        <v>0</v>
      </c>
      <c r="AE554" s="12">
        <f>AB554+AC554+AD554</f>
        <v/>
      </c>
      <c r="AF554" s="13">
        <f>AI553</f>
        <v/>
      </c>
      <c r="AG554" s="13" t="n">
        <v>0</v>
      </c>
      <c r="AH554" s="13" t="n">
        <v>0</v>
      </c>
      <c r="AI554" s="13">
        <f>AF554+AG554+AH554</f>
        <v/>
      </c>
      <c r="AJ554" s="14" t="n">
        <v>0</v>
      </c>
      <c r="AK554" s="14" t="n">
        <v>50</v>
      </c>
      <c r="AL554" s="14" t="n">
        <v>0</v>
      </c>
      <c r="AM554" s="14">
        <f>AJ554+AK554+AL554</f>
        <v/>
      </c>
      <c r="AN554" s="14">
        <f>AN553+AM554</f>
        <v/>
      </c>
    </row>
    <row r="555">
      <c r="A555" s="8" t="n">
        <v>22</v>
      </c>
      <c r="B555" s="8" t="n">
        <v>4</v>
      </c>
      <c r="C555" s="8" t="n">
        <v>2</v>
      </c>
      <c r="D555" s="8" t="inlineStr">
        <is>
          <t>月卡收益 [月卡续费-30元]</t>
        </is>
      </c>
      <c r="E555" s="9">
        <f>K554</f>
        <v/>
      </c>
      <c r="F555" s="9" t="n">
        <v>1540</v>
      </c>
      <c r="G555" s="9" t="n">
        <v>0</v>
      </c>
      <c r="H555" s="9" t="n">
        <v>0</v>
      </c>
      <c r="I555" s="9" t="n">
        <v>0</v>
      </c>
      <c r="J555" s="9" t="n">
        <v>7680</v>
      </c>
      <c r="K555" s="9">
        <f>E555+F555+G555+H555+I555-J555</f>
        <v/>
      </c>
      <c r="L555" s="10">
        <f>Q554</f>
        <v/>
      </c>
      <c r="M555" s="10" t="n">
        <v>0</v>
      </c>
      <c r="N555" s="10" t="n">
        <v>6</v>
      </c>
      <c r="O555" s="10">
        <f>J555/160</f>
        <v/>
      </c>
      <c r="P555" s="10" t="n">
        <v>60</v>
      </c>
      <c r="Q555" s="10">
        <f>L555+M555+N555+O555-P555</f>
        <v/>
      </c>
      <c r="R555" s="11">
        <f>T554</f>
        <v/>
      </c>
      <c r="S555" s="11">
        <f>N(V555) + N(X555) + N(Z555)</f>
        <v/>
      </c>
      <c r="T555" s="11">
        <f>R555+P555-S555</f>
        <v/>
      </c>
      <c r="U555" s="11" t="inlineStr">
        <is>
          <t>是</t>
        </is>
      </c>
      <c r="V555" s="11" t="n">
        <v>49</v>
      </c>
      <c r="W555" s="11" t="inlineStr">
        <is>
          <t>否</t>
        </is>
      </c>
      <c r="X555" s="11" t="inlineStr">
        <is>
          <t>-</t>
        </is>
      </c>
      <c r="Y555" s="11" t="inlineStr">
        <is>
          <t>-</t>
        </is>
      </c>
      <c r="Z555" s="11" t="n">
        <v>0</v>
      </c>
      <c r="AA555" s="11" t="inlineStr">
        <is>
          <t>垫到60抽</t>
        </is>
      </c>
      <c r="AB555" s="12">
        <f>AE554</f>
        <v/>
      </c>
      <c r="AC555" s="12" t="n">
        <v>0</v>
      </c>
      <c r="AD555" s="12" t="n">
        <v>0</v>
      </c>
      <c r="AE555" s="12">
        <f>AB555+AC555+AD555</f>
        <v/>
      </c>
      <c r="AF555" s="13">
        <f>AI554</f>
        <v/>
      </c>
      <c r="AG555" s="13" t="n">
        <v>0</v>
      </c>
      <c r="AH555" s="13" t="n">
        <v>0</v>
      </c>
      <c r="AI555" s="13">
        <f>AF555+AG555+AH555</f>
        <v/>
      </c>
      <c r="AJ555" s="14" t="n">
        <v>30</v>
      </c>
      <c r="AK555" s="14" t="n">
        <v>0</v>
      </c>
      <c r="AL555" s="14" t="n">
        <v>0</v>
      </c>
      <c r="AM555" s="14">
        <f>AJ555+AK555+AL555</f>
        <v/>
      </c>
      <c r="AN555" s="14">
        <f>AN554+AM555</f>
        <v/>
      </c>
    </row>
    <row r="556">
      <c r="A556" s="8" t="n">
        <v>22</v>
      </c>
      <c r="B556" s="8" t="n">
        <v>5</v>
      </c>
      <c r="C556" s="8" t="n">
        <v>1</v>
      </c>
      <c r="D556" s="8" t="inlineStr">
        <is>
          <t>版本免费+义相逢 + 月卡收益</t>
        </is>
      </c>
      <c r="E556" s="9">
        <f>K555</f>
        <v/>
      </c>
      <c r="F556" s="9" t="n">
        <v>1540</v>
      </c>
      <c r="G556" s="9" t="n">
        <v>4800</v>
      </c>
      <c r="H556" s="9" t="n">
        <v>0</v>
      </c>
      <c r="I556" s="9" t="n">
        <v>0</v>
      </c>
      <c r="J556" s="9" t="n">
        <v>0</v>
      </c>
      <c r="K556" s="9">
        <f>E556+F556+G556+H556+I556-J556</f>
        <v/>
      </c>
      <c r="L556" s="10">
        <f>Q555</f>
        <v/>
      </c>
      <c r="M556" s="10" t="n">
        <v>85</v>
      </c>
      <c r="N556" s="10" t="n">
        <v>3</v>
      </c>
      <c r="O556" s="10">
        <f>J556/160</f>
        <v/>
      </c>
      <c r="P556" s="10" t="n">
        <v>40</v>
      </c>
      <c r="Q556" s="10">
        <f>L556+M556+N556+O556-P556</f>
        <v/>
      </c>
      <c r="R556" s="11">
        <f>T555</f>
        <v/>
      </c>
      <c r="S556" s="11">
        <f>N(V556) + N(X556) + N(Z556)</f>
        <v/>
      </c>
      <c r="T556" s="11">
        <f>R556+P556-S556</f>
        <v/>
      </c>
      <c r="U556" s="11" t="inlineStr">
        <is>
          <t>是</t>
        </is>
      </c>
      <c r="V556" s="11" t="n">
        <v>49</v>
      </c>
      <c r="W556" s="11" t="inlineStr">
        <is>
          <t>否</t>
        </is>
      </c>
      <c r="X556" s="11" t="inlineStr">
        <is>
          <t>-</t>
        </is>
      </c>
      <c r="Y556" s="11" t="inlineStr">
        <is>
          <t>-</t>
        </is>
      </c>
      <c r="Z556" s="11" t="n">
        <v>0</v>
      </c>
      <c r="AA556" s="11" t="inlineStr">
        <is>
          <t>无</t>
        </is>
      </c>
      <c r="AB556" s="12">
        <f>AE555</f>
        <v/>
      </c>
      <c r="AC556" s="12" t="n">
        <v>4</v>
      </c>
      <c r="AD556" s="12" t="n">
        <v>0</v>
      </c>
      <c r="AE556" s="12">
        <f>AB556+AC556+AD556</f>
        <v/>
      </c>
      <c r="AF556" s="13">
        <f>AI555</f>
        <v/>
      </c>
      <c r="AG556" s="13" t="n">
        <v>0</v>
      </c>
      <c r="AH556" s="13" t="n">
        <v>0</v>
      </c>
      <c r="AI556" s="13">
        <f>AF556+AG556+AH556</f>
        <v/>
      </c>
      <c r="AJ556" s="14" t="n">
        <v>0</v>
      </c>
      <c r="AK556" s="14" t="n">
        <v>50</v>
      </c>
      <c r="AL556" s="14" t="n">
        <v>0</v>
      </c>
      <c r="AM556" s="14">
        <f>AJ556+AK556+AL556</f>
        <v/>
      </c>
      <c r="AN556" s="14">
        <f>AN555+AM556</f>
        <v/>
      </c>
    </row>
    <row r="557">
      <c r="A557" s="8" t="n">
        <v>22</v>
      </c>
      <c r="B557" s="8" t="n">
        <v>5</v>
      </c>
      <c r="C557" s="8" t="n">
        <v>2</v>
      </c>
      <c r="D557" s="8" t="inlineStr">
        <is>
          <t>月卡收益</t>
        </is>
      </c>
      <c r="E557" s="9">
        <f>K556</f>
        <v/>
      </c>
      <c r="F557" s="9" t="n">
        <v>1540</v>
      </c>
      <c r="G557" s="9" t="n">
        <v>0</v>
      </c>
      <c r="H557" s="9" t="n">
        <v>0</v>
      </c>
      <c r="I557" s="9" t="n">
        <v>0</v>
      </c>
      <c r="J557" s="9" t="n">
        <v>960</v>
      </c>
      <c r="K557" s="9">
        <f>E557+F557+G557+H557+I557-J557</f>
        <v/>
      </c>
      <c r="L557" s="10">
        <f>Q556</f>
        <v/>
      </c>
      <c r="M557" s="10" t="n">
        <v>0</v>
      </c>
      <c r="N557" s="10" t="n">
        <v>6</v>
      </c>
      <c r="O557" s="10">
        <f>J557/160</f>
        <v/>
      </c>
      <c r="P557" s="10" t="n">
        <v>60</v>
      </c>
      <c r="Q557" s="10">
        <f>L557+M557+N557+O557-P557</f>
        <v/>
      </c>
      <c r="R557" s="11">
        <f>T556</f>
        <v/>
      </c>
      <c r="S557" s="11">
        <f>N(V557) + N(X557) + N(Z557)</f>
        <v/>
      </c>
      <c r="T557" s="11">
        <f>R557+P557-S557</f>
        <v/>
      </c>
      <c r="U557" s="11" t="inlineStr">
        <is>
          <t>是</t>
        </is>
      </c>
      <c r="V557" s="11" t="n">
        <v>50</v>
      </c>
      <c r="W557" s="11" t="inlineStr">
        <is>
          <t>否</t>
        </is>
      </c>
      <c r="X557" s="11" t="inlineStr">
        <is>
          <t>-</t>
        </is>
      </c>
      <c r="Y557" s="11" t="inlineStr">
        <is>
          <t>-</t>
        </is>
      </c>
      <c r="Z557" s="11" t="n">
        <v>0</v>
      </c>
      <c r="AA557" s="11" t="inlineStr">
        <is>
          <t>垫到60抽</t>
        </is>
      </c>
      <c r="AB557" s="12">
        <f>AE556</f>
        <v/>
      </c>
      <c r="AC557" s="12" t="n">
        <v>0</v>
      </c>
      <c r="AD557" s="12" t="n">
        <v>0</v>
      </c>
      <c r="AE557" s="12">
        <f>AB557+AC557+AD557</f>
        <v/>
      </c>
      <c r="AF557" s="13">
        <f>AI556</f>
        <v/>
      </c>
      <c r="AG557" s="13" t="n">
        <v>0</v>
      </c>
      <c r="AH557" s="13" t="n">
        <v>0</v>
      </c>
      <c r="AI557" s="13">
        <f>AF557+AG557+AH557</f>
        <v/>
      </c>
      <c r="AJ557" s="14" t="n">
        <v>0</v>
      </c>
      <c r="AK557" s="14" t="n">
        <v>0</v>
      </c>
      <c r="AL557" s="14" t="n">
        <v>0</v>
      </c>
      <c r="AM557" s="14">
        <f>AJ557+AK557+AL557</f>
        <v/>
      </c>
      <c r="AN557" s="14">
        <f>AN556+AM557</f>
        <v/>
      </c>
    </row>
    <row r="558">
      <c r="A558" s="8" t="n">
        <v>22</v>
      </c>
      <c r="B558" s="8" t="n">
        <v>6</v>
      </c>
      <c r="C558" s="8" t="n">
        <v>1</v>
      </c>
      <c r="D558" s="8" t="inlineStr">
        <is>
          <t>版本免费+义相逢 + 月卡收益 [月卡续费-30元]</t>
        </is>
      </c>
      <c r="E558" s="9">
        <f>K557</f>
        <v/>
      </c>
      <c r="F558" s="9" t="n">
        <v>1540</v>
      </c>
      <c r="G558" s="9" t="n">
        <v>4800</v>
      </c>
      <c r="H558" s="9" t="n">
        <v>0</v>
      </c>
      <c r="I558" s="9" t="n">
        <v>0</v>
      </c>
      <c r="J558" s="9" t="n">
        <v>0</v>
      </c>
      <c r="K558" s="9">
        <f>E558+F558+G558+H558+I558-J558</f>
        <v/>
      </c>
      <c r="L558" s="10">
        <f>Q557</f>
        <v/>
      </c>
      <c r="M558" s="10" t="n">
        <v>85</v>
      </c>
      <c r="N558" s="10" t="n">
        <v>3</v>
      </c>
      <c r="O558" s="10">
        <f>J558/160</f>
        <v/>
      </c>
      <c r="P558" s="10" t="n">
        <v>40</v>
      </c>
      <c r="Q558" s="10">
        <f>L558+M558+N558+O558-P558</f>
        <v/>
      </c>
      <c r="R558" s="11">
        <f>T557</f>
        <v/>
      </c>
      <c r="S558" s="11">
        <f>N(V558) + N(X558) + N(Z558)</f>
        <v/>
      </c>
      <c r="T558" s="11">
        <f>R558+P558-S558</f>
        <v/>
      </c>
      <c r="U558" s="11" t="inlineStr">
        <is>
          <t>是</t>
        </is>
      </c>
      <c r="V558" s="11" t="n">
        <v>52</v>
      </c>
      <c r="W558" s="11" t="inlineStr">
        <is>
          <t>否</t>
        </is>
      </c>
      <c r="X558" s="11" t="inlineStr">
        <is>
          <t>-</t>
        </is>
      </c>
      <c r="Y558" s="11" t="inlineStr">
        <is>
          <t>-</t>
        </is>
      </c>
      <c r="Z558" s="11" t="n">
        <v>0</v>
      </c>
      <c r="AA558" s="11" t="inlineStr">
        <is>
          <t>无</t>
        </is>
      </c>
      <c r="AB558" s="12">
        <f>AE557</f>
        <v/>
      </c>
      <c r="AC558" s="12" t="n">
        <v>4</v>
      </c>
      <c r="AD558" s="12" t="n">
        <v>0</v>
      </c>
      <c r="AE558" s="12">
        <f>AB558+AC558+AD558</f>
        <v/>
      </c>
      <c r="AF558" s="13">
        <f>AI557</f>
        <v/>
      </c>
      <c r="AG558" s="13" t="n">
        <v>0</v>
      </c>
      <c r="AH558" s="13" t="n">
        <v>0</v>
      </c>
      <c r="AI558" s="13">
        <f>AF558+AG558+AH558</f>
        <v/>
      </c>
      <c r="AJ558" s="14" t="n">
        <v>30</v>
      </c>
      <c r="AK558" s="14" t="n">
        <v>50</v>
      </c>
      <c r="AL558" s="14" t="n">
        <v>0</v>
      </c>
      <c r="AM558" s="14">
        <f>AJ558+AK558+AL558</f>
        <v/>
      </c>
      <c r="AN558" s="14">
        <f>AN557+AM558</f>
        <v/>
      </c>
    </row>
    <row r="559">
      <c r="A559" s="8" t="n">
        <v>22</v>
      </c>
      <c r="B559" s="8" t="n">
        <v>6</v>
      </c>
      <c r="C559" s="8" t="n">
        <v>2</v>
      </c>
      <c r="D559" s="8" t="inlineStr">
        <is>
          <t>月卡收益</t>
        </is>
      </c>
      <c r="E559" s="9">
        <f>K558</f>
        <v/>
      </c>
      <c r="F559" s="9" t="n">
        <v>1540</v>
      </c>
      <c r="G559" s="9" t="n">
        <v>0</v>
      </c>
      <c r="H559" s="9" t="n">
        <v>0</v>
      </c>
      <c r="I559" s="9" t="n">
        <v>0</v>
      </c>
      <c r="J559" s="9" t="n">
        <v>960</v>
      </c>
      <c r="K559" s="9">
        <f>E559+F559+G559+H559+I559-J559</f>
        <v/>
      </c>
      <c r="L559" s="10">
        <f>Q558</f>
        <v/>
      </c>
      <c r="M559" s="10" t="n">
        <v>0</v>
      </c>
      <c r="N559" s="10" t="n">
        <v>6</v>
      </c>
      <c r="O559" s="10">
        <f>J559/160</f>
        <v/>
      </c>
      <c r="P559" s="10" t="n">
        <v>60</v>
      </c>
      <c r="Q559" s="10">
        <f>L559+M559+N559+O559-P559</f>
        <v/>
      </c>
      <c r="R559" s="11">
        <f>T558</f>
        <v/>
      </c>
      <c r="S559" s="11">
        <f>N(V559) + N(X559) + N(Z559)</f>
        <v/>
      </c>
      <c r="T559" s="11">
        <f>R559+P559-S559</f>
        <v/>
      </c>
      <c r="U559" s="11" t="inlineStr">
        <is>
          <t>是</t>
        </is>
      </c>
      <c r="V559" s="11" t="n">
        <v>51</v>
      </c>
      <c r="W559" s="11" t="inlineStr">
        <is>
          <t>否</t>
        </is>
      </c>
      <c r="X559" s="11" t="inlineStr">
        <is>
          <t>-</t>
        </is>
      </c>
      <c r="Y559" s="11" t="inlineStr">
        <is>
          <t>-</t>
        </is>
      </c>
      <c r="Z559" s="11" t="n">
        <v>0</v>
      </c>
      <c r="AA559" s="11" t="inlineStr">
        <is>
          <t>无</t>
        </is>
      </c>
      <c r="AB559" s="12">
        <f>AE558</f>
        <v/>
      </c>
      <c r="AC559" s="12" t="n">
        <v>0</v>
      </c>
      <c r="AD559" s="12" t="n">
        <v>0</v>
      </c>
      <c r="AE559" s="12">
        <f>AB559+AC559+AD559</f>
        <v/>
      </c>
      <c r="AF559" s="13">
        <f>AI558</f>
        <v/>
      </c>
      <c r="AG559" s="13" t="n">
        <v>0</v>
      </c>
      <c r="AH559" s="13" t="n">
        <v>0</v>
      </c>
      <c r="AI559" s="13">
        <f>AF559+AG559+AH559</f>
        <v/>
      </c>
      <c r="AJ559" s="14" t="n">
        <v>0</v>
      </c>
      <c r="AK559" s="14" t="n">
        <v>0</v>
      </c>
      <c r="AL559" s="14" t="n">
        <v>0</v>
      </c>
      <c r="AM559" s="14">
        <f>AJ559+AK559+AL559</f>
        <v/>
      </c>
      <c r="AN559" s="14">
        <f>AN558+AM559</f>
        <v/>
      </c>
    </row>
    <row r="560">
      <c r="A560" s="8" t="n">
        <v>22</v>
      </c>
      <c r="B560" s="8" t="n">
        <v>7</v>
      </c>
      <c r="C560" s="8" t="n">
        <v>1</v>
      </c>
      <c r="D560" s="8" t="inlineStr">
        <is>
          <t>版本免费+义相逢 + 月卡收益 [月卡续费-30元]</t>
        </is>
      </c>
      <c r="E560" s="9">
        <f>K559</f>
        <v/>
      </c>
      <c r="F560" s="9" t="n">
        <v>1540</v>
      </c>
      <c r="G560" s="9" t="n">
        <v>4800</v>
      </c>
      <c r="H560" s="9" t="n">
        <v>0</v>
      </c>
      <c r="I560" s="9" t="n">
        <v>0</v>
      </c>
      <c r="J560" s="9" t="n">
        <v>0</v>
      </c>
      <c r="K560" s="9">
        <f>E560+F560+G560+H560+I560-J560</f>
        <v/>
      </c>
      <c r="L560" s="10">
        <f>Q559</f>
        <v/>
      </c>
      <c r="M560" s="10" t="n">
        <v>85</v>
      </c>
      <c r="N560" s="10" t="n">
        <v>6</v>
      </c>
      <c r="O560" s="10">
        <f>J560/160</f>
        <v/>
      </c>
      <c r="P560" s="10" t="n">
        <v>60</v>
      </c>
      <c r="Q560" s="10">
        <f>L560+M560+N560+O560-P560</f>
        <v/>
      </c>
      <c r="R560" s="11">
        <f>T559</f>
        <v/>
      </c>
      <c r="S560" s="11">
        <f>N(V560) + N(X560) + N(Z560)</f>
        <v/>
      </c>
      <c r="T560" s="11">
        <f>R560+P560-S560</f>
        <v/>
      </c>
      <c r="U560" s="11" t="inlineStr">
        <is>
          <t>是</t>
        </is>
      </c>
      <c r="V560" s="11" t="n">
        <v>50</v>
      </c>
      <c r="W560" s="11" t="inlineStr">
        <is>
          <t>否</t>
        </is>
      </c>
      <c r="X560" s="11" t="inlineStr">
        <is>
          <t>-</t>
        </is>
      </c>
      <c r="Y560" s="11" t="inlineStr">
        <is>
          <t>-</t>
        </is>
      </c>
      <c r="Z560" s="11" t="n">
        <v>0</v>
      </c>
      <c r="AA560" s="11" t="inlineStr">
        <is>
          <t>垫到60抽</t>
        </is>
      </c>
      <c r="AB560" s="12">
        <f>AE559</f>
        <v/>
      </c>
      <c r="AC560" s="12" t="n">
        <v>4</v>
      </c>
      <c r="AD560" s="12" t="n">
        <v>0</v>
      </c>
      <c r="AE560" s="12">
        <f>AB560+AC560+AD560</f>
        <v/>
      </c>
      <c r="AF560" s="13">
        <f>AI559</f>
        <v/>
      </c>
      <c r="AG560" s="13" t="n">
        <v>0</v>
      </c>
      <c r="AH560" s="13" t="n">
        <v>0</v>
      </c>
      <c r="AI560" s="13">
        <f>AF560+AG560+AH560</f>
        <v/>
      </c>
      <c r="AJ560" s="14" t="n">
        <v>30</v>
      </c>
      <c r="AK560" s="14" t="n">
        <v>50</v>
      </c>
      <c r="AL560" s="14" t="n">
        <v>0</v>
      </c>
      <c r="AM560" s="14">
        <f>AJ560+AK560+AL560</f>
        <v/>
      </c>
      <c r="AN560" s="14">
        <f>AN559+AM560</f>
        <v/>
      </c>
    </row>
    <row r="561">
      <c r="A561" s="8" t="n">
        <v>22</v>
      </c>
      <c r="B561" s="8" t="n">
        <v>7</v>
      </c>
      <c r="C561" s="8" t="n">
        <v>2</v>
      </c>
      <c r="D561" s="8" t="inlineStr">
        <is>
          <t>月卡收益</t>
        </is>
      </c>
      <c r="E561" s="9">
        <f>K560</f>
        <v/>
      </c>
      <c r="F561" s="9" t="n">
        <v>1540</v>
      </c>
      <c r="G561" s="9" t="n">
        <v>0</v>
      </c>
      <c r="H561" s="9" t="n">
        <v>0</v>
      </c>
      <c r="I561" s="9" t="n">
        <v>0</v>
      </c>
      <c r="J561" s="9" t="n">
        <v>480</v>
      </c>
      <c r="K561" s="9">
        <f>E561+F561+G561+H561+I561-J561</f>
        <v/>
      </c>
      <c r="L561" s="10">
        <f>Q560</f>
        <v/>
      </c>
      <c r="M561" s="10" t="n">
        <v>0</v>
      </c>
      <c r="N561" s="10" t="n">
        <v>3</v>
      </c>
      <c r="O561" s="10">
        <f>J561/160</f>
        <v/>
      </c>
      <c r="P561" s="10" t="n">
        <v>40</v>
      </c>
      <c r="Q561" s="10">
        <f>L561+M561+N561+O561-P561</f>
        <v/>
      </c>
      <c r="R561" s="11">
        <f>T560</f>
        <v/>
      </c>
      <c r="S561" s="11">
        <f>N(V561) + N(X561) + N(Z561)</f>
        <v/>
      </c>
      <c r="T561" s="11">
        <f>R561+P561-S561</f>
        <v/>
      </c>
      <c r="U561" s="11" t="inlineStr">
        <is>
          <t>是</t>
        </is>
      </c>
      <c r="V561" s="11" t="n">
        <v>51</v>
      </c>
      <c r="W561" s="11" t="inlineStr">
        <is>
          <t>否</t>
        </is>
      </c>
      <c r="X561" s="11" t="inlineStr">
        <is>
          <t>-</t>
        </is>
      </c>
      <c r="Y561" s="11" t="inlineStr">
        <is>
          <t>-</t>
        </is>
      </c>
      <c r="Z561" s="11" t="n">
        <v>0</v>
      </c>
      <c r="AA561" s="11" t="inlineStr">
        <is>
          <t>无</t>
        </is>
      </c>
      <c r="AB561" s="12">
        <f>AE560</f>
        <v/>
      </c>
      <c r="AC561" s="12" t="n">
        <v>0</v>
      </c>
      <c r="AD561" s="12" t="n">
        <v>0</v>
      </c>
      <c r="AE561" s="12">
        <f>AB561+AC561+AD561</f>
        <v/>
      </c>
      <c r="AF561" s="13">
        <f>AI560</f>
        <v/>
      </c>
      <c r="AG561" s="13" t="n">
        <v>0</v>
      </c>
      <c r="AH561" s="13" t="n">
        <v>0</v>
      </c>
      <c r="AI561" s="13">
        <f>AF561+AG561+AH561</f>
        <v/>
      </c>
      <c r="AJ561" s="14" t="n">
        <v>0</v>
      </c>
      <c r="AK561" s="14" t="n">
        <v>0</v>
      </c>
      <c r="AL561" s="14" t="n">
        <v>0</v>
      </c>
      <c r="AM561" s="14">
        <f>AJ561+AK561+AL561</f>
        <v/>
      </c>
      <c r="AN561" s="14">
        <f>AN560+AM561</f>
        <v/>
      </c>
    </row>
    <row r="562">
      <c r="A562" s="8" t="n">
        <v>22</v>
      </c>
      <c r="B562" s="8" t="n">
        <v>8</v>
      </c>
      <c r="C562" s="8" t="n">
        <v>1</v>
      </c>
      <c r="D562" s="8" t="inlineStr">
        <is>
          <t>版本免费+义相逢 + 月卡收益 [月卡续费-30元]</t>
        </is>
      </c>
      <c r="E562" s="9">
        <f>K561</f>
        <v/>
      </c>
      <c r="F562" s="9" t="n">
        <v>1540</v>
      </c>
      <c r="G562" s="9" t="n">
        <v>4800</v>
      </c>
      <c r="H562" s="9" t="n">
        <v>0</v>
      </c>
      <c r="I562" s="9" t="n">
        <v>0</v>
      </c>
      <c r="J562" s="9" t="n">
        <v>15040</v>
      </c>
      <c r="K562" s="9">
        <f>E562+F562+G562+H562+I562-J562</f>
        <v/>
      </c>
      <c r="L562" s="10">
        <f>Q561</f>
        <v/>
      </c>
      <c r="M562" s="10" t="n">
        <v>85</v>
      </c>
      <c r="N562" s="10" t="n">
        <v>21</v>
      </c>
      <c r="O562" s="10">
        <f>J562/160</f>
        <v/>
      </c>
      <c r="P562" s="10" t="n">
        <v>200</v>
      </c>
      <c r="Q562" s="10">
        <f>L562+M562+N562+O562-P562</f>
        <v/>
      </c>
      <c r="R562" s="11">
        <f>T561</f>
        <v/>
      </c>
      <c r="S562" s="11">
        <f>N(V562) + N(X562) + N(Z562)</f>
        <v/>
      </c>
      <c r="T562" s="11">
        <f>R562+P562-S562</f>
        <v/>
      </c>
      <c r="U562" s="11" t="inlineStr">
        <is>
          <t>是</t>
        </is>
      </c>
      <c r="V562" s="11" t="n">
        <v>49</v>
      </c>
      <c r="W562" s="11" t="inlineStr">
        <is>
          <t>是</t>
        </is>
      </c>
      <c r="X562" s="11" t="n">
        <v>46</v>
      </c>
      <c r="Y562" s="11" t="inlineStr">
        <is>
          <t>歪(51), UP(48)</t>
        </is>
      </c>
      <c r="Z562" s="11" t="n">
        <v>99</v>
      </c>
      <c r="AA562" s="11" t="inlineStr">
        <is>
          <t>冲刺200(动态80)</t>
        </is>
      </c>
      <c r="AB562" s="12">
        <f>AE561</f>
        <v/>
      </c>
      <c r="AC562" s="12" t="n">
        <v>4</v>
      </c>
      <c r="AD562" s="12" t="n">
        <v>1</v>
      </c>
      <c r="AE562" s="12">
        <f>AB562+AC562+AD562</f>
        <v/>
      </c>
      <c r="AF562" s="13">
        <f>AI561</f>
        <v/>
      </c>
      <c r="AG562" s="13" t="n">
        <v>0</v>
      </c>
      <c r="AH562" s="13" t="n">
        <v>5000</v>
      </c>
      <c r="AI562" s="13">
        <f>AF562+AG562+AH562</f>
        <v/>
      </c>
      <c r="AJ562" s="14" t="n">
        <v>30</v>
      </c>
      <c r="AK562" s="14" t="n">
        <v>50</v>
      </c>
      <c r="AL562" s="14" t="n">
        <v>0</v>
      </c>
      <c r="AM562" s="14">
        <f>AJ562+AK562+AL562</f>
        <v/>
      </c>
      <c r="AN562" s="14">
        <f>AN561+AM562</f>
        <v/>
      </c>
    </row>
    <row r="563">
      <c r="A563" s="8" t="n">
        <v>22</v>
      </c>
      <c r="B563" s="8" t="n">
        <v>8</v>
      </c>
      <c r="C563" s="8" t="n">
        <v>2</v>
      </c>
      <c r="D563" s="8" t="inlineStr">
        <is>
          <t>月卡收益</t>
        </is>
      </c>
      <c r="E563" s="9">
        <f>K562</f>
        <v/>
      </c>
      <c r="F563" s="9" t="n">
        <v>1540</v>
      </c>
      <c r="G563" s="9" t="n">
        <v>0</v>
      </c>
      <c r="H563" s="9" t="n">
        <v>0</v>
      </c>
      <c r="I563" s="9" t="n">
        <v>0</v>
      </c>
      <c r="J563" s="9" t="n">
        <v>13440</v>
      </c>
      <c r="K563" s="9">
        <f>E563+F563+G563+H563+I563-J563</f>
        <v/>
      </c>
      <c r="L563" s="10">
        <f>Q562</f>
        <v/>
      </c>
      <c r="M563" s="10" t="n">
        <v>0</v>
      </c>
      <c r="N563" s="10" t="n">
        <v>11</v>
      </c>
      <c r="O563" s="10">
        <f>J563/160</f>
        <v/>
      </c>
      <c r="P563" s="10" t="n">
        <v>90</v>
      </c>
      <c r="Q563" s="10">
        <f>L563+M563+N563+O563-P563</f>
        <v/>
      </c>
      <c r="R563" s="11">
        <f>T562</f>
        <v/>
      </c>
      <c r="S563" s="11">
        <f>N(V563) + N(X563) + N(Z563)</f>
        <v/>
      </c>
      <c r="T563" s="11">
        <f>R563+P563-S563</f>
        <v/>
      </c>
      <c r="U563" s="11" t="inlineStr">
        <is>
          <t>是</t>
        </is>
      </c>
      <c r="V563" s="11" t="n">
        <v>50</v>
      </c>
      <c r="W563" s="11" t="inlineStr">
        <is>
          <t>是</t>
        </is>
      </c>
      <c r="X563" s="11" t="n">
        <v>51</v>
      </c>
      <c r="Y563" s="11" t="inlineStr">
        <is>
          <t>-</t>
        </is>
      </c>
      <c r="Z563" s="11" t="n">
        <v>0</v>
      </c>
      <c r="AA563" s="11" t="inlineStr">
        <is>
          <t>无</t>
        </is>
      </c>
      <c r="AB563" s="12">
        <f>AE562</f>
        <v/>
      </c>
      <c r="AC563" s="12" t="n">
        <v>0</v>
      </c>
      <c r="AD563" s="12" t="n">
        <v>0</v>
      </c>
      <c r="AE563" s="12">
        <f>AB563+AC563+AD563</f>
        <v/>
      </c>
      <c r="AF563" s="13">
        <f>AI562</f>
        <v/>
      </c>
      <c r="AG563" s="13" t="n">
        <v>0</v>
      </c>
      <c r="AH563" s="13" t="n">
        <v>0</v>
      </c>
      <c r="AI563" s="13">
        <f>AF563+AG563+AH563</f>
        <v/>
      </c>
      <c r="AJ563" s="14" t="n">
        <v>0</v>
      </c>
      <c r="AK563" s="14" t="n">
        <v>0</v>
      </c>
      <c r="AL563" s="14" t="n">
        <v>0</v>
      </c>
      <c r="AM563" s="14">
        <f>AJ563+AK563+AL563</f>
        <v/>
      </c>
      <c r="AN563" s="14">
        <f>AN562+AM563</f>
        <v/>
      </c>
    </row>
    <row r="564">
      <c r="A564" s="8" t="n">
        <v>22</v>
      </c>
      <c r="B564" s="8" t="n">
        <v>9</v>
      </c>
      <c r="C564" s="8" t="n">
        <v>1</v>
      </c>
      <c r="D564" s="8" t="inlineStr">
        <is>
          <t>版本免费+义相逢 + 月卡收益 [月卡续费-30元]</t>
        </is>
      </c>
      <c r="E564" s="9">
        <f>K563</f>
        <v/>
      </c>
      <c r="F564" s="9" t="n">
        <v>1540</v>
      </c>
      <c r="G564" s="9" t="n">
        <v>4800</v>
      </c>
      <c r="H564" s="9" t="n">
        <v>0</v>
      </c>
      <c r="I564" s="9" t="n">
        <v>0</v>
      </c>
      <c r="J564" s="9" t="n">
        <v>14240</v>
      </c>
      <c r="K564" s="9">
        <f>E564+F564+G564+H564+I564-J564</f>
        <v/>
      </c>
      <c r="L564" s="10">
        <f>Q563</f>
        <v/>
      </c>
      <c r="M564" s="10" t="n">
        <v>85</v>
      </c>
      <c r="N564" s="10" t="n">
        <v>21</v>
      </c>
      <c r="O564" s="10">
        <f>J564/160</f>
        <v/>
      </c>
      <c r="P564" s="10" t="n">
        <v>200</v>
      </c>
      <c r="Q564" s="10">
        <f>L564+M564+N564+O564-P564</f>
        <v/>
      </c>
      <c r="R564" s="11">
        <f>T563</f>
        <v/>
      </c>
      <c r="S564" s="11">
        <f>N(V564) + N(X564) + N(Z564)</f>
        <v/>
      </c>
      <c r="T564" s="11">
        <f>R564+P564-S564</f>
        <v/>
      </c>
      <c r="U564" s="11" t="inlineStr">
        <is>
          <t>是</t>
        </is>
      </c>
      <c r="V564" s="11" t="n">
        <v>51</v>
      </c>
      <c r="W564" s="11" t="inlineStr">
        <is>
          <t>是</t>
        </is>
      </c>
      <c r="X564" s="11" t="n">
        <v>49</v>
      </c>
      <c r="Y564" s="11" t="inlineStr">
        <is>
          <t>歪(49), UP(7)</t>
        </is>
      </c>
      <c r="Z564" s="11" t="n">
        <v>56</v>
      </c>
      <c r="AA564" s="11" t="inlineStr">
        <is>
          <t>冲刺200(动态100)</t>
        </is>
      </c>
      <c r="AB564" s="12">
        <f>AE563</f>
        <v/>
      </c>
      <c r="AC564" s="12" t="n">
        <v>4</v>
      </c>
      <c r="AD564" s="12" t="n">
        <v>1</v>
      </c>
      <c r="AE564" s="12">
        <f>AB564+AC564+AD564</f>
        <v/>
      </c>
      <c r="AF564" s="13">
        <f>AI563</f>
        <v/>
      </c>
      <c r="AG564" s="13" t="n">
        <v>0</v>
      </c>
      <c r="AH564" s="13" t="n">
        <v>5000</v>
      </c>
      <c r="AI564" s="13">
        <f>AF564+AG564+AH564</f>
        <v/>
      </c>
      <c r="AJ564" s="14" t="n">
        <v>30</v>
      </c>
      <c r="AK564" s="14" t="n">
        <v>50</v>
      </c>
      <c r="AL564" s="14" t="n">
        <v>0</v>
      </c>
      <c r="AM564" s="14">
        <f>AJ564+AK564+AL564</f>
        <v/>
      </c>
      <c r="AN564" s="14">
        <f>AN563+AM564</f>
        <v/>
      </c>
    </row>
    <row r="565">
      <c r="A565" s="8" t="n">
        <v>22</v>
      </c>
      <c r="B565" s="8" t="n">
        <v>9</v>
      </c>
      <c r="C565" s="8" t="n">
        <v>2</v>
      </c>
      <c r="D565" s="8" t="inlineStr">
        <is>
          <t>月卡收益</t>
        </is>
      </c>
      <c r="E565" s="9">
        <f>K564</f>
        <v/>
      </c>
      <c r="F565" s="9" t="n">
        <v>1540</v>
      </c>
      <c r="G565" s="9" t="n">
        <v>0</v>
      </c>
      <c r="H565" s="9" t="n">
        <v>0</v>
      </c>
      <c r="I565" s="9" t="n">
        <v>0</v>
      </c>
      <c r="J565" s="9" t="n">
        <v>1600</v>
      </c>
      <c r="K565" s="9">
        <f>E565+F565+G565+H565+I565-J565</f>
        <v/>
      </c>
      <c r="L565" s="10">
        <f>Q564</f>
        <v/>
      </c>
      <c r="M565" s="10" t="n">
        <v>0</v>
      </c>
      <c r="N565" s="10" t="n">
        <v>1</v>
      </c>
      <c r="O565" s="10">
        <f>J565/160</f>
        <v/>
      </c>
      <c r="P565" s="10" t="n">
        <v>10</v>
      </c>
      <c r="Q565" s="10">
        <f>L565+M565+N565+O565-P565</f>
        <v/>
      </c>
      <c r="R565" s="11">
        <f>T564</f>
        <v/>
      </c>
      <c r="S565" s="11">
        <f>N(V565) + N(X565) + N(Z565)</f>
        <v/>
      </c>
      <c r="T565" s="11">
        <f>R565+P565-S565</f>
        <v/>
      </c>
      <c r="U565" s="11" t="inlineStr">
        <is>
          <t>是</t>
        </is>
      </c>
      <c r="V565" s="11" t="n">
        <v>49</v>
      </c>
      <c r="W565" s="11" t="inlineStr">
        <is>
          <t>否</t>
        </is>
      </c>
      <c r="X565" s="11" t="inlineStr">
        <is>
          <t>-</t>
        </is>
      </c>
      <c r="Y565" s="11" t="inlineStr">
        <is>
          <t>-</t>
        </is>
      </c>
      <c r="Z565" s="11" t="n">
        <v>0</v>
      </c>
      <c r="AA565" s="11" t="inlineStr">
        <is>
          <t>无</t>
        </is>
      </c>
      <c r="AB565" s="12">
        <f>AE564</f>
        <v/>
      </c>
      <c r="AC565" s="12" t="n">
        <v>0</v>
      </c>
      <c r="AD565" s="12" t="n">
        <v>0</v>
      </c>
      <c r="AE565" s="12">
        <f>AB565+AC565+AD565</f>
        <v/>
      </c>
      <c r="AF565" s="13">
        <f>AI564</f>
        <v/>
      </c>
      <c r="AG565" s="13" t="n">
        <v>0</v>
      </c>
      <c r="AH565" s="13" t="n">
        <v>0</v>
      </c>
      <c r="AI565" s="13">
        <f>AF565+AG565+AH565</f>
        <v/>
      </c>
      <c r="AJ565" s="14" t="n">
        <v>0</v>
      </c>
      <c r="AK565" s="14" t="n">
        <v>0</v>
      </c>
      <c r="AL565" s="14" t="n">
        <v>0</v>
      </c>
      <c r="AM565" s="14">
        <f>AJ565+AK565+AL565</f>
        <v/>
      </c>
      <c r="AN565" s="14">
        <f>AN564+AM565</f>
        <v/>
      </c>
    </row>
    <row r="566">
      <c r="A566" s="8" t="n">
        <v>22</v>
      </c>
      <c r="B566" s="8" t="n">
        <v>10</v>
      </c>
      <c r="C566" s="8" t="n">
        <v>1</v>
      </c>
      <c r="D566" s="8" t="inlineStr">
        <is>
          <t>版本免费+义相逢 + 月卡收益 [月卡续费-30元]</t>
        </is>
      </c>
      <c r="E566" s="9">
        <f>K565</f>
        <v/>
      </c>
      <c r="F566" s="9" t="n">
        <v>1540</v>
      </c>
      <c r="G566" s="9" t="n">
        <v>4800</v>
      </c>
      <c r="H566" s="9" t="n">
        <v>0</v>
      </c>
      <c r="I566" s="9" t="n">
        <v>0</v>
      </c>
      <c r="J566" s="9" t="n">
        <v>0</v>
      </c>
      <c r="K566" s="9">
        <f>E566+F566+G566+H566+I566-J566</f>
        <v/>
      </c>
      <c r="L566" s="10">
        <f>Q565</f>
        <v/>
      </c>
      <c r="M566" s="10" t="n">
        <v>85</v>
      </c>
      <c r="N566" s="10" t="n">
        <v>3</v>
      </c>
      <c r="O566" s="10">
        <f>J566/160</f>
        <v/>
      </c>
      <c r="P566" s="10" t="n">
        <v>40</v>
      </c>
      <c r="Q566" s="10">
        <f>L566+M566+N566+O566-P566</f>
        <v/>
      </c>
      <c r="R566" s="11">
        <f>T565</f>
        <v/>
      </c>
      <c r="S566" s="11">
        <f>N(V566) + N(X566) + N(Z566)</f>
        <v/>
      </c>
      <c r="T566" s="11">
        <f>R566+P566-S566</f>
        <v/>
      </c>
      <c r="U566" s="11" t="inlineStr">
        <is>
          <t>是</t>
        </is>
      </c>
      <c r="V566" s="11" t="n">
        <v>48</v>
      </c>
      <c r="W566" s="11" t="inlineStr">
        <is>
          <t>否</t>
        </is>
      </c>
      <c r="X566" s="11" t="inlineStr">
        <is>
          <t>-</t>
        </is>
      </c>
      <c r="Y566" s="11" t="inlineStr">
        <is>
          <t>-</t>
        </is>
      </c>
      <c r="Z566" s="11" t="n">
        <v>0</v>
      </c>
      <c r="AA566" s="11" t="inlineStr">
        <is>
          <t>无</t>
        </is>
      </c>
      <c r="AB566" s="12">
        <f>AE565</f>
        <v/>
      </c>
      <c r="AC566" s="12" t="n">
        <v>4</v>
      </c>
      <c r="AD566" s="12" t="n">
        <v>0</v>
      </c>
      <c r="AE566" s="12">
        <f>AB566+AC566+AD566</f>
        <v/>
      </c>
      <c r="AF566" s="13">
        <f>AI565</f>
        <v/>
      </c>
      <c r="AG566" s="13" t="n">
        <v>0</v>
      </c>
      <c r="AH566" s="13" t="n">
        <v>0</v>
      </c>
      <c r="AI566" s="13">
        <f>AF566+AG566+AH566</f>
        <v/>
      </c>
      <c r="AJ566" s="14" t="n">
        <v>30</v>
      </c>
      <c r="AK566" s="14" t="n">
        <v>50</v>
      </c>
      <c r="AL566" s="14" t="n">
        <v>0</v>
      </c>
      <c r="AM566" s="14">
        <f>AJ566+AK566+AL566</f>
        <v/>
      </c>
      <c r="AN566" s="14">
        <f>AN565+AM566</f>
        <v/>
      </c>
    </row>
    <row r="567">
      <c r="A567" s="8" t="n">
        <v>22</v>
      </c>
      <c r="B567" s="8" t="n">
        <v>10</v>
      </c>
      <c r="C567" s="8" t="n">
        <v>2</v>
      </c>
      <c r="D567" s="8" t="inlineStr">
        <is>
          <t>月卡收益</t>
        </is>
      </c>
      <c r="E567" s="9">
        <f>K566</f>
        <v/>
      </c>
      <c r="F567" s="9" t="n">
        <v>1540</v>
      </c>
      <c r="G567" s="9" t="n">
        <v>0</v>
      </c>
      <c r="H567" s="9" t="n">
        <v>0</v>
      </c>
      <c r="I567" s="9" t="n">
        <v>0</v>
      </c>
      <c r="J567" s="9" t="n">
        <v>6400</v>
      </c>
      <c r="K567" s="9">
        <f>E567+F567+G567+H567+I567-J567</f>
        <v/>
      </c>
      <c r="L567" s="10">
        <f>Q566</f>
        <v/>
      </c>
      <c r="M567" s="10" t="n">
        <v>0</v>
      </c>
      <c r="N567" s="10" t="n">
        <v>11</v>
      </c>
      <c r="O567" s="10">
        <f>J567/160</f>
        <v/>
      </c>
      <c r="P567" s="10" t="n">
        <v>100</v>
      </c>
      <c r="Q567" s="10">
        <f>L567+M567+N567+O567-P567</f>
        <v/>
      </c>
      <c r="R567" s="11">
        <f>T566</f>
        <v/>
      </c>
      <c r="S567" s="11">
        <f>N(V567) + N(X567) + N(Z567)</f>
        <v/>
      </c>
      <c r="T567" s="11">
        <f>R567+P567-S567</f>
        <v/>
      </c>
      <c r="U567" s="11" t="inlineStr">
        <is>
          <t>是</t>
        </is>
      </c>
      <c r="V567" s="11" t="n">
        <v>48</v>
      </c>
      <c r="W567" s="11" t="inlineStr">
        <is>
          <t>是</t>
        </is>
      </c>
      <c r="X567" s="11" t="n">
        <v>49</v>
      </c>
      <c r="Y567" s="11" t="inlineStr">
        <is>
          <t>-</t>
        </is>
      </c>
      <c r="Z567" s="11" t="n">
        <v>0</v>
      </c>
      <c r="AA567" s="11" t="inlineStr">
        <is>
          <t>无</t>
        </is>
      </c>
      <c r="AB567" s="12">
        <f>AE566</f>
        <v/>
      </c>
      <c r="AC567" s="12" t="n">
        <v>0</v>
      </c>
      <c r="AD567" s="12" t="n">
        <v>0</v>
      </c>
      <c r="AE567" s="12">
        <f>AB567+AC567+AD567</f>
        <v/>
      </c>
      <c r="AF567" s="13">
        <f>AI566</f>
        <v/>
      </c>
      <c r="AG567" s="13" t="n">
        <v>0</v>
      </c>
      <c r="AH567" s="13" t="n">
        <v>0</v>
      </c>
      <c r="AI567" s="13">
        <f>AF567+AG567+AH567</f>
        <v/>
      </c>
      <c r="AJ567" s="14" t="n">
        <v>0</v>
      </c>
      <c r="AK567" s="14" t="n">
        <v>0</v>
      </c>
      <c r="AL567" s="14" t="n">
        <v>0</v>
      </c>
      <c r="AM567" s="14">
        <f>AJ567+AK567+AL567</f>
        <v/>
      </c>
      <c r="AN567" s="14">
        <f>AN566+AM567</f>
        <v/>
      </c>
    </row>
    <row r="568">
      <c r="A568" s="8" t="n">
        <v>22</v>
      </c>
      <c r="B568" s="8" t="n">
        <v>11</v>
      </c>
      <c r="C568" s="8" t="n">
        <v>1</v>
      </c>
      <c r="D568" s="8" t="inlineStr">
        <is>
          <t>版本免费+义相逢 + 月卡收益 [月卡续费-30元]</t>
        </is>
      </c>
      <c r="E568" s="9">
        <f>K567</f>
        <v/>
      </c>
      <c r="F568" s="9" t="n">
        <v>1540</v>
      </c>
      <c r="G568" s="9" t="n">
        <v>4800</v>
      </c>
      <c r="H568" s="9" t="n">
        <v>0</v>
      </c>
      <c r="I568" s="9" t="n">
        <v>0</v>
      </c>
      <c r="J568" s="9" t="n">
        <v>0</v>
      </c>
      <c r="K568" s="9">
        <f>E568+F568+G568+H568+I568-J568</f>
        <v/>
      </c>
      <c r="L568" s="10">
        <f>Q567</f>
        <v/>
      </c>
      <c r="M568" s="10" t="n">
        <v>85</v>
      </c>
      <c r="N568" s="10" t="n">
        <v>6</v>
      </c>
      <c r="O568" s="10">
        <f>J568/160</f>
        <v/>
      </c>
      <c r="P568" s="10" t="n">
        <v>60</v>
      </c>
      <c r="Q568" s="10">
        <f>L568+M568+N568+O568-P568</f>
        <v/>
      </c>
      <c r="R568" s="11">
        <f>T567</f>
        <v/>
      </c>
      <c r="S568" s="11">
        <f>N(V568) + N(X568) + N(Z568)</f>
        <v/>
      </c>
      <c r="T568" s="11">
        <f>R568+P568-S568</f>
        <v/>
      </c>
      <c r="U568" s="11" t="inlineStr">
        <is>
          <t>是</t>
        </is>
      </c>
      <c r="V568" s="11" t="n">
        <v>50</v>
      </c>
      <c r="W568" s="11" t="inlineStr">
        <is>
          <t>否</t>
        </is>
      </c>
      <c r="X568" s="11" t="inlineStr">
        <is>
          <t>-</t>
        </is>
      </c>
      <c r="Y568" s="11" t="inlineStr">
        <is>
          <t>-</t>
        </is>
      </c>
      <c r="Z568" s="11" t="n">
        <v>0</v>
      </c>
      <c r="AA568" s="11" t="inlineStr">
        <is>
          <t>垫到60抽</t>
        </is>
      </c>
      <c r="AB568" s="12">
        <f>AE567</f>
        <v/>
      </c>
      <c r="AC568" s="12" t="n">
        <v>4</v>
      </c>
      <c r="AD568" s="12" t="n">
        <v>0</v>
      </c>
      <c r="AE568" s="12">
        <f>AB568+AC568+AD568</f>
        <v/>
      </c>
      <c r="AF568" s="13">
        <f>AI567</f>
        <v/>
      </c>
      <c r="AG568" s="13" t="n">
        <v>0</v>
      </c>
      <c r="AH568" s="13" t="n">
        <v>0</v>
      </c>
      <c r="AI568" s="13">
        <f>AF568+AG568+AH568</f>
        <v/>
      </c>
      <c r="AJ568" s="14" t="n">
        <v>30</v>
      </c>
      <c r="AK568" s="14" t="n">
        <v>50</v>
      </c>
      <c r="AL568" s="14" t="n">
        <v>0</v>
      </c>
      <c r="AM568" s="14">
        <f>AJ568+AK568+AL568</f>
        <v/>
      </c>
      <c r="AN568" s="14">
        <f>AN567+AM568</f>
        <v/>
      </c>
    </row>
    <row r="569">
      <c r="A569" s="8" t="n">
        <v>22</v>
      </c>
      <c r="B569" s="8" t="n">
        <v>11</v>
      </c>
      <c r="C569" s="8" t="n">
        <v>2</v>
      </c>
      <c r="D569" s="8" t="inlineStr">
        <is>
          <t>月卡收益</t>
        </is>
      </c>
      <c r="E569" s="9">
        <f>K568</f>
        <v/>
      </c>
      <c r="F569" s="9" t="n">
        <v>1540</v>
      </c>
      <c r="G569" s="9" t="n">
        <v>0</v>
      </c>
      <c r="H569" s="9" t="n">
        <v>0</v>
      </c>
      <c r="I569" s="9" t="n">
        <v>0</v>
      </c>
      <c r="J569" s="9" t="n">
        <v>960</v>
      </c>
      <c r="K569" s="9">
        <f>E569+F569+G569+H569+I569-J569</f>
        <v/>
      </c>
      <c r="L569" s="10">
        <f>Q568</f>
        <v/>
      </c>
      <c r="M569" s="10" t="n">
        <v>0</v>
      </c>
      <c r="N569" s="10" t="n">
        <v>3</v>
      </c>
      <c r="O569" s="10">
        <f>J569/160</f>
        <v/>
      </c>
      <c r="P569" s="10" t="n">
        <v>40</v>
      </c>
      <c r="Q569" s="10">
        <f>L569+M569+N569+O569-P569</f>
        <v/>
      </c>
      <c r="R569" s="11">
        <f>T568</f>
        <v/>
      </c>
      <c r="S569" s="11">
        <f>N(V569) + N(X569) + N(Z569)</f>
        <v/>
      </c>
      <c r="T569" s="11">
        <f>R569+P569-S569</f>
        <v/>
      </c>
      <c r="U569" s="11" t="inlineStr">
        <is>
          <t>是</t>
        </is>
      </c>
      <c r="V569" s="11" t="n">
        <v>51</v>
      </c>
      <c r="W569" s="11" t="inlineStr">
        <is>
          <t>否</t>
        </is>
      </c>
      <c r="X569" s="11" t="inlineStr">
        <is>
          <t>-</t>
        </is>
      </c>
      <c r="Y569" s="11" t="inlineStr">
        <is>
          <t>-</t>
        </is>
      </c>
      <c r="Z569" s="11" t="n">
        <v>0</v>
      </c>
      <c r="AA569" s="11" t="inlineStr">
        <is>
          <t>无</t>
        </is>
      </c>
      <c r="AB569" s="12">
        <f>AE568</f>
        <v/>
      </c>
      <c r="AC569" s="12" t="n">
        <v>0</v>
      </c>
      <c r="AD569" s="12" t="n">
        <v>0</v>
      </c>
      <c r="AE569" s="12">
        <f>AB569+AC569+AD569</f>
        <v/>
      </c>
      <c r="AF569" s="13">
        <f>AI568</f>
        <v/>
      </c>
      <c r="AG569" s="13" t="n">
        <v>0</v>
      </c>
      <c r="AH569" s="13" t="n">
        <v>0</v>
      </c>
      <c r="AI569" s="13">
        <f>AF569+AG569+AH569</f>
        <v/>
      </c>
      <c r="AJ569" s="14" t="n">
        <v>0</v>
      </c>
      <c r="AK569" s="14" t="n">
        <v>0</v>
      </c>
      <c r="AL569" s="14" t="n">
        <v>0</v>
      </c>
      <c r="AM569" s="14">
        <f>AJ569+AK569+AL569</f>
        <v/>
      </c>
      <c r="AN569" s="14">
        <f>AN568+AM569</f>
        <v/>
      </c>
    </row>
    <row r="570">
      <c r="A570" s="8" t="n">
        <v>22</v>
      </c>
      <c r="B570" s="8" t="n">
        <v>12</v>
      </c>
      <c r="C570" s="8" t="n">
        <v>1</v>
      </c>
      <c r="D570" s="8" t="inlineStr">
        <is>
          <t>版本免费+义相逢 + 月卡收益 [月卡续费-30元]</t>
        </is>
      </c>
      <c r="E570" s="9">
        <f>K569</f>
        <v/>
      </c>
      <c r="F570" s="9" t="n">
        <v>1540</v>
      </c>
      <c r="G570" s="9" t="n">
        <v>4800</v>
      </c>
      <c r="H570" s="9" t="n">
        <v>0</v>
      </c>
      <c r="I570" s="9" t="n">
        <v>0</v>
      </c>
      <c r="J570" s="9" t="n">
        <v>15040</v>
      </c>
      <c r="K570" s="9">
        <f>E570+F570+G570+H570+I570-J570</f>
        <v/>
      </c>
      <c r="L570" s="10">
        <f>Q569</f>
        <v/>
      </c>
      <c r="M570" s="10" t="n">
        <v>85</v>
      </c>
      <c r="N570" s="10" t="n">
        <v>21</v>
      </c>
      <c r="O570" s="10">
        <f>J570/160</f>
        <v/>
      </c>
      <c r="P570" s="10" t="n">
        <v>200</v>
      </c>
      <c r="Q570" s="10">
        <f>L570+M570+N570+O570-P570</f>
        <v/>
      </c>
      <c r="R570" s="11">
        <f>T569</f>
        <v/>
      </c>
      <c r="S570" s="11">
        <f>N(V570) + N(X570) + N(Z570)</f>
        <v/>
      </c>
      <c r="T570" s="11">
        <f>R570+P570-S570</f>
        <v/>
      </c>
      <c r="U570" s="11" t="inlineStr">
        <is>
          <t>是</t>
        </is>
      </c>
      <c r="V570" s="11" t="n">
        <v>51</v>
      </c>
      <c r="W570" s="11" t="inlineStr">
        <is>
          <t>是</t>
        </is>
      </c>
      <c r="X570" s="11" t="n">
        <v>46</v>
      </c>
      <c r="Y570" s="11" t="inlineStr">
        <is>
          <t>歪(53), UP(48)</t>
        </is>
      </c>
      <c r="Z570" s="11" t="n">
        <v>101</v>
      </c>
      <c r="AA570" s="11" t="inlineStr">
        <is>
          <t>冲刺200(动态100)</t>
        </is>
      </c>
      <c r="AB570" s="12">
        <f>AE569</f>
        <v/>
      </c>
      <c r="AC570" s="12" t="n">
        <v>4</v>
      </c>
      <c r="AD570" s="12" t="n">
        <v>1</v>
      </c>
      <c r="AE570" s="12">
        <f>AB570+AC570+AD570</f>
        <v/>
      </c>
      <c r="AF570" s="13">
        <f>AI569</f>
        <v/>
      </c>
      <c r="AG570" s="13" t="n">
        <v>0</v>
      </c>
      <c r="AH570" s="13" t="n">
        <v>5000</v>
      </c>
      <c r="AI570" s="13">
        <f>AF570+AG570+AH570</f>
        <v/>
      </c>
      <c r="AJ570" s="14" t="n">
        <v>30</v>
      </c>
      <c r="AK570" s="14" t="n">
        <v>50</v>
      </c>
      <c r="AL570" s="14" t="n">
        <v>0</v>
      </c>
      <c r="AM570" s="14">
        <f>AJ570+AK570+AL570</f>
        <v/>
      </c>
      <c r="AN570" s="14">
        <f>AN569+AM570</f>
        <v/>
      </c>
    </row>
    <row r="571">
      <c r="A571" s="8" t="n">
        <v>22</v>
      </c>
      <c r="B571" s="8" t="n">
        <v>12</v>
      </c>
      <c r="C571" s="8" t="n">
        <v>2</v>
      </c>
      <c r="D571" s="8" t="inlineStr">
        <is>
          <t>月卡收益</t>
        </is>
      </c>
      <c r="E571" s="9">
        <f>K570</f>
        <v/>
      </c>
      <c r="F571" s="9" t="n">
        <v>1540</v>
      </c>
      <c r="G571" s="9" t="n">
        <v>0</v>
      </c>
      <c r="H571" s="9" t="n">
        <v>0</v>
      </c>
      <c r="I571" s="9" t="n">
        <v>0</v>
      </c>
      <c r="J571" s="9" t="n">
        <v>9120</v>
      </c>
      <c r="K571" s="9">
        <f>E571+F571+G571+H571+I571-J571</f>
        <v/>
      </c>
      <c r="L571" s="10">
        <f>Q570</f>
        <v/>
      </c>
      <c r="M571" s="10" t="n">
        <v>0</v>
      </c>
      <c r="N571" s="10" t="n">
        <v>6</v>
      </c>
      <c r="O571" s="10">
        <f>J571/160</f>
        <v/>
      </c>
      <c r="P571" s="10" t="n">
        <v>60</v>
      </c>
      <c r="Q571" s="10">
        <f>L571+M571+N571+O571-P571</f>
        <v/>
      </c>
      <c r="R571" s="11">
        <f>T570</f>
        <v/>
      </c>
      <c r="S571" s="11">
        <f>N(V571) + N(X571) + N(Z571)</f>
        <v/>
      </c>
      <c r="T571" s="11">
        <f>R571+P571-S571</f>
        <v/>
      </c>
      <c r="U571" s="11" t="inlineStr">
        <is>
          <t>是</t>
        </is>
      </c>
      <c r="V571" s="11" t="n">
        <v>51</v>
      </c>
      <c r="W571" s="11" t="inlineStr">
        <is>
          <t>否</t>
        </is>
      </c>
      <c r="X571" s="11" t="inlineStr">
        <is>
          <t>-</t>
        </is>
      </c>
      <c r="Y571" s="11" t="inlineStr">
        <is>
          <t>-</t>
        </is>
      </c>
      <c r="Z571" s="11" t="n">
        <v>0</v>
      </c>
      <c r="AA571" s="11" t="inlineStr">
        <is>
          <t>垫到60抽</t>
        </is>
      </c>
      <c r="AB571" s="12">
        <f>AE570</f>
        <v/>
      </c>
      <c r="AC571" s="12" t="n">
        <v>0</v>
      </c>
      <c r="AD571" s="12" t="n">
        <v>0</v>
      </c>
      <c r="AE571" s="12">
        <f>AB571+AC571+AD571</f>
        <v/>
      </c>
      <c r="AF571" s="13">
        <f>AI570</f>
        <v/>
      </c>
      <c r="AG571" s="13" t="n">
        <v>0</v>
      </c>
      <c r="AH571" s="13" t="n">
        <v>0</v>
      </c>
      <c r="AI571" s="13">
        <f>AF571+AG571+AH571</f>
        <v/>
      </c>
      <c r="AJ571" s="14" t="n">
        <v>0</v>
      </c>
      <c r="AK571" s="14" t="n">
        <v>0</v>
      </c>
      <c r="AL571" s="14" t="n">
        <v>0</v>
      </c>
      <c r="AM571" s="14">
        <f>AJ571+AK571+AL571</f>
        <v/>
      </c>
      <c r="AN571" s="14">
        <f>AN570+AM571</f>
        <v/>
      </c>
    </row>
    <row r="572">
      <c r="A572" s="8" t="n">
        <v>22</v>
      </c>
      <c r="B572" s="8" t="n">
        <v>13</v>
      </c>
      <c r="C572" s="8" t="n">
        <v>1</v>
      </c>
      <c r="D572" s="8" t="inlineStr">
        <is>
          <t>版本免费+义相逢 + 月卡收益</t>
        </is>
      </c>
      <c r="E572" s="9">
        <f>K571</f>
        <v/>
      </c>
      <c r="F572" s="9" t="n">
        <v>1540</v>
      </c>
      <c r="G572" s="9" t="n">
        <v>4800</v>
      </c>
      <c r="H572" s="9" t="n">
        <v>0</v>
      </c>
      <c r="I572" s="9" t="n">
        <v>0</v>
      </c>
      <c r="J572" s="9" t="n">
        <v>0</v>
      </c>
      <c r="K572" s="9">
        <f>E572+F572+G572+H572+I572-J572</f>
        <v/>
      </c>
      <c r="L572" s="10">
        <f>Q571</f>
        <v/>
      </c>
      <c r="M572" s="10" t="n">
        <v>85</v>
      </c>
      <c r="N572" s="10" t="n">
        <v>11</v>
      </c>
      <c r="O572" s="10">
        <f>J572/160</f>
        <v/>
      </c>
      <c r="P572" s="10" t="n">
        <v>90</v>
      </c>
      <c r="Q572" s="10">
        <f>L572+M572+N572+O572-P572</f>
        <v/>
      </c>
      <c r="R572" s="11">
        <f>T571</f>
        <v/>
      </c>
      <c r="S572" s="11">
        <f>N(V572) + N(X572) + N(Z572)</f>
        <v/>
      </c>
      <c r="T572" s="11">
        <f>R572+P572-S572</f>
        <v/>
      </c>
      <c r="U572" s="11" t="inlineStr">
        <is>
          <t>是</t>
        </is>
      </c>
      <c r="V572" s="11" t="n">
        <v>46</v>
      </c>
      <c r="W572" s="11" t="inlineStr">
        <is>
          <t>是</t>
        </is>
      </c>
      <c r="X572" s="11" t="n">
        <v>51</v>
      </c>
      <c r="Y572" s="11" t="inlineStr">
        <is>
          <t>-</t>
        </is>
      </c>
      <c r="Z572" s="11" t="n">
        <v>0</v>
      </c>
      <c r="AA572" s="11" t="inlineStr">
        <is>
          <t>无</t>
        </is>
      </c>
      <c r="AB572" s="12">
        <f>AE571</f>
        <v/>
      </c>
      <c r="AC572" s="12" t="n">
        <v>4</v>
      </c>
      <c r="AD572" s="12" t="n">
        <v>0</v>
      </c>
      <c r="AE572" s="12">
        <f>AB572+AC572+AD572</f>
        <v/>
      </c>
      <c r="AF572" s="13">
        <f>AI571</f>
        <v/>
      </c>
      <c r="AG572" s="13" t="n">
        <v>0</v>
      </c>
      <c r="AH572" s="13" t="n">
        <v>0</v>
      </c>
      <c r="AI572" s="13">
        <f>AF572+AG572+AH572</f>
        <v/>
      </c>
      <c r="AJ572" s="14" t="n">
        <v>0</v>
      </c>
      <c r="AK572" s="14" t="n">
        <v>50</v>
      </c>
      <c r="AL572" s="14" t="n">
        <v>0</v>
      </c>
      <c r="AM572" s="14">
        <f>AJ572+AK572+AL572</f>
        <v/>
      </c>
      <c r="AN572" s="14">
        <f>AN571+AM572</f>
        <v/>
      </c>
    </row>
    <row r="573">
      <c r="A573" s="8" t="n">
        <v>22</v>
      </c>
      <c r="B573" s="8" t="n">
        <v>13</v>
      </c>
      <c r="C573" s="8" t="n">
        <v>2</v>
      </c>
      <c r="D573" s="8" t="inlineStr">
        <is>
          <t>月卡收益 [月卡续费-30元]</t>
        </is>
      </c>
      <c r="E573" s="9">
        <f>K572</f>
        <v/>
      </c>
      <c r="F573" s="9" t="n">
        <v>1540</v>
      </c>
      <c r="G573" s="9" t="n">
        <v>0</v>
      </c>
      <c r="H573" s="9" t="n">
        <v>0</v>
      </c>
      <c r="I573" s="9" t="n">
        <v>0</v>
      </c>
      <c r="J573" s="9" t="n">
        <v>7680</v>
      </c>
      <c r="K573" s="9">
        <f>E573+F573+G573+H573+I573-J573</f>
        <v/>
      </c>
      <c r="L573" s="10">
        <f>Q572</f>
        <v/>
      </c>
      <c r="M573" s="10" t="n">
        <v>0</v>
      </c>
      <c r="N573" s="10" t="n">
        <v>6</v>
      </c>
      <c r="O573" s="10">
        <f>J573/160</f>
        <v/>
      </c>
      <c r="P573" s="10" t="n">
        <v>60</v>
      </c>
      <c r="Q573" s="10">
        <f>L573+M573+N573+O573-P573</f>
        <v/>
      </c>
      <c r="R573" s="11">
        <f>T572</f>
        <v/>
      </c>
      <c r="S573" s="11">
        <f>N(V573) + N(X573) + N(Z573)</f>
        <v/>
      </c>
      <c r="T573" s="11">
        <f>R573+P573-S573</f>
        <v/>
      </c>
      <c r="U573" s="11" t="inlineStr">
        <is>
          <t>是</t>
        </is>
      </c>
      <c r="V573" s="11" t="n">
        <v>47</v>
      </c>
      <c r="W573" s="11" t="inlineStr">
        <is>
          <t>否</t>
        </is>
      </c>
      <c r="X573" s="11" t="inlineStr">
        <is>
          <t>-</t>
        </is>
      </c>
      <c r="Y573" s="11" t="inlineStr">
        <is>
          <t>-</t>
        </is>
      </c>
      <c r="Z573" s="11" t="n">
        <v>0</v>
      </c>
      <c r="AA573" s="11" t="inlineStr">
        <is>
          <t>垫到60抽</t>
        </is>
      </c>
      <c r="AB573" s="12">
        <f>AE572</f>
        <v/>
      </c>
      <c r="AC573" s="12" t="n">
        <v>0</v>
      </c>
      <c r="AD573" s="12" t="n">
        <v>0</v>
      </c>
      <c r="AE573" s="12">
        <f>AB573+AC573+AD573</f>
        <v/>
      </c>
      <c r="AF573" s="13">
        <f>AI572</f>
        <v/>
      </c>
      <c r="AG573" s="13" t="n">
        <v>0</v>
      </c>
      <c r="AH573" s="13" t="n">
        <v>0</v>
      </c>
      <c r="AI573" s="13">
        <f>AF573+AG573+AH573</f>
        <v/>
      </c>
      <c r="AJ573" s="14" t="n">
        <v>30</v>
      </c>
      <c r="AK573" s="14" t="n">
        <v>0</v>
      </c>
      <c r="AL573" s="14" t="n">
        <v>0</v>
      </c>
      <c r="AM573" s="14">
        <f>AJ573+AK573+AL573</f>
        <v/>
      </c>
      <c r="AN573" s="14">
        <f>AN572+AM573</f>
        <v/>
      </c>
    </row>
    <row r="574">
      <c r="A574" s="8" t="n">
        <v>23</v>
      </c>
      <c r="B574" s="8" t="n">
        <v>1</v>
      </c>
      <c r="C574" s="8" t="n">
        <v>1</v>
      </c>
      <c r="D574" s="8" t="inlineStr">
        <is>
          <t>版本免费+义相逢 + 月卡收益</t>
        </is>
      </c>
      <c r="E574" s="9" t="n">
        <v>8240</v>
      </c>
      <c r="F574" s="9" t="n">
        <v>1540</v>
      </c>
      <c r="G574" s="9" t="n">
        <v>4800</v>
      </c>
      <c r="H574" s="9" t="n">
        <v>0</v>
      </c>
      <c r="I574" s="9" t="n">
        <v>0</v>
      </c>
      <c r="J574" s="9" t="n">
        <v>0</v>
      </c>
      <c r="K574" s="9">
        <f>E574+F574+G574+H574+I574-J574</f>
        <v/>
      </c>
      <c r="L574" s="10" t="n">
        <v>3</v>
      </c>
      <c r="M574" s="10" t="n">
        <v>85</v>
      </c>
      <c r="N574" s="10" t="n">
        <v>11</v>
      </c>
      <c r="O574" s="10">
        <f>J574/160</f>
        <v/>
      </c>
      <c r="P574" s="10" t="n">
        <v>90</v>
      </c>
      <c r="Q574" s="10">
        <f>L574+M574+N574+O574-P574</f>
        <v/>
      </c>
      <c r="R574" s="11" t="n">
        <v>19</v>
      </c>
      <c r="S574" s="11">
        <f>N(V574) + N(X574) + N(Z574)</f>
        <v/>
      </c>
      <c r="T574" s="11">
        <f>R574+P574-S574</f>
        <v/>
      </c>
      <c r="U574" s="11" t="inlineStr">
        <is>
          <t>是</t>
        </is>
      </c>
      <c r="V574" s="11" t="n">
        <v>49</v>
      </c>
      <c r="W574" s="11" t="inlineStr">
        <is>
          <t>是</t>
        </is>
      </c>
      <c r="X574" s="11" t="n">
        <v>48</v>
      </c>
      <c r="Y574" s="11" t="inlineStr">
        <is>
          <t>-</t>
        </is>
      </c>
      <c r="Z574" s="11" t="n">
        <v>0</v>
      </c>
      <c r="AA574" s="11" t="inlineStr">
        <is>
          <t>垫到90抽</t>
        </is>
      </c>
      <c r="AB574" s="12" t="n">
        <v>1180</v>
      </c>
      <c r="AC574" s="12" t="n">
        <v>4</v>
      </c>
      <c r="AD574" s="12" t="n">
        <v>0</v>
      </c>
      <c r="AE574" s="12">
        <f>AB574+AC574+AD574</f>
        <v/>
      </c>
      <c r="AF574" s="13" t="n">
        <v>180000</v>
      </c>
      <c r="AG574" s="13" t="n">
        <v>0</v>
      </c>
      <c r="AH574" s="13" t="n">
        <v>0</v>
      </c>
      <c r="AI574" s="13">
        <f>AF574+AG574+AH574</f>
        <v/>
      </c>
      <c r="AJ574" s="14" t="n">
        <v>0</v>
      </c>
      <c r="AK574" s="14" t="n">
        <v>50</v>
      </c>
      <c r="AL574" s="14" t="n">
        <v>0</v>
      </c>
      <c r="AM574" s="14">
        <f>AJ574+AK574+AL574</f>
        <v/>
      </c>
      <c r="AN574" s="14">
        <f>AM574</f>
        <v/>
      </c>
    </row>
    <row r="575">
      <c r="A575" s="8" t="n">
        <v>23</v>
      </c>
      <c r="B575" s="8" t="n">
        <v>1</v>
      </c>
      <c r="C575" s="8" t="n">
        <v>2</v>
      </c>
      <c r="D575" s="8" t="inlineStr">
        <is>
          <t>月卡收益 [月卡续费-30元]</t>
        </is>
      </c>
      <c r="E575" s="9">
        <f>K574</f>
        <v/>
      </c>
      <c r="F575" s="9" t="n">
        <v>1540</v>
      </c>
      <c r="G575" s="9" t="n">
        <v>0</v>
      </c>
      <c r="H575" s="9" t="n">
        <v>0</v>
      </c>
      <c r="I575" s="9" t="n">
        <v>0</v>
      </c>
      <c r="J575" s="9" t="n">
        <v>4480</v>
      </c>
      <c r="K575" s="9">
        <f>E575+F575+G575+H575+I575-J575</f>
        <v/>
      </c>
      <c r="L575" s="10">
        <f>Q574</f>
        <v/>
      </c>
      <c r="M575" s="10" t="n">
        <v>0</v>
      </c>
      <c r="N575" s="10" t="n">
        <v>3</v>
      </c>
      <c r="O575" s="10">
        <f>J575/160</f>
        <v/>
      </c>
      <c r="P575" s="10" t="n">
        <v>40</v>
      </c>
      <c r="Q575" s="10">
        <f>L575+M575+N575+O575-P575</f>
        <v/>
      </c>
      <c r="R575" s="11">
        <f>T574</f>
        <v/>
      </c>
      <c r="S575" s="11">
        <f>N(V575) + N(X575) + N(Z575)</f>
        <v/>
      </c>
      <c r="T575" s="11">
        <f>R575+P575-S575</f>
        <v/>
      </c>
      <c r="U575" s="11" t="inlineStr">
        <is>
          <t>是</t>
        </is>
      </c>
      <c r="V575" s="11" t="n">
        <v>50</v>
      </c>
      <c r="W575" s="11" t="inlineStr">
        <is>
          <t>否</t>
        </is>
      </c>
      <c r="X575" s="11" t="inlineStr">
        <is>
          <t>-</t>
        </is>
      </c>
      <c r="Y575" s="11" t="inlineStr">
        <is>
          <t>-</t>
        </is>
      </c>
      <c r="Z575" s="11" t="n">
        <v>0</v>
      </c>
      <c r="AA575" s="11" t="inlineStr">
        <is>
          <t>无</t>
        </is>
      </c>
      <c r="AB575" s="12">
        <f>AE574</f>
        <v/>
      </c>
      <c r="AC575" s="12" t="n">
        <v>0</v>
      </c>
      <c r="AD575" s="12" t="n">
        <v>0</v>
      </c>
      <c r="AE575" s="12">
        <f>AB575+AC575+AD575</f>
        <v/>
      </c>
      <c r="AF575" s="13">
        <f>AI574</f>
        <v/>
      </c>
      <c r="AG575" s="13" t="n">
        <v>0</v>
      </c>
      <c r="AH575" s="13" t="n">
        <v>0</v>
      </c>
      <c r="AI575" s="13">
        <f>AF575+AG575+AH575</f>
        <v/>
      </c>
      <c r="AJ575" s="14" t="n">
        <v>30</v>
      </c>
      <c r="AK575" s="14" t="n">
        <v>0</v>
      </c>
      <c r="AL575" s="14" t="n">
        <v>0</v>
      </c>
      <c r="AM575" s="14">
        <f>AJ575+AK575+AL575</f>
        <v/>
      </c>
      <c r="AN575" s="14">
        <f>AN574+AM575</f>
        <v/>
      </c>
    </row>
    <row r="576">
      <c r="A576" s="8" t="n">
        <v>23</v>
      </c>
      <c r="B576" s="8" t="n">
        <v>2</v>
      </c>
      <c r="C576" s="8" t="n">
        <v>1</v>
      </c>
      <c r="D576" s="8" t="inlineStr">
        <is>
          <t>版本免费+义相逢 + 月卡收益</t>
        </is>
      </c>
      <c r="E576" s="9">
        <f>K575</f>
        <v/>
      </c>
      <c r="F576" s="9" t="n">
        <v>1540</v>
      </c>
      <c r="G576" s="9" t="n">
        <v>4800</v>
      </c>
      <c r="H576" s="9" t="n">
        <v>0</v>
      </c>
      <c r="I576" s="9" t="n">
        <v>0</v>
      </c>
      <c r="J576" s="9" t="n">
        <v>640</v>
      </c>
      <c r="K576" s="9">
        <f>E576+F576+G576+H576+I576-J576</f>
        <v/>
      </c>
      <c r="L576" s="10">
        <f>Q575</f>
        <v/>
      </c>
      <c r="M576" s="10" t="n">
        <v>85</v>
      </c>
      <c r="N576" s="10" t="n">
        <v>11</v>
      </c>
      <c r="O576" s="10">
        <f>J576/160</f>
        <v/>
      </c>
      <c r="P576" s="10" t="n">
        <v>100</v>
      </c>
      <c r="Q576" s="10">
        <f>L576+M576+N576+O576-P576</f>
        <v/>
      </c>
      <c r="R576" s="11">
        <f>T575</f>
        <v/>
      </c>
      <c r="S576" s="11">
        <f>N(V576) + N(X576) + N(Z576)</f>
        <v/>
      </c>
      <c r="T576" s="11">
        <f>R576+P576-S576</f>
        <v/>
      </c>
      <c r="U576" s="11" t="inlineStr">
        <is>
          <t>是</t>
        </is>
      </c>
      <c r="V576" s="11" t="n">
        <v>48</v>
      </c>
      <c r="W576" s="11" t="inlineStr">
        <is>
          <t>是</t>
        </is>
      </c>
      <c r="X576" s="11" t="n">
        <v>48</v>
      </c>
      <c r="Y576" s="11" t="inlineStr">
        <is>
          <t>-</t>
        </is>
      </c>
      <c r="Z576" s="11" t="n">
        <v>0</v>
      </c>
      <c r="AA576" s="11" t="inlineStr">
        <is>
          <t>无</t>
        </is>
      </c>
      <c r="AB576" s="12">
        <f>AE575</f>
        <v/>
      </c>
      <c r="AC576" s="12" t="n">
        <v>4</v>
      </c>
      <c r="AD576" s="12" t="n">
        <v>0</v>
      </c>
      <c r="AE576" s="12">
        <f>AB576+AC576+AD576</f>
        <v/>
      </c>
      <c r="AF576" s="13">
        <f>AI575</f>
        <v/>
      </c>
      <c r="AG576" s="13" t="n">
        <v>0</v>
      </c>
      <c r="AH576" s="13" t="n">
        <v>0</v>
      </c>
      <c r="AI576" s="13">
        <f>AF576+AG576+AH576</f>
        <v/>
      </c>
      <c r="AJ576" s="14" t="n">
        <v>0</v>
      </c>
      <c r="AK576" s="14" t="n">
        <v>50</v>
      </c>
      <c r="AL576" s="14" t="n">
        <v>0</v>
      </c>
      <c r="AM576" s="14">
        <f>AJ576+AK576+AL576</f>
        <v/>
      </c>
      <c r="AN576" s="14">
        <f>AN575+AM576</f>
        <v/>
      </c>
    </row>
    <row r="577">
      <c r="A577" s="8" t="n">
        <v>23</v>
      </c>
      <c r="B577" s="8" t="n">
        <v>2</v>
      </c>
      <c r="C577" s="8" t="n">
        <v>2</v>
      </c>
      <c r="D577" s="8" t="inlineStr">
        <is>
          <t>月卡收益 [月卡续费-30元]</t>
        </is>
      </c>
      <c r="E577" s="9">
        <f>K576</f>
        <v/>
      </c>
      <c r="F577" s="9" t="n">
        <v>1540</v>
      </c>
      <c r="G577" s="9" t="n">
        <v>0</v>
      </c>
      <c r="H577" s="9" t="n">
        <v>0</v>
      </c>
      <c r="I577" s="9" t="n">
        <v>0</v>
      </c>
      <c r="J577" s="9" t="n">
        <v>9120</v>
      </c>
      <c r="K577" s="9">
        <f>E577+F577+G577+H577+I577-J577</f>
        <v/>
      </c>
      <c r="L577" s="10">
        <f>Q576</f>
        <v/>
      </c>
      <c r="M577" s="10" t="n">
        <v>0</v>
      </c>
      <c r="N577" s="10" t="n">
        <v>6</v>
      </c>
      <c r="O577" s="10">
        <f>J577/160</f>
        <v/>
      </c>
      <c r="P577" s="10" t="n">
        <v>60</v>
      </c>
      <c r="Q577" s="10">
        <f>L577+M577+N577+O577-P577</f>
        <v/>
      </c>
      <c r="R577" s="11">
        <f>T576</f>
        <v/>
      </c>
      <c r="S577" s="11">
        <f>N(V577) + N(X577) + N(Z577)</f>
        <v/>
      </c>
      <c r="T577" s="11">
        <f>R577+P577-S577</f>
        <v/>
      </c>
      <c r="U577" s="11" t="inlineStr">
        <is>
          <t>是</t>
        </is>
      </c>
      <c r="V577" s="11" t="n">
        <v>49</v>
      </c>
      <c r="W577" s="11" t="inlineStr">
        <is>
          <t>否</t>
        </is>
      </c>
      <c r="X577" s="11" t="inlineStr">
        <is>
          <t>-</t>
        </is>
      </c>
      <c r="Y577" s="11" t="inlineStr">
        <is>
          <t>-</t>
        </is>
      </c>
      <c r="Z577" s="11" t="n">
        <v>0</v>
      </c>
      <c r="AA577" s="11" t="inlineStr">
        <is>
          <t>垫到60抽</t>
        </is>
      </c>
      <c r="AB577" s="12">
        <f>AE576</f>
        <v/>
      </c>
      <c r="AC577" s="12" t="n">
        <v>0</v>
      </c>
      <c r="AD577" s="12" t="n">
        <v>0</v>
      </c>
      <c r="AE577" s="12">
        <f>AB577+AC577+AD577</f>
        <v/>
      </c>
      <c r="AF577" s="13">
        <f>AI576</f>
        <v/>
      </c>
      <c r="AG577" s="13" t="n">
        <v>0</v>
      </c>
      <c r="AH577" s="13" t="n">
        <v>0</v>
      </c>
      <c r="AI577" s="13">
        <f>AF577+AG577+AH577</f>
        <v/>
      </c>
      <c r="AJ577" s="14" t="n">
        <v>30</v>
      </c>
      <c r="AK577" s="14" t="n">
        <v>0</v>
      </c>
      <c r="AL577" s="14" t="n">
        <v>0</v>
      </c>
      <c r="AM577" s="14">
        <f>AJ577+AK577+AL577</f>
        <v/>
      </c>
      <c r="AN577" s="14">
        <f>AN576+AM577</f>
        <v/>
      </c>
    </row>
    <row r="578">
      <c r="A578" s="8" t="n">
        <v>23</v>
      </c>
      <c r="B578" s="8" t="n">
        <v>3</v>
      </c>
      <c r="C578" s="8" t="n">
        <v>1</v>
      </c>
      <c r="D578" s="8" t="inlineStr">
        <is>
          <t>版本免费+义相逢 + 月卡收益</t>
        </is>
      </c>
      <c r="E578" s="9">
        <f>K577</f>
        <v/>
      </c>
      <c r="F578" s="9" t="n">
        <v>1540</v>
      </c>
      <c r="G578" s="9" t="n">
        <v>4800</v>
      </c>
      <c r="H578" s="9" t="n">
        <v>0</v>
      </c>
      <c r="I578" s="9" t="n">
        <v>0</v>
      </c>
      <c r="J578" s="9" t="n">
        <v>0</v>
      </c>
      <c r="K578" s="9">
        <f>E578+F578+G578+H578+I578-J578</f>
        <v/>
      </c>
      <c r="L578" s="10">
        <f>Q577</f>
        <v/>
      </c>
      <c r="M578" s="10" t="n">
        <v>85</v>
      </c>
      <c r="N578" s="10" t="n">
        <v>11</v>
      </c>
      <c r="O578" s="10">
        <f>J578/160</f>
        <v/>
      </c>
      <c r="P578" s="10" t="n">
        <v>90</v>
      </c>
      <c r="Q578" s="10">
        <f>L578+M578+N578+O578-P578</f>
        <v/>
      </c>
      <c r="R578" s="11">
        <f>T577</f>
        <v/>
      </c>
      <c r="S578" s="11">
        <f>N(V578) + N(X578) + N(Z578)</f>
        <v/>
      </c>
      <c r="T578" s="11">
        <f>R578+P578-S578</f>
        <v/>
      </c>
      <c r="U578" s="11" t="inlineStr">
        <is>
          <t>是</t>
        </is>
      </c>
      <c r="V578" s="11" t="n">
        <v>50</v>
      </c>
      <c r="W578" s="11" t="inlineStr">
        <is>
          <t>是</t>
        </is>
      </c>
      <c r="X578" s="11" t="n">
        <v>54</v>
      </c>
      <c r="Y578" s="11" t="inlineStr">
        <is>
          <t>-</t>
        </is>
      </c>
      <c r="Z578" s="11" t="n">
        <v>0</v>
      </c>
      <c r="AA578" s="11" t="inlineStr">
        <is>
          <t>无</t>
        </is>
      </c>
      <c r="AB578" s="12">
        <f>AE577</f>
        <v/>
      </c>
      <c r="AC578" s="12" t="n">
        <v>4</v>
      </c>
      <c r="AD578" s="12" t="n">
        <v>0</v>
      </c>
      <c r="AE578" s="12">
        <f>AB578+AC578+AD578</f>
        <v/>
      </c>
      <c r="AF578" s="13">
        <f>AI577</f>
        <v/>
      </c>
      <c r="AG578" s="13" t="n">
        <v>0</v>
      </c>
      <c r="AH578" s="13" t="n">
        <v>0</v>
      </c>
      <c r="AI578" s="13">
        <f>AF578+AG578+AH578</f>
        <v/>
      </c>
      <c r="AJ578" s="14" t="n">
        <v>0</v>
      </c>
      <c r="AK578" s="14" t="n">
        <v>50</v>
      </c>
      <c r="AL578" s="14" t="n">
        <v>0</v>
      </c>
      <c r="AM578" s="14">
        <f>AJ578+AK578+AL578</f>
        <v/>
      </c>
      <c r="AN578" s="14">
        <f>AN577+AM578</f>
        <v/>
      </c>
    </row>
    <row r="579">
      <c r="A579" s="8" t="n">
        <v>23</v>
      </c>
      <c r="B579" s="8" t="n">
        <v>3</v>
      </c>
      <c r="C579" s="8" t="n">
        <v>2</v>
      </c>
      <c r="D579" s="8" t="inlineStr">
        <is>
          <t>月卡收益 [月卡续费-30元]</t>
        </is>
      </c>
      <c r="E579" s="9">
        <f>K578</f>
        <v/>
      </c>
      <c r="F579" s="9" t="n">
        <v>1540</v>
      </c>
      <c r="G579" s="9" t="n">
        <v>0</v>
      </c>
      <c r="H579" s="9" t="n">
        <v>0</v>
      </c>
      <c r="I579" s="9" t="n">
        <v>0</v>
      </c>
      <c r="J579" s="9" t="n">
        <v>7680</v>
      </c>
      <c r="K579" s="9">
        <f>E579+F579+G579+H579+I579-J579</f>
        <v/>
      </c>
      <c r="L579" s="10">
        <f>Q578</f>
        <v/>
      </c>
      <c r="M579" s="10" t="n">
        <v>0</v>
      </c>
      <c r="N579" s="10" t="n">
        <v>6</v>
      </c>
      <c r="O579" s="10">
        <f>J579/160</f>
        <v/>
      </c>
      <c r="P579" s="10" t="n">
        <v>60</v>
      </c>
      <c r="Q579" s="10">
        <f>L579+M579+N579+O579-P579</f>
        <v/>
      </c>
      <c r="R579" s="11">
        <f>T578</f>
        <v/>
      </c>
      <c r="S579" s="11">
        <f>N(V579) + N(X579) + N(Z579)</f>
        <v/>
      </c>
      <c r="T579" s="11">
        <f>R579+P579-S579</f>
        <v/>
      </c>
      <c r="U579" s="11" t="inlineStr">
        <is>
          <t>是</t>
        </is>
      </c>
      <c r="V579" s="11" t="n">
        <v>52</v>
      </c>
      <c r="W579" s="11" t="inlineStr">
        <is>
          <t>否</t>
        </is>
      </c>
      <c r="X579" s="11" t="inlineStr">
        <is>
          <t>-</t>
        </is>
      </c>
      <c r="Y579" s="11" t="inlineStr">
        <is>
          <t>-</t>
        </is>
      </c>
      <c r="Z579" s="11" t="n">
        <v>0</v>
      </c>
      <c r="AA579" s="11" t="inlineStr">
        <is>
          <t>垫到60抽</t>
        </is>
      </c>
      <c r="AB579" s="12">
        <f>AE578</f>
        <v/>
      </c>
      <c r="AC579" s="12" t="n">
        <v>0</v>
      </c>
      <c r="AD579" s="12" t="n">
        <v>0</v>
      </c>
      <c r="AE579" s="12">
        <f>AB579+AC579+AD579</f>
        <v/>
      </c>
      <c r="AF579" s="13">
        <f>AI578</f>
        <v/>
      </c>
      <c r="AG579" s="13" t="n">
        <v>0</v>
      </c>
      <c r="AH579" s="13" t="n">
        <v>0</v>
      </c>
      <c r="AI579" s="13">
        <f>AF579+AG579+AH579</f>
        <v/>
      </c>
      <c r="AJ579" s="14" t="n">
        <v>30</v>
      </c>
      <c r="AK579" s="14" t="n">
        <v>0</v>
      </c>
      <c r="AL579" s="14" t="n">
        <v>0</v>
      </c>
      <c r="AM579" s="14">
        <f>AJ579+AK579+AL579</f>
        <v/>
      </c>
      <c r="AN579" s="14">
        <f>AN578+AM579</f>
        <v/>
      </c>
    </row>
    <row r="580">
      <c r="A580" s="8" t="n">
        <v>23</v>
      </c>
      <c r="B580" s="8" t="n">
        <v>4</v>
      </c>
      <c r="C580" s="8" t="n">
        <v>1</v>
      </c>
      <c r="D580" s="8" t="inlineStr">
        <is>
          <t>版本免费+义相逢 + 月卡收益</t>
        </is>
      </c>
      <c r="E580" s="9">
        <f>K579</f>
        <v/>
      </c>
      <c r="F580" s="9" t="n">
        <v>1540</v>
      </c>
      <c r="G580" s="9" t="n">
        <v>4800</v>
      </c>
      <c r="H580" s="9" t="n">
        <v>0</v>
      </c>
      <c r="I580" s="9" t="n">
        <v>0</v>
      </c>
      <c r="J580" s="9" t="n">
        <v>0</v>
      </c>
      <c r="K580" s="9">
        <f>E580+F580+G580+H580+I580-J580</f>
        <v/>
      </c>
      <c r="L580" s="10">
        <f>Q579</f>
        <v/>
      </c>
      <c r="M580" s="10" t="n">
        <v>85</v>
      </c>
      <c r="N580" s="10" t="n">
        <v>3</v>
      </c>
      <c r="O580" s="10">
        <f>J580/160</f>
        <v/>
      </c>
      <c r="P580" s="10" t="n">
        <v>40</v>
      </c>
      <c r="Q580" s="10">
        <f>L580+M580+N580+O580-P580</f>
        <v/>
      </c>
      <c r="R580" s="11">
        <f>T579</f>
        <v/>
      </c>
      <c r="S580" s="11">
        <f>N(V580) + N(X580) + N(Z580)</f>
        <v/>
      </c>
      <c r="T580" s="11">
        <f>R580+P580-S580</f>
        <v/>
      </c>
      <c r="U580" s="11" t="inlineStr">
        <is>
          <t>是</t>
        </is>
      </c>
      <c r="V580" s="11" t="n">
        <v>49</v>
      </c>
      <c r="W580" s="11" t="inlineStr">
        <is>
          <t>否</t>
        </is>
      </c>
      <c r="X580" s="11" t="inlineStr">
        <is>
          <t>-</t>
        </is>
      </c>
      <c r="Y580" s="11" t="inlineStr">
        <is>
          <t>-</t>
        </is>
      </c>
      <c r="Z580" s="11" t="n">
        <v>0</v>
      </c>
      <c r="AA580" s="11" t="inlineStr">
        <is>
          <t>无</t>
        </is>
      </c>
      <c r="AB580" s="12">
        <f>AE579</f>
        <v/>
      </c>
      <c r="AC580" s="12" t="n">
        <v>4</v>
      </c>
      <c r="AD580" s="12" t="n">
        <v>0</v>
      </c>
      <c r="AE580" s="12">
        <f>AB580+AC580+AD580</f>
        <v/>
      </c>
      <c r="AF580" s="13">
        <f>AI579</f>
        <v/>
      </c>
      <c r="AG580" s="13" t="n">
        <v>0</v>
      </c>
      <c r="AH580" s="13" t="n">
        <v>0</v>
      </c>
      <c r="AI580" s="13">
        <f>AF580+AG580+AH580</f>
        <v/>
      </c>
      <c r="AJ580" s="14" t="n">
        <v>0</v>
      </c>
      <c r="AK580" s="14" t="n">
        <v>50</v>
      </c>
      <c r="AL580" s="14" t="n">
        <v>0</v>
      </c>
      <c r="AM580" s="14">
        <f>AJ580+AK580+AL580</f>
        <v/>
      </c>
      <c r="AN580" s="14">
        <f>AN579+AM580</f>
        <v/>
      </c>
    </row>
    <row r="581">
      <c r="A581" s="8" t="n">
        <v>23</v>
      </c>
      <c r="B581" s="8" t="n">
        <v>4</v>
      </c>
      <c r="C581" s="8" t="n">
        <v>2</v>
      </c>
      <c r="D581" s="8" t="inlineStr">
        <is>
          <t>月卡收益 [月卡续费-30元]</t>
        </is>
      </c>
      <c r="E581" s="9">
        <f>K580</f>
        <v/>
      </c>
      <c r="F581" s="9" t="n">
        <v>1540</v>
      </c>
      <c r="G581" s="9" t="n">
        <v>0</v>
      </c>
      <c r="H581" s="9" t="n">
        <v>0</v>
      </c>
      <c r="I581" s="9" t="n">
        <v>0</v>
      </c>
      <c r="J581" s="9" t="n">
        <v>6080</v>
      </c>
      <c r="K581" s="9">
        <f>E581+F581+G581+H581+I581-J581</f>
        <v/>
      </c>
      <c r="L581" s="10">
        <f>Q580</f>
        <v/>
      </c>
      <c r="M581" s="10" t="n">
        <v>0</v>
      </c>
      <c r="N581" s="10" t="n">
        <v>11</v>
      </c>
      <c r="O581" s="10">
        <f>J581/160</f>
        <v/>
      </c>
      <c r="P581" s="10" t="n">
        <v>100</v>
      </c>
      <c r="Q581" s="10">
        <f>L581+M581+N581+O581-P581</f>
        <v/>
      </c>
      <c r="R581" s="11">
        <f>T580</f>
        <v/>
      </c>
      <c r="S581" s="11">
        <f>N(V581) + N(X581) + N(Z581)</f>
        <v/>
      </c>
      <c r="T581" s="11">
        <f>R581+P581-S581</f>
        <v/>
      </c>
      <c r="U581" s="11" t="inlineStr">
        <is>
          <t>是</t>
        </is>
      </c>
      <c r="V581" s="11" t="n">
        <v>48</v>
      </c>
      <c r="W581" s="11" t="inlineStr">
        <is>
          <t>是</t>
        </is>
      </c>
      <c r="X581" s="11" t="n">
        <v>47</v>
      </c>
      <c r="Y581" s="11" t="inlineStr">
        <is>
          <t>-</t>
        </is>
      </c>
      <c r="Z581" s="11" t="n">
        <v>0</v>
      </c>
      <c r="AA581" s="11" t="inlineStr">
        <is>
          <t>无</t>
        </is>
      </c>
      <c r="AB581" s="12">
        <f>AE580</f>
        <v/>
      </c>
      <c r="AC581" s="12" t="n">
        <v>0</v>
      </c>
      <c r="AD581" s="12" t="n">
        <v>0</v>
      </c>
      <c r="AE581" s="12">
        <f>AB581+AC581+AD581</f>
        <v/>
      </c>
      <c r="AF581" s="13">
        <f>AI580</f>
        <v/>
      </c>
      <c r="AG581" s="13" t="n">
        <v>0</v>
      </c>
      <c r="AH581" s="13" t="n">
        <v>0</v>
      </c>
      <c r="AI581" s="13">
        <f>AF581+AG581+AH581</f>
        <v/>
      </c>
      <c r="AJ581" s="14" t="n">
        <v>30</v>
      </c>
      <c r="AK581" s="14" t="n">
        <v>0</v>
      </c>
      <c r="AL581" s="14" t="n">
        <v>0</v>
      </c>
      <c r="AM581" s="14">
        <f>AJ581+AK581+AL581</f>
        <v/>
      </c>
      <c r="AN581" s="14">
        <f>AN580+AM581</f>
        <v/>
      </c>
    </row>
    <row r="582">
      <c r="A582" s="8" t="n">
        <v>23</v>
      </c>
      <c r="B582" s="8" t="n">
        <v>5</v>
      </c>
      <c r="C582" s="8" t="n">
        <v>1</v>
      </c>
      <c r="D582" s="8" t="inlineStr">
        <is>
          <t>版本免费+义相逢 + 月卡收益</t>
        </is>
      </c>
      <c r="E582" s="9">
        <f>K581</f>
        <v/>
      </c>
      <c r="F582" s="9" t="n">
        <v>1540</v>
      </c>
      <c r="G582" s="9" t="n">
        <v>4800</v>
      </c>
      <c r="H582" s="9" t="n">
        <v>0</v>
      </c>
      <c r="I582" s="9" t="n">
        <v>0</v>
      </c>
      <c r="J582" s="9" t="n">
        <v>0</v>
      </c>
      <c r="K582" s="9">
        <f>E582+F582+G582+H582+I582-J582</f>
        <v/>
      </c>
      <c r="L582" s="10">
        <f>Q581</f>
        <v/>
      </c>
      <c r="M582" s="10" t="n">
        <v>85</v>
      </c>
      <c r="N582" s="10" t="n">
        <v>3</v>
      </c>
      <c r="O582" s="10">
        <f>J582/160</f>
        <v/>
      </c>
      <c r="P582" s="10" t="n">
        <v>40</v>
      </c>
      <c r="Q582" s="10">
        <f>L582+M582+N582+O582-P582</f>
        <v/>
      </c>
      <c r="R582" s="11">
        <f>T581</f>
        <v/>
      </c>
      <c r="S582" s="11">
        <f>N(V582) + N(X582) + N(Z582)</f>
        <v/>
      </c>
      <c r="T582" s="11">
        <f>R582+P582-S582</f>
        <v/>
      </c>
      <c r="U582" s="11" t="inlineStr">
        <is>
          <t>是</t>
        </is>
      </c>
      <c r="V582" s="11" t="n">
        <v>47</v>
      </c>
      <c r="W582" s="11" t="inlineStr">
        <is>
          <t>否</t>
        </is>
      </c>
      <c r="X582" s="11" t="inlineStr">
        <is>
          <t>-</t>
        </is>
      </c>
      <c r="Y582" s="11" t="inlineStr">
        <is>
          <t>-</t>
        </is>
      </c>
      <c r="Z582" s="11" t="n">
        <v>0</v>
      </c>
      <c r="AA582" s="11" t="inlineStr">
        <is>
          <t>无</t>
        </is>
      </c>
      <c r="AB582" s="12">
        <f>AE581</f>
        <v/>
      </c>
      <c r="AC582" s="12" t="n">
        <v>4</v>
      </c>
      <c r="AD582" s="12" t="n">
        <v>0</v>
      </c>
      <c r="AE582" s="12">
        <f>AB582+AC582+AD582</f>
        <v/>
      </c>
      <c r="AF582" s="13">
        <f>AI581</f>
        <v/>
      </c>
      <c r="AG582" s="13" t="n">
        <v>0</v>
      </c>
      <c r="AH582" s="13" t="n">
        <v>0</v>
      </c>
      <c r="AI582" s="13">
        <f>AF582+AG582+AH582</f>
        <v/>
      </c>
      <c r="AJ582" s="14" t="n">
        <v>0</v>
      </c>
      <c r="AK582" s="14" t="n">
        <v>50</v>
      </c>
      <c r="AL582" s="14" t="n">
        <v>0</v>
      </c>
      <c r="AM582" s="14">
        <f>AJ582+AK582+AL582</f>
        <v/>
      </c>
      <c r="AN582" s="14">
        <f>AN581+AM582</f>
        <v/>
      </c>
    </row>
    <row r="583">
      <c r="A583" s="8" t="n">
        <v>23</v>
      </c>
      <c r="B583" s="8" t="n">
        <v>5</v>
      </c>
      <c r="C583" s="8" t="n">
        <v>2</v>
      </c>
      <c r="D583" s="8" t="inlineStr">
        <is>
          <t>月卡收益 [月卡续费-30元]</t>
        </is>
      </c>
      <c r="E583" s="9">
        <f>K582</f>
        <v/>
      </c>
      <c r="F583" s="9" t="n">
        <v>1540</v>
      </c>
      <c r="G583" s="9" t="n">
        <v>0</v>
      </c>
      <c r="H583" s="9" t="n">
        <v>0</v>
      </c>
      <c r="I583" s="9" t="n">
        <v>0</v>
      </c>
      <c r="J583" s="9" t="n">
        <v>1440</v>
      </c>
      <c r="K583" s="9">
        <f>E583+F583+G583+H583+I583-J583</f>
        <v/>
      </c>
      <c r="L583" s="10">
        <f>Q582</f>
        <v/>
      </c>
      <c r="M583" s="10" t="n">
        <v>0</v>
      </c>
      <c r="N583" s="10" t="n">
        <v>6</v>
      </c>
      <c r="O583" s="10">
        <f>J583/160</f>
        <v/>
      </c>
      <c r="P583" s="10" t="n">
        <v>60</v>
      </c>
      <c r="Q583" s="10">
        <f>L583+M583+N583+O583-P583</f>
        <v/>
      </c>
      <c r="R583" s="11">
        <f>T582</f>
        <v/>
      </c>
      <c r="S583" s="11">
        <f>N(V583) + N(X583) + N(Z583)</f>
        <v/>
      </c>
      <c r="T583" s="11">
        <f>R583+P583-S583</f>
        <v/>
      </c>
      <c r="U583" s="11" t="inlineStr">
        <is>
          <t>是</t>
        </is>
      </c>
      <c r="V583" s="11" t="n">
        <v>48</v>
      </c>
      <c r="W583" s="11" t="inlineStr">
        <is>
          <t>是</t>
        </is>
      </c>
      <c r="X583" s="11" t="n">
        <v>9</v>
      </c>
      <c r="Y583" s="11" t="inlineStr">
        <is>
          <t>-</t>
        </is>
      </c>
      <c r="Z583" s="11" t="n">
        <v>0</v>
      </c>
      <c r="AA583" s="11" t="inlineStr">
        <is>
          <t>无</t>
        </is>
      </c>
      <c r="AB583" s="12">
        <f>AE582</f>
        <v/>
      </c>
      <c r="AC583" s="12" t="n">
        <v>0</v>
      </c>
      <c r="AD583" s="12" t="n">
        <v>0</v>
      </c>
      <c r="AE583" s="12">
        <f>AB583+AC583+AD583</f>
        <v/>
      </c>
      <c r="AF583" s="13">
        <f>AI582</f>
        <v/>
      </c>
      <c r="AG583" s="13" t="n">
        <v>0</v>
      </c>
      <c r="AH583" s="13" t="n">
        <v>0</v>
      </c>
      <c r="AI583" s="13">
        <f>AF583+AG583+AH583</f>
        <v/>
      </c>
      <c r="AJ583" s="14" t="n">
        <v>30</v>
      </c>
      <c r="AK583" s="14" t="n">
        <v>0</v>
      </c>
      <c r="AL583" s="14" t="n">
        <v>0</v>
      </c>
      <c r="AM583" s="14">
        <f>AJ583+AK583+AL583</f>
        <v/>
      </c>
      <c r="AN583" s="14">
        <f>AN582+AM583</f>
        <v/>
      </c>
    </row>
    <row r="584">
      <c r="A584" s="8" t="n">
        <v>23</v>
      </c>
      <c r="B584" s="8" t="n">
        <v>6</v>
      </c>
      <c r="C584" s="8" t="n">
        <v>1</v>
      </c>
      <c r="D584" s="8" t="inlineStr">
        <is>
          <t>版本免费+义相逢 + 月卡收益</t>
        </is>
      </c>
      <c r="E584" s="9">
        <f>K583</f>
        <v/>
      </c>
      <c r="F584" s="9" t="n">
        <v>1540</v>
      </c>
      <c r="G584" s="9" t="n">
        <v>4800</v>
      </c>
      <c r="H584" s="9" t="n">
        <v>0</v>
      </c>
      <c r="I584" s="9" t="n">
        <v>0</v>
      </c>
      <c r="J584" s="9" t="n">
        <v>160</v>
      </c>
      <c r="K584" s="9">
        <f>E584+F584+G584+H584+I584-J584</f>
        <v/>
      </c>
      <c r="L584" s="10">
        <f>Q583</f>
        <v/>
      </c>
      <c r="M584" s="10" t="n">
        <v>85</v>
      </c>
      <c r="N584" s="10" t="n">
        <v>11</v>
      </c>
      <c r="O584" s="10">
        <f>J584/160</f>
        <v/>
      </c>
      <c r="P584" s="10" t="n">
        <v>100</v>
      </c>
      <c r="Q584" s="10">
        <f>L584+M584+N584+O584-P584</f>
        <v/>
      </c>
      <c r="R584" s="11">
        <f>T583</f>
        <v/>
      </c>
      <c r="S584" s="11">
        <f>N(V584) + N(X584) + N(Z584)</f>
        <v/>
      </c>
      <c r="T584" s="11">
        <f>R584+P584-S584</f>
        <v/>
      </c>
      <c r="U584" s="11" t="inlineStr">
        <is>
          <t>是</t>
        </is>
      </c>
      <c r="V584" s="11" t="n">
        <v>48</v>
      </c>
      <c r="W584" s="11" t="inlineStr">
        <is>
          <t>是</t>
        </is>
      </c>
      <c r="X584" s="11" t="n">
        <v>51</v>
      </c>
      <c r="Y584" s="11" t="inlineStr">
        <is>
          <t>-</t>
        </is>
      </c>
      <c r="Z584" s="11" t="n">
        <v>0</v>
      </c>
      <c r="AA584" s="11" t="inlineStr">
        <is>
          <t>无</t>
        </is>
      </c>
      <c r="AB584" s="12">
        <f>AE583</f>
        <v/>
      </c>
      <c r="AC584" s="12" t="n">
        <v>4</v>
      </c>
      <c r="AD584" s="12" t="n">
        <v>0</v>
      </c>
      <c r="AE584" s="12">
        <f>AB584+AC584+AD584</f>
        <v/>
      </c>
      <c r="AF584" s="13">
        <f>AI583</f>
        <v/>
      </c>
      <c r="AG584" s="13" t="n">
        <v>0</v>
      </c>
      <c r="AH584" s="13" t="n">
        <v>0</v>
      </c>
      <c r="AI584" s="13">
        <f>AF584+AG584+AH584</f>
        <v/>
      </c>
      <c r="AJ584" s="14" t="n">
        <v>0</v>
      </c>
      <c r="AK584" s="14" t="n">
        <v>50</v>
      </c>
      <c r="AL584" s="14" t="n">
        <v>0</v>
      </c>
      <c r="AM584" s="14">
        <f>AJ584+AK584+AL584</f>
        <v/>
      </c>
      <c r="AN584" s="14">
        <f>AN583+AM584</f>
        <v/>
      </c>
    </row>
    <row r="585">
      <c r="A585" s="8" t="n">
        <v>23</v>
      </c>
      <c r="B585" s="8" t="n">
        <v>6</v>
      </c>
      <c r="C585" s="8" t="n">
        <v>2</v>
      </c>
      <c r="D585" s="8" t="inlineStr">
        <is>
          <t>月卡收益 [月卡续费-30元]</t>
        </is>
      </c>
      <c r="E585" s="9">
        <f>K584</f>
        <v/>
      </c>
      <c r="F585" s="9" t="n">
        <v>1540</v>
      </c>
      <c r="G585" s="9" t="n">
        <v>0</v>
      </c>
      <c r="H585" s="9" t="n">
        <v>0</v>
      </c>
      <c r="I585" s="9" t="n">
        <v>0</v>
      </c>
      <c r="J585" s="9" t="n">
        <v>14240</v>
      </c>
      <c r="K585" s="9">
        <f>E585+F585+G585+H585+I585-J585</f>
        <v/>
      </c>
      <c r="L585" s="10">
        <f>Q584</f>
        <v/>
      </c>
      <c r="M585" s="10" t="n">
        <v>0</v>
      </c>
      <c r="N585" s="10" t="n">
        <v>11</v>
      </c>
      <c r="O585" s="10">
        <f>J585/160</f>
        <v/>
      </c>
      <c r="P585" s="10" t="n">
        <v>100</v>
      </c>
      <c r="Q585" s="10">
        <f>L585+M585+N585+O585-P585</f>
        <v/>
      </c>
      <c r="R585" s="11">
        <f>T584</f>
        <v/>
      </c>
      <c r="S585" s="11">
        <f>N(V585) + N(X585) + N(Z585)</f>
        <v/>
      </c>
      <c r="T585" s="11">
        <f>R585+P585-S585</f>
        <v/>
      </c>
      <c r="U585" s="11" t="inlineStr">
        <is>
          <t>是</t>
        </is>
      </c>
      <c r="V585" s="11" t="n">
        <v>51</v>
      </c>
      <c r="W585" s="11" t="inlineStr">
        <is>
          <t>是</t>
        </is>
      </c>
      <c r="X585" s="11" t="n">
        <v>50</v>
      </c>
      <c r="Y585" s="11" t="inlineStr">
        <is>
          <t>-</t>
        </is>
      </c>
      <c r="Z585" s="11" t="n">
        <v>0</v>
      </c>
      <c r="AA585" s="11" t="inlineStr">
        <is>
          <t>无</t>
        </is>
      </c>
      <c r="AB585" s="12">
        <f>AE584</f>
        <v/>
      </c>
      <c r="AC585" s="12" t="n">
        <v>0</v>
      </c>
      <c r="AD585" s="12" t="n">
        <v>0</v>
      </c>
      <c r="AE585" s="12">
        <f>AB585+AC585+AD585</f>
        <v/>
      </c>
      <c r="AF585" s="13">
        <f>AI584</f>
        <v/>
      </c>
      <c r="AG585" s="13" t="n">
        <v>0</v>
      </c>
      <c r="AH585" s="13" t="n">
        <v>0</v>
      </c>
      <c r="AI585" s="13">
        <f>AF585+AG585+AH585</f>
        <v/>
      </c>
      <c r="AJ585" s="14" t="n">
        <v>30</v>
      </c>
      <c r="AK585" s="14" t="n">
        <v>0</v>
      </c>
      <c r="AL585" s="14" t="n">
        <v>0</v>
      </c>
      <c r="AM585" s="14">
        <f>AJ585+AK585+AL585</f>
        <v/>
      </c>
      <c r="AN585" s="14">
        <f>AN584+AM585</f>
        <v/>
      </c>
    </row>
    <row r="586">
      <c r="A586" s="8" t="n">
        <v>23</v>
      </c>
      <c r="B586" s="8" t="n">
        <v>7</v>
      </c>
      <c r="C586" s="8" t="n">
        <v>1</v>
      </c>
      <c r="D586" s="8" t="inlineStr">
        <is>
          <t>版本免费+义相逢 + 月卡收益</t>
        </is>
      </c>
      <c r="E586" s="9">
        <f>K585</f>
        <v/>
      </c>
      <c r="F586" s="9" t="n">
        <v>1540</v>
      </c>
      <c r="G586" s="9" t="n">
        <v>4800</v>
      </c>
      <c r="H586" s="9" t="n">
        <v>0</v>
      </c>
      <c r="I586" s="9" t="n">
        <v>0</v>
      </c>
      <c r="J586" s="9" t="n">
        <v>0</v>
      </c>
      <c r="K586" s="9">
        <f>E586+F586+G586+H586+I586-J586</f>
        <v/>
      </c>
      <c r="L586" s="10">
        <f>Q585</f>
        <v/>
      </c>
      <c r="M586" s="10" t="n">
        <v>85</v>
      </c>
      <c r="N586" s="10" t="n">
        <v>3</v>
      </c>
      <c r="O586" s="10">
        <f>J586/160</f>
        <v/>
      </c>
      <c r="P586" s="10" t="n">
        <v>30</v>
      </c>
      <c r="Q586" s="10">
        <f>L586+M586+N586+O586-P586</f>
        <v/>
      </c>
      <c r="R586" s="11">
        <f>T585</f>
        <v/>
      </c>
      <c r="S586" s="11">
        <f>N(V586) + N(X586) + N(Z586)</f>
        <v/>
      </c>
      <c r="T586" s="11">
        <f>R586+P586-S586</f>
        <v/>
      </c>
      <c r="U586" s="11" t="inlineStr">
        <is>
          <t>是</t>
        </is>
      </c>
      <c r="V586" s="11" t="n">
        <v>29</v>
      </c>
      <c r="W586" s="11" t="inlineStr">
        <is>
          <t>否</t>
        </is>
      </c>
      <c r="X586" s="11" t="inlineStr">
        <is>
          <t>-</t>
        </is>
      </c>
      <c r="Y586" s="11" t="inlineStr">
        <is>
          <t>-</t>
        </is>
      </c>
      <c r="Z586" s="11" t="n">
        <v>0</v>
      </c>
      <c r="AA586" s="11" t="inlineStr">
        <is>
          <t>无</t>
        </is>
      </c>
      <c r="AB586" s="12">
        <f>AE585</f>
        <v/>
      </c>
      <c r="AC586" s="12" t="n">
        <v>4</v>
      </c>
      <c r="AD586" s="12" t="n">
        <v>0</v>
      </c>
      <c r="AE586" s="12">
        <f>AB586+AC586+AD586</f>
        <v/>
      </c>
      <c r="AF586" s="13">
        <f>AI585</f>
        <v/>
      </c>
      <c r="AG586" s="13" t="n">
        <v>0</v>
      </c>
      <c r="AH586" s="13" t="n">
        <v>0</v>
      </c>
      <c r="AI586" s="13">
        <f>AF586+AG586+AH586</f>
        <v/>
      </c>
      <c r="AJ586" s="14" t="n">
        <v>0</v>
      </c>
      <c r="AK586" s="14" t="n">
        <v>50</v>
      </c>
      <c r="AL586" s="14" t="n">
        <v>0</v>
      </c>
      <c r="AM586" s="14">
        <f>AJ586+AK586+AL586</f>
        <v/>
      </c>
      <c r="AN586" s="14">
        <f>AN585+AM586</f>
        <v/>
      </c>
    </row>
    <row r="587">
      <c r="A587" s="8" t="n">
        <v>23</v>
      </c>
      <c r="B587" s="8" t="n">
        <v>7</v>
      </c>
      <c r="C587" s="8" t="n">
        <v>2</v>
      </c>
      <c r="D587" s="8" t="inlineStr">
        <is>
          <t>月卡收益</t>
        </is>
      </c>
      <c r="E587" s="9">
        <f>K586</f>
        <v/>
      </c>
      <c r="F587" s="9" t="n">
        <v>1540</v>
      </c>
      <c r="G587" s="9" t="n">
        <v>0</v>
      </c>
      <c r="H587" s="9" t="n">
        <v>0</v>
      </c>
      <c r="I587" s="9" t="n">
        <v>0</v>
      </c>
      <c r="J587" s="9" t="n">
        <v>4960</v>
      </c>
      <c r="K587" s="9">
        <f>E587+F587+G587+H587+I587-J587</f>
        <v/>
      </c>
      <c r="L587" s="10">
        <f>Q586</f>
        <v/>
      </c>
      <c r="M587" s="10" t="n">
        <v>0</v>
      </c>
      <c r="N587" s="10" t="n">
        <v>11</v>
      </c>
      <c r="O587" s="10">
        <f>J587/160</f>
        <v/>
      </c>
      <c r="P587" s="10" t="n">
        <v>100</v>
      </c>
      <c r="Q587" s="10">
        <f>L587+M587+N587+O587-P587</f>
        <v/>
      </c>
      <c r="R587" s="11">
        <f>T586</f>
        <v/>
      </c>
      <c r="S587" s="11">
        <f>N(V587) + N(X587) + N(Z587)</f>
        <v/>
      </c>
      <c r="T587" s="11">
        <f>R587+P587-S587</f>
        <v/>
      </c>
      <c r="U587" s="11" t="inlineStr">
        <is>
          <t>是</t>
        </is>
      </c>
      <c r="V587" s="11" t="n">
        <v>49</v>
      </c>
      <c r="W587" s="11" t="inlineStr">
        <is>
          <t>是</t>
        </is>
      </c>
      <c r="X587" s="11" t="n">
        <v>47</v>
      </c>
      <c r="Y587" s="11" t="inlineStr">
        <is>
          <t>-</t>
        </is>
      </c>
      <c r="Z587" s="11" t="n">
        <v>0</v>
      </c>
      <c r="AA587" s="11" t="inlineStr">
        <is>
          <t>无</t>
        </is>
      </c>
      <c r="AB587" s="12">
        <f>AE586</f>
        <v/>
      </c>
      <c r="AC587" s="12" t="n">
        <v>0</v>
      </c>
      <c r="AD587" s="12" t="n">
        <v>0</v>
      </c>
      <c r="AE587" s="12">
        <f>AB587+AC587+AD587</f>
        <v/>
      </c>
      <c r="AF587" s="13">
        <f>AI586</f>
        <v/>
      </c>
      <c r="AG587" s="13" t="n">
        <v>0</v>
      </c>
      <c r="AH587" s="13" t="n">
        <v>0</v>
      </c>
      <c r="AI587" s="13">
        <f>AF587+AG587+AH587</f>
        <v/>
      </c>
      <c r="AJ587" s="14" t="n">
        <v>0</v>
      </c>
      <c r="AK587" s="14" t="n">
        <v>0</v>
      </c>
      <c r="AL587" s="14" t="n">
        <v>0</v>
      </c>
      <c r="AM587" s="14">
        <f>AJ587+AK587+AL587</f>
        <v/>
      </c>
      <c r="AN587" s="14">
        <f>AN586+AM587</f>
        <v/>
      </c>
    </row>
    <row r="588">
      <c r="A588" s="8" t="n">
        <v>23</v>
      </c>
      <c r="B588" s="8" t="n">
        <v>8</v>
      </c>
      <c r="C588" s="8" t="n">
        <v>1</v>
      </c>
      <c r="D588" s="8" t="inlineStr">
        <is>
          <t>版本免费+义相逢 + 月卡收益 [月卡续费-30元]</t>
        </is>
      </c>
      <c r="E588" s="9">
        <f>K587</f>
        <v/>
      </c>
      <c r="F588" s="9" t="n">
        <v>1540</v>
      </c>
      <c r="G588" s="9" t="n">
        <v>4800</v>
      </c>
      <c r="H588" s="9" t="n">
        <v>0</v>
      </c>
      <c r="I588" s="9" t="n">
        <v>0</v>
      </c>
      <c r="J588" s="9" t="n">
        <v>640</v>
      </c>
      <c r="K588" s="9">
        <f>E588+F588+G588+H588+I588-J588</f>
        <v/>
      </c>
      <c r="L588" s="10">
        <f>Q587</f>
        <v/>
      </c>
      <c r="M588" s="10" t="n">
        <v>85</v>
      </c>
      <c r="N588" s="10" t="n">
        <v>11</v>
      </c>
      <c r="O588" s="10">
        <f>J588/160</f>
        <v/>
      </c>
      <c r="P588" s="10" t="n">
        <v>100</v>
      </c>
      <c r="Q588" s="10">
        <f>L588+M588+N588+O588-P588</f>
        <v/>
      </c>
      <c r="R588" s="11">
        <f>T587</f>
        <v/>
      </c>
      <c r="S588" s="11">
        <f>N(V588) + N(X588) + N(Z588)</f>
        <v/>
      </c>
      <c r="T588" s="11">
        <f>R588+P588-S588</f>
        <v/>
      </c>
      <c r="U588" s="11" t="inlineStr">
        <is>
          <t>是</t>
        </is>
      </c>
      <c r="V588" s="11" t="n">
        <v>49</v>
      </c>
      <c r="W588" s="11" t="inlineStr">
        <is>
          <t>是</t>
        </is>
      </c>
      <c r="X588" s="11" t="n">
        <v>53</v>
      </c>
      <c r="Y588" s="11" t="inlineStr">
        <is>
          <t>-</t>
        </is>
      </c>
      <c r="Z588" s="11" t="n">
        <v>0</v>
      </c>
      <c r="AA588" s="11" t="inlineStr">
        <is>
          <t>无</t>
        </is>
      </c>
      <c r="AB588" s="12">
        <f>AE587</f>
        <v/>
      </c>
      <c r="AC588" s="12" t="n">
        <v>4</v>
      </c>
      <c r="AD588" s="12" t="n">
        <v>0</v>
      </c>
      <c r="AE588" s="12">
        <f>AB588+AC588+AD588</f>
        <v/>
      </c>
      <c r="AF588" s="13">
        <f>AI587</f>
        <v/>
      </c>
      <c r="AG588" s="13" t="n">
        <v>0</v>
      </c>
      <c r="AH588" s="13" t="n">
        <v>0</v>
      </c>
      <c r="AI588" s="13">
        <f>AF588+AG588+AH588</f>
        <v/>
      </c>
      <c r="AJ588" s="14" t="n">
        <v>30</v>
      </c>
      <c r="AK588" s="14" t="n">
        <v>50</v>
      </c>
      <c r="AL588" s="14" t="n">
        <v>0</v>
      </c>
      <c r="AM588" s="14">
        <f>AJ588+AK588+AL588</f>
        <v/>
      </c>
      <c r="AN588" s="14">
        <f>AN587+AM588</f>
        <v/>
      </c>
    </row>
    <row r="589">
      <c r="A589" s="8" t="n">
        <v>23</v>
      </c>
      <c r="B589" s="8" t="n">
        <v>8</v>
      </c>
      <c r="C589" s="8" t="n">
        <v>2</v>
      </c>
      <c r="D589" s="8" t="inlineStr">
        <is>
          <t>月卡收益</t>
        </is>
      </c>
      <c r="E589" s="9">
        <f>K588</f>
        <v/>
      </c>
      <c r="F589" s="9" t="n">
        <v>1540</v>
      </c>
      <c r="G589" s="9" t="n">
        <v>0</v>
      </c>
      <c r="H589" s="9" t="n">
        <v>0</v>
      </c>
      <c r="I589" s="9" t="n">
        <v>0</v>
      </c>
      <c r="J589" s="9" t="n">
        <v>14240</v>
      </c>
      <c r="K589" s="9">
        <f>E589+F589+G589+H589+I589-J589</f>
        <v/>
      </c>
      <c r="L589" s="10">
        <f>Q588</f>
        <v/>
      </c>
      <c r="M589" s="10" t="n">
        <v>0</v>
      </c>
      <c r="N589" s="10" t="n">
        <v>11</v>
      </c>
      <c r="O589" s="10">
        <f>J589/160</f>
        <v/>
      </c>
      <c r="P589" s="10" t="n">
        <v>100</v>
      </c>
      <c r="Q589" s="10">
        <f>L589+M589+N589+O589-P589</f>
        <v/>
      </c>
      <c r="R589" s="11">
        <f>T588</f>
        <v/>
      </c>
      <c r="S589" s="11">
        <f>N(V589) + N(X589) + N(Z589)</f>
        <v/>
      </c>
      <c r="T589" s="11">
        <f>R589+P589-S589</f>
        <v/>
      </c>
      <c r="U589" s="11" t="inlineStr">
        <is>
          <t>是</t>
        </is>
      </c>
      <c r="V589" s="11" t="n">
        <v>52</v>
      </c>
      <c r="W589" s="11" t="inlineStr">
        <is>
          <t>是</t>
        </is>
      </c>
      <c r="X589" s="11" t="n">
        <v>47</v>
      </c>
      <c r="Y589" s="11" t="inlineStr">
        <is>
          <t>-</t>
        </is>
      </c>
      <c r="Z589" s="11" t="n">
        <v>0</v>
      </c>
      <c r="AA589" s="11" t="inlineStr">
        <is>
          <t>无</t>
        </is>
      </c>
      <c r="AB589" s="12">
        <f>AE588</f>
        <v/>
      </c>
      <c r="AC589" s="12" t="n">
        <v>0</v>
      </c>
      <c r="AD589" s="12" t="n">
        <v>0</v>
      </c>
      <c r="AE589" s="12">
        <f>AB589+AC589+AD589</f>
        <v/>
      </c>
      <c r="AF589" s="13">
        <f>AI588</f>
        <v/>
      </c>
      <c r="AG589" s="13" t="n">
        <v>0</v>
      </c>
      <c r="AH589" s="13" t="n">
        <v>0</v>
      </c>
      <c r="AI589" s="13">
        <f>AF589+AG589+AH589</f>
        <v/>
      </c>
      <c r="AJ589" s="14" t="n">
        <v>0</v>
      </c>
      <c r="AK589" s="14" t="n">
        <v>0</v>
      </c>
      <c r="AL589" s="14" t="n">
        <v>0</v>
      </c>
      <c r="AM589" s="14">
        <f>AJ589+AK589+AL589</f>
        <v/>
      </c>
      <c r="AN589" s="14">
        <f>AN588+AM589</f>
        <v/>
      </c>
    </row>
    <row r="590">
      <c r="A590" s="8" t="n">
        <v>23</v>
      </c>
      <c r="B590" s="8" t="n">
        <v>9</v>
      </c>
      <c r="C590" s="8" t="n">
        <v>1</v>
      </c>
      <c r="D590" s="8" t="inlineStr">
        <is>
          <t>版本免费+义相逢 + 月卡收益 [月卡续费-30元]</t>
        </is>
      </c>
      <c r="E590" s="9">
        <f>K589</f>
        <v/>
      </c>
      <c r="F590" s="9" t="n">
        <v>1540</v>
      </c>
      <c r="G590" s="9" t="n">
        <v>4800</v>
      </c>
      <c r="H590" s="9" t="n">
        <v>0</v>
      </c>
      <c r="I590" s="9" t="n">
        <v>0</v>
      </c>
      <c r="J590" s="9" t="n">
        <v>0</v>
      </c>
      <c r="K590" s="9">
        <f>E590+F590+G590+H590+I590-J590</f>
        <v/>
      </c>
      <c r="L590" s="10">
        <f>Q589</f>
        <v/>
      </c>
      <c r="M590" s="10" t="n">
        <v>85</v>
      </c>
      <c r="N590" s="10" t="n">
        <v>6</v>
      </c>
      <c r="O590" s="10">
        <f>J590/160</f>
        <v/>
      </c>
      <c r="P590" s="10" t="n">
        <v>60</v>
      </c>
      <c r="Q590" s="10">
        <f>L590+M590+N590+O590-P590</f>
        <v/>
      </c>
      <c r="R590" s="11">
        <f>T589</f>
        <v/>
      </c>
      <c r="S590" s="11">
        <f>N(V590) + N(X590) + N(Z590)</f>
        <v/>
      </c>
      <c r="T590" s="11">
        <f>R590+P590-S590</f>
        <v/>
      </c>
      <c r="U590" s="11" t="inlineStr">
        <is>
          <t>是</t>
        </is>
      </c>
      <c r="V590" s="11" t="n">
        <v>51</v>
      </c>
      <c r="W590" s="11" t="inlineStr">
        <is>
          <t>否</t>
        </is>
      </c>
      <c r="X590" s="11" t="inlineStr">
        <is>
          <t>-</t>
        </is>
      </c>
      <c r="Y590" s="11" t="inlineStr">
        <is>
          <t>-</t>
        </is>
      </c>
      <c r="Z590" s="11" t="n">
        <v>0</v>
      </c>
      <c r="AA590" s="11" t="inlineStr">
        <is>
          <t>垫到60抽</t>
        </is>
      </c>
      <c r="AB590" s="12">
        <f>AE589</f>
        <v/>
      </c>
      <c r="AC590" s="12" t="n">
        <v>4</v>
      </c>
      <c r="AD590" s="12" t="n">
        <v>0</v>
      </c>
      <c r="AE590" s="12">
        <f>AB590+AC590+AD590</f>
        <v/>
      </c>
      <c r="AF590" s="13">
        <f>AI589</f>
        <v/>
      </c>
      <c r="AG590" s="13" t="n">
        <v>0</v>
      </c>
      <c r="AH590" s="13" t="n">
        <v>0</v>
      </c>
      <c r="AI590" s="13">
        <f>AF590+AG590+AH590</f>
        <v/>
      </c>
      <c r="AJ590" s="14" t="n">
        <v>30</v>
      </c>
      <c r="AK590" s="14" t="n">
        <v>50</v>
      </c>
      <c r="AL590" s="14" t="n">
        <v>0</v>
      </c>
      <c r="AM590" s="14">
        <f>AJ590+AK590+AL590</f>
        <v/>
      </c>
      <c r="AN590" s="14">
        <f>AN589+AM590</f>
        <v/>
      </c>
    </row>
    <row r="591">
      <c r="A591" s="8" t="n">
        <v>23</v>
      </c>
      <c r="B591" s="8" t="n">
        <v>9</v>
      </c>
      <c r="C591" s="8" t="n">
        <v>2</v>
      </c>
      <c r="D591" s="8" t="inlineStr">
        <is>
          <t>月卡收益</t>
        </is>
      </c>
      <c r="E591" s="9">
        <f>K590</f>
        <v/>
      </c>
      <c r="F591" s="9" t="n">
        <v>1540</v>
      </c>
      <c r="G591" s="9" t="n">
        <v>0</v>
      </c>
      <c r="H591" s="9" t="n">
        <v>0</v>
      </c>
      <c r="I591" s="9" t="n">
        <v>0</v>
      </c>
      <c r="J591" s="9" t="n">
        <v>8480</v>
      </c>
      <c r="K591" s="9">
        <f>E591+F591+G591+H591+I591-J591</f>
        <v/>
      </c>
      <c r="L591" s="10">
        <f>Q590</f>
        <v/>
      </c>
      <c r="M591" s="10" t="n">
        <v>0</v>
      </c>
      <c r="N591" s="10" t="n">
        <v>11</v>
      </c>
      <c r="O591" s="10">
        <f>J591/160</f>
        <v/>
      </c>
      <c r="P591" s="10" t="n">
        <v>90</v>
      </c>
      <c r="Q591" s="10">
        <f>L591+M591+N591+O591-P591</f>
        <v/>
      </c>
      <c r="R591" s="11">
        <f>T590</f>
        <v/>
      </c>
      <c r="S591" s="11">
        <f>N(V591) + N(X591) + N(Z591)</f>
        <v/>
      </c>
      <c r="T591" s="11">
        <f>R591+P591-S591</f>
        <v/>
      </c>
      <c r="U591" s="11" t="inlineStr">
        <is>
          <t>是</t>
        </is>
      </c>
      <c r="V591" s="11" t="n">
        <v>51</v>
      </c>
      <c r="W591" s="11" t="inlineStr">
        <is>
          <t>是</t>
        </is>
      </c>
      <c r="X591" s="11" t="n">
        <v>46</v>
      </c>
      <c r="Y591" s="11" t="inlineStr">
        <is>
          <t>-</t>
        </is>
      </c>
      <c r="Z591" s="11" t="n">
        <v>0</v>
      </c>
      <c r="AA591" s="11" t="inlineStr">
        <is>
          <t>无</t>
        </is>
      </c>
      <c r="AB591" s="12">
        <f>AE590</f>
        <v/>
      </c>
      <c r="AC591" s="12" t="n">
        <v>0</v>
      </c>
      <c r="AD591" s="12" t="n">
        <v>0</v>
      </c>
      <c r="AE591" s="12">
        <f>AB591+AC591+AD591</f>
        <v/>
      </c>
      <c r="AF591" s="13">
        <f>AI590</f>
        <v/>
      </c>
      <c r="AG591" s="13" t="n">
        <v>0</v>
      </c>
      <c r="AH591" s="13" t="n">
        <v>0</v>
      </c>
      <c r="AI591" s="13">
        <f>AF591+AG591+AH591</f>
        <v/>
      </c>
      <c r="AJ591" s="14" t="n">
        <v>0</v>
      </c>
      <c r="AK591" s="14" t="n">
        <v>0</v>
      </c>
      <c r="AL591" s="14" t="n">
        <v>0</v>
      </c>
      <c r="AM591" s="14">
        <f>AJ591+AK591+AL591</f>
        <v/>
      </c>
      <c r="AN591" s="14">
        <f>AN590+AM591</f>
        <v/>
      </c>
    </row>
    <row r="592">
      <c r="A592" s="8" t="n">
        <v>23</v>
      </c>
      <c r="B592" s="8" t="n">
        <v>10</v>
      </c>
      <c r="C592" s="8" t="n">
        <v>1</v>
      </c>
      <c r="D592" s="8" t="inlineStr">
        <is>
          <t>版本免费+义相逢 + 月卡收益 [月卡续费-30元]</t>
        </is>
      </c>
      <c r="E592" s="9">
        <f>K591</f>
        <v/>
      </c>
      <c r="F592" s="9" t="n">
        <v>1540</v>
      </c>
      <c r="G592" s="9" t="n">
        <v>4800</v>
      </c>
      <c r="H592" s="9" t="n">
        <v>0</v>
      </c>
      <c r="I592" s="9" t="n">
        <v>0</v>
      </c>
      <c r="J592" s="9" t="n">
        <v>0</v>
      </c>
      <c r="K592" s="9">
        <f>E592+F592+G592+H592+I592-J592</f>
        <v/>
      </c>
      <c r="L592" s="10">
        <f>Q591</f>
        <v/>
      </c>
      <c r="M592" s="10" t="n">
        <v>85</v>
      </c>
      <c r="N592" s="10" t="n">
        <v>3</v>
      </c>
      <c r="O592" s="10">
        <f>J592/160</f>
        <v/>
      </c>
      <c r="P592" s="10" t="n">
        <v>40</v>
      </c>
      <c r="Q592" s="10">
        <f>L592+M592+N592+O592-P592</f>
        <v/>
      </c>
      <c r="R592" s="11">
        <f>T591</f>
        <v/>
      </c>
      <c r="S592" s="11">
        <f>N(V592) + N(X592) + N(Z592)</f>
        <v/>
      </c>
      <c r="T592" s="11">
        <f>R592+P592-S592</f>
        <v/>
      </c>
      <c r="U592" s="11" t="inlineStr">
        <is>
          <t>是</t>
        </is>
      </c>
      <c r="V592" s="11" t="n">
        <v>49</v>
      </c>
      <c r="W592" s="11" t="inlineStr">
        <is>
          <t>否</t>
        </is>
      </c>
      <c r="X592" s="11" t="inlineStr">
        <is>
          <t>-</t>
        </is>
      </c>
      <c r="Y592" s="11" t="inlineStr">
        <is>
          <t>-</t>
        </is>
      </c>
      <c r="Z592" s="11" t="n">
        <v>0</v>
      </c>
      <c r="AA592" s="11" t="inlineStr">
        <is>
          <t>无</t>
        </is>
      </c>
      <c r="AB592" s="12">
        <f>AE591</f>
        <v/>
      </c>
      <c r="AC592" s="12" t="n">
        <v>4</v>
      </c>
      <c r="AD592" s="12" t="n">
        <v>0</v>
      </c>
      <c r="AE592" s="12">
        <f>AB592+AC592+AD592</f>
        <v/>
      </c>
      <c r="AF592" s="13">
        <f>AI591</f>
        <v/>
      </c>
      <c r="AG592" s="13" t="n">
        <v>0</v>
      </c>
      <c r="AH592" s="13" t="n">
        <v>0</v>
      </c>
      <c r="AI592" s="13">
        <f>AF592+AG592+AH592</f>
        <v/>
      </c>
      <c r="AJ592" s="14" t="n">
        <v>30</v>
      </c>
      <c r="AK592" s="14" t="n">
        <v>50</v>
      </c>
      <c r="AL592" s="14" t="n">
        <v>0</v>
      </c>
      <c r="AM592" s="14">
        <f>AJ592+AK592+AL592</f>
        <v/>
      </c>
      <c r="AN592" s="14">
        <f>AN591+AM592</f>
        <v/>
      </c>
    </row>
    <row r="593">
      <c r="A593" s="8" t="n">
        <v>23</v>
      </c>
      <c r="B593" s="8" t="n">
        <v>10</v>
      </c>
      <c r="C593" s="8" t="n">
        <v>2</v>
      </c>
      <c r="D593" s="8" t="inlineStr">
        <is>
          <t>月卡收益</t>
        </is>
      </c>
      <c r="E593" s="9">
        <f>K592</f>
        <v/>
      </c>
      <c r="F593" s="9" t="n">
        <v>1540</v>
      </c>
      <c r="G593" s="9" t="n">
        <v>0</v>
      </c>
      <c r="H593" s="9" t="n">
        <v>0</v>
      </c>
      <c r="I593" s="9" t="n">
        <v>0</v>
      </c>
      <c r="J593" s="9" t="n">
        <v>5760</v>
      </c>
      <c r="K593" s="9">
        <f>E593+F593+G593+H593+I593-J593</f>
        <v/>
      </c>
      <c r="L593" s="10">
        <f>Q592</f>
        <v/>
      </c>
      <c r="M593" s="10" t="n">
        <v>0</v>
      </c>
      <c r="N593" s="10" t="n">
        <v>11</v>
      </c>
      <c r="O593" s="10">
        <f>J593/160</f>
        <v/>
      </c>
      <c r="P593" s="10" t="n">
        <v>100</v>
      </c>
      <c r="Q593" s="10">
        <f>L593+M593+N593+O593-P593</f>
        <v/>
      </c>
      <c r="R593" s="11">
        <f>T592</f>
        <v/>
      </c>
      <c r="S593" s="11">
        <f>N(V593) + N(X593) + N(Z593)</f>
        <v/>
      </c>
      <c r="T593" s="11">
        <f>R593+P593-S593</f>
        <v/>
      </c>
      <c r="U593" s="11" t="inlineStr">
        <is>
          <t>是</t>
        </is>
      </c>
      <c r="V593" s="11" t="n">
        <v>46</v>
      </c>
      <c r="W593" s="11" t="inlineStr">
        <is>
          <t>是</t>
        </is>
      </c>
      <c r="X593" s="11" t="n">
        <v>52</v>
      </c>
      <c r="Y593" s="11" t="inlineStr">
        <is>
          <t>-</t>
        </is>
      </c>
      <c r="Z593" s="11" t="n">
        <v>0</v>
      </c>
      <c r="AA593" s="11" t="inlineStr">
        <is>
          <t>无</t>
        </is>
      </c>
      <c r="AB593" s="12">
        <f>AE592</f>
        <v/>
      </c>
      <c r="AC593" s="12" t="n">
        <v>0</v>
      </c>
      <c r="AD593" s="12" t="n">
        <v>0</v>
      </c>
      <c r="AE593" s="12">
        <f>AB593+AC593+AD593</f>
        <v/>
      </c>
      <c r="AF593" s="13">
        <f>AI592</f>
        <v/>
      </c>
      <c r="AG593" s="13" t="n">
        <v>0</v>
      </c>
      <c r="AH593" s="13" t="n">
        <v>0</v>
      </c>
      <c r="AI593" s="13">
        <f>AF593+AG593+AH593</f>
        <v/>
      </c>
      <c r="AJ593" s="14" t="n">
        <v>0</v>
      </c>
      <c r="AK593" s="14" t="n">
        <v>0</v>
      </c>
      <c r="AL593" s="14" t="n">
        <v>0</v>
      </c>
      <c r="AM593" s="14">
        <f>AJ593+AK593+AL593</f>
        <v/>
      </c>
      <c r="AN593" s="14">
        <f>AN592+AM593</f>
        <v/>
      </c>
    </row>
    <row r="594">
      <c r="A594" s="8" t="n">
        <v>23</v>
      </c>
      <c r="B594" s="8" t="n">
        <v>11</v>
      </c>
      <c r="C594" s="8" t="n">
        <v>1</v>
      </c>
      <c r="D594" s="8" t="inlineStr">
        <is>
          <t>版本免费+义相逢 + 月卡收益 [月卡续费-30元]</t>
        </is>
      </c>
      <c r="E594" s="9">
        <f>K593</f>
        <v/>
      </c>
      <c r="F594" s="9" t="n">
        <v>1540</v>
      </c>
      <c r="G594" s="9" t="n">
        <v>4800</v>
      </c>
      <c r="H594" s="9" t="n">
        <v>0</v>
      </c>
      <c r="I594" s="9" t="n">
        <v>0</v>
      </c>
      <c r="J594" s="9" t="n">
        <v>0</v>
      </c>
      <c r="K594" s="9">
        <f>E594+F594+G594+H594+I594-J594</f>
        <v/>
      </c>
      <c r="L594" s="10">
        <f>Q593</f>
        <v/>
      </c>
      <c r="M594" s="10" t="n">
        <v>85</v>
      </c>
      <c r="N594" s="10" t="n">
        <v>6</v>
      </c>
      <c r="O594" s="10">
        <f>J594/160</f>
        <v/>
      </c>
      <c r="P594" s="10" t="n">
        <v>60</v>
      </c>
      <c r="Q594" s="10">
        <f>L594+M594+N594+O594-P594</f>
        <v/>
      </c>
      <c r="R594" s="11">
        <f>T593</f>
        <v/>
      </c>
      <c r="S594" s="11">
        <f>N(V594) + N(X594) + N(Z594)</f>
        <v/>
      </c>
      <c r="T594" s="11">
        <f>R594+P594-S594</f>
        <v/>
      </c>
      <c r="U594" s="11" t="inlineStr">
        <is>
          <t>是</t>
        </is>
      </c>
      <c r="V594" s="11" t="n">
        <v>52</v>
      </c>
      <c r="W594" s="11" t="inlineStr">
        <is>
          <t>否</t>
        </is>
      </c>
      <c r="X594" s="11" t="inlineStr">
        <is>
          <t>-</t>
        </is>
      </c>
      <c r="Y594" s="11" t="inlineStr">
        <is>
          <t>-</t>
        </is>
      </c>
      <c r="Z594" s="11" t="n">
        <v>0</v>
      </c>
      <c r="AA594" s="11" t="inlineStr">
        <is>
          <t>垫到60抽</t>
        </is>
      </c>
      <c r="AB594" s="12">
        <f>AE593</f>
        <v/>
      </c>
      <c r="AC594" s="12" t="n">
        <v>4</v>
      </c>
      <c r="AD594" s="12" t="n">
        <v>0</v>
      </c>
      <c r="AE594" s="12">
        <f>AB594+AC594+AD594</f>
        <v/>
      </c>
      <c r="AF594" s="13">
        <f>AI593</f>
        <v/>
      </c>
      <c r="AG594" s="13" t="n">
        <v>0</v>
      </c>
      <c r="AH594" s="13" t="n">
        <v>0</v>
      </c>
      <c r="AI594" s="13">
        <f>AF594+AG594+AH594</f>
        <v/>
      </c>
      <c r="AJ594" s="14" t="n">
        <v>30</v>
      </c>
      <c r="AK594" s="14" t="n">
        <v>50</v>
      </c>
      <c r="AL594" s="14" t="n">
        <v>0</v>
      </c>
      <c r="AM594" s="14">
        <f>AJ594+AK594+AL594</f>
        <v/>
      </c>
      <c r="AN594" s="14">
        <f>AN593+AM594</f>
        <v/>
      </c>
    </row>
    <row r="595">
      <c r="A595" s="8" t="n">
        <v>23</v>
      </c>
      <c r="B595" s="8" t="n">
        <v>11</v>
      </c>
      <c r="C595" s="8" t="n">
        <v>2</v>
      </c>
      <c r="D595" s="8" t="inlineStr">
        <is>
          <t>月卡收益</t>
        </is>
      </c>
      <c r="E595" s="9">
        <f>K594</f>
        <v/>
      </c>
      <c r="F595" s="9" t="n">
        <v>1540</v>
      </c>
      <c r="G595" s="9" t="n">
        <v>0</v>
      </c>
      <c r="H595" s="9" t="n">
        <v>0</v>
      </c>
      <c r="I595" s="9" t="n">
        <v>0</v>
      </c>
      <c r="J595" s="9" t="n">
        <v>960</v>
      </c>
      <c r="K595" s="9">
        <f>E595+F595+G595+H595+I595-J595</f>
        <v/>
      </c>
      <c r="L595" s="10">
        <f>Q594</f>
        <v/>
      </c>
      <c r="M595" s="10" t="n">
        <v>0</v>
      </c>
      <c r="N595" s="10" t="n">
        <v>3</v>
      </c>
      <c r="O595" s="10">
        <f>J595/160</f>
        <v/>
      </c>
      <c r="P595" s="10" t="n">
        <v>40</v>
      </c>
      <c r="Q595" s="10">
        <f>L595+M595+N595+O595-P595</f>
        <v/>
      </c>
      <c r="R595" s="11">
        <f>T594</f>
        <v/>
      </c>
      <c r="S595" s="11">
        <f>N(V595) + N(X595) + N(Z595)</f>
        <v/>
      </c>
      <c r="T595" s="11">
        <f>R595+P595-S595</f>
        <v/>
      </c>
      <c r="U595" s="11" t="inlineStr">
        <is>
          <t>是</t>
        </is>
      </c>
      <c r="V595" s="11" t="n">
        <v>48</v>
      </c>
      <c r="W595" s="11" t="inlineStr">
        <is>
          <t>否</t>
        </is>
      </c>
      <c r="X595" s="11" t="inlineStr">
        <is>
          <t>-</t>
        </is>
      </c>
      <c r="Y595" s="11" t="inlineStr">
        <is>
          <t>-</t>
        </is>
      </c>
      <c r="Z595" s="11" t="n">
        <v>0</v>
      </c>
      <c r="AA595" s="11" t="inlineStr">
        <is>
          <t>无</t>
        </is>
      </c>
      <c r="AB595" s="12">
        <f>AE594</f>
        <v/>
      </c>
      <c r="AC595" s="12" t="n">
        <v>0</v>
      </c>
      <c r="AD595" s="12" t="n">
        <v>0</v>
      </c>
      <c r="AE595" s="12">
        <f>AB595+AC595+AD595</f>
        <v/>
      </c>
      <c r="AF595" s="13">
        <f>AI594</f>
        <v/>
      </c>
      <c r="AG595" s="13" t="n">
        <v>0</v>
      </c>
      <c r="AH595" s="13" t="n">
        <v>0</v>
      </c>
      <c r="AI595" s="13">
        <f>AF595+AG595+AH595</f>
        <v/>
      </c>
      <c r="AJ595" s="14" t="n">
        <v>0</v>
      </c>
      <c r="AK595" s="14" t="n">
        <v>0</v>
      </c>
      <c r="AL595" s="14" t="n">
        <v>0</v>
      </c>
      <c r="AM595" s="14">
        <f>AJ595+AK595+AL595</f>
        <v/>
      </c>
      <c r="AN595" s="14">
        <f>AN594+AM595</f>
        <v/>
      </c>
    </row>
    <row r="596">
      <c r="A596" s="8" t="n">
        <v>23</v>
      </c>
      <c r="B596" s="8" t="n">
        <v>12</v>
      </c>
      <c r="C596" s="8" t="n">
        <v>1</v>
      </c>
      <c r="D596" s="8" t="inlineStr">
        <is>
          <t>版本免费+义相逢 + 月卡收益 [月卡续费-30元]</t>
        </is>
      </c>
      <c r="E596" s="9">
        <f>K595</f>
        <v/>
      </c>
      <c r="F596" s="9" t="n">
        <v>1540</v>
      </c>
      <c r="G596" s="9" t="n">
        <v>4800</v>
      </c>
      <c r="H596" s="9" t="n">
        <v>0</v>
      </c>
      <c r="I596" s="9" t="n">
        <v>0</v>
      </c>
      <c r="J596" s="9" t="n">
        <v>640</v>
      </c>
      <c r="K596" s="9">
        <f>E596+F596+G596+H596+I596-J596</f>
        <v/>
      </c>
      <c r="L596" s="10">
        <f>Q595</f>
        <v/>
      </c>
      <c r="M596" s="10" t="n">
        <v>85</v>
      </c>
      <c r="N596" s="10" t="n">
        <v>11</v>
      </c>
      <c r="O596" s="10">
        <f>J596/160</f>
        <v/>
      </c>
      <c r="P596" s="10" t="n">
        <v>100</v>
      </c>
      <c r="Q596" s="10">
        <f>L596+M596+N596+O596-P596</f>
        <v/>
      </c>
      <c r="R596" s="11">
        <f>T595</f>
        <v/>
      </c>
      <c r="S596" s="11">
        <f>N(V596) + N(X596) + N(Z596)</f>
        <v/>
      </c>
      <c r="T596" s="11">
        <f>R596+P596-S596</f>
        <v/>
      </c>
      <c r="U596" s="11" t="inlineStr">
        <is>
          <t>是</t>
        </is>
      </c>
      <c r="V596" s="11" t="n">
        <v>49</v>
      </c>
      <c r="W596" s="11" t="inlineStr">
        <is>
          <t>是</t>
        </is>
      </c>
      <c r="X596" s="11" t="n">
        <v>51</v>
      </c>
      <c r="Y596" s="11" t="inlineStr">
        <is>
          <t>-</t>
        </is>
      </c>
      <c r="Z596" s="11" t="n">
        <v>0</v>
      </c>
      <c r="AA596" s="11" t="inlineStr">
        <is>
          <t>无</t>
        </is>
      </c>
      <c r="AB596" s="12">
        <f>AE595</f>
        <v/>
      </c>
      <c r="AC596" s="12" t="n">
        <v>4</v>
      </c>
      <c r="AD596" s="12" t="n">
        <v>0</v>
      </c>
      <c r="AE596" s="12">
        <f>AB596+AC596+AD596</f>
        <v/>
      </c>
      <c r="AF596" s="13">
        <f>AI595</f>
        <v/>
      </c>
      <c r="AG596" s="13" t="n">
        <v>0</v>
      </c>
      <c r="AH596" s="13" t="n">
        <v>0</v>
      </c>
      <c r="AI596" s="13">
        <f>AF596+AG596+AH596</f>
        <v/>
      </c>
      <c r="AJ596" s="14" t="n">
        <v>30</v>
      </c>
      <c r="AK596" s="14" t="n">
        <v>50</v>
      </c>
      <c r="AL596" s="14" t="n">
        <v>0</v>
      </c>
      <c r="AM596" s="14">
        <f>AJ596+AK596+AL596</f>
        <v/>
      </c>
      <c r="AN596" s="14">
        <f>AN595+AM596</f>
        <v/>
      </c>
    </row>
    <row r="597">
      <c r="A597" s="8" t="n">
        <v>23</v>
      </c>
      <c r="B597" s="8" t="n">
        <v>12</v>
      </c>
      <c r="C597" s="8" t="n">
        <v>2</v>
      </c>
      <c r="D597" s="8" t="inlineStr">
        <is>
          <t>月卡收益</t>
        </is>
      </c>
      <c r="E597" s="9">
        <f>K596</f>
        <v/>
      </c>
      <c r="F597" s="9" t="n">
        <v>1540</v>
      </c>
      <c r="G597" s="9" t="n">
        <v>0</v>
      </c>
      <c r="H597" s="9" t="n">
        <v>0</v>
      </c>
      <c r="I597" s="9" t="n">
        <v>0</v>
      </c>
      <c r="J597" s="9" t="n">
        <v>13440</v>
      </c>
      <c r="K597" s="9">
        <f>E597+F597+G597+H597+I597-J597</f>
        <v/>
      </c>
      <c r="L597" s="10">
        <f>Q596</f>
        <v/>
      </c>
      <c r="M597" s="10" t="n">
        <v>0</v>
      </c>
      <c r="N597" s="10" t="n">
        <v>11</v>
      </c>
      <c r="O597" s="10">
        <f>J597/160</f>
        <v/>
      </c>
      <c r="P597" s="10" t="n">
        <v>90</v>
      </c>
      <c r="Q597" s="10">
        <f>L597+M597+N597+O597-P597</f>
        <v/>
      </c>
      <c r="R597" s="11">
        <f>T596</f>
        <v/>
      </c>
      <c r="S597" s="11">
        <f>N(V597) + N(X597) + N(Z597)</f>
        <v/>
      </c>
      <c r="T597" s="11">
        <f>R597+P597-S597</f>
        <v/>
      </c>
      <c r="U597" s="11" t="inlineStr">
        <is>
          <t>是</t>
        </is>
      </c>
      <c r="V597" s="11" t="n">
        <v>48</v>
      </c>
      <c r="W597" s="11" t="inlineStr">
        <is>
          <t>是</t>
        </is>
      </c>
      <c r="X597" s="11" t="n">
        <v>35</v>
      </c>
      <c r="Y597" s="11" t="inlineStr">
        <is>
          <t>-</t>
        </is>
      </c>
      <c r="Z597" s="11" t="n">
        <v>0</v>
      </c>
      <c r="AA597" s="11" t="inlineStr">
        <is>
          <t>无</t>
        </is>
      </c>
      <c r="AB597" s="12">
        <f>AE596</f>
        <v/>
      </c>
      <c r="AC597" s="12" t="n">
        <v>0</v>
      </c>
      <c r="AD597" s="12" t="n">
        <v>0</v>
      </c>
      <c r="AE597" s="12">
        <f>AB597+AC597+AD597</f>
        <v/>
      </c>
      <c r="AF597" s="13">
        <f>AI596</f>
        <v/>
      </c>
      <c r="AG597" s="13" t="n">
        <v>0</v>
      </c>
      <c r="AH597" s="13" t="n">
        <v>0</v>
      </c>
      <c r="AI597" s="13">
        <f>AF597+AG597+AH597</f>
        <v/>
      </c>
      <c r="AJ597" s="14" t="n">
        <v>0</v>
      </c>
      <c r="AK597" s="14" t="n">
        <v>0</v>
      </c>
      <c r="AL597" s="14" t="n">
        <v>0</v>
      </c>
      <c r="AM597" s="14">
        <f>AJ597+AK597+AL597</f>
        <v/>
      </c>
      <c r="AN597" s="14">
        <f>AN596+AM597</f>
        <v/>
      </c>
    </row>
    <row r="598">
      <c r="A598" s="8" t="n">
        <v>23</v>
      </c>
      <c r="B598" s="8" t="n">
        <v>13</v>
      </c>
      <c r="C598" s="8" t="n">
        <v>1</v>
      </c>
      <c r="D598" s="8" t="inlineStr">
        <is>
          <t>版本免费+义相逢 + 月卡收益 [月卡续费-30元]</t>
        </is>
      </c>
      <c r="E598" s="9">
        <f>K597</f>
        <v/>
      </c>
      <c r="F598" s="9" t="n">
        <v>1540</v>
      </c>
      <c r="G598" s="9" t="n">
        <v>4800</v>
      </c>
      <c r="H598" s="9" t="n">
        <v>0</v>
      </c>
      <c r="I598" s="9" t="n">
        <v>0</v>
      </c>
      <c r="J598" s="9" t="n">
        <v>0</v>
      </c>
      <c r="K598" s="9">
        <f>E598+F598+G598+H598+I598-J598</f>
        <v/>
      </c>
      <c r="L598" s="10">
        <f>Q597</f>
        <v/>
      </c>
      <c r="M598" s="10" t="n">
        <v>85</v>
      </c>
      <c r="N598" s="10" t="n">
        <v>3</v>
      </c>
      <c r="O598" s="10">
        <f>J598/160</f>
        <v/>
      </c>
      <c r="P598" s="10" t="n">
        <v>40</v>
      </c>
      <c r="Q598" s="10">
        <f>L598+M598+N598+O598-P598</f>
        <v/>
      </c>
      <c r="R598" s="11">
        <f>T597</f>
        <v/>
      </c>
      <c r="S598" s="11">
        <f>N(V598) + N(X598) + N(Z598)</f>
        <v/>
      </c>
      <c r="T598" s="11">
        <f>R598+P598-S598</f>
        <v/>
      </c>
      <c r="U598" s="11" t="inlineStr">
        <is>
          <t>是</t>
        </is>
      </c>
      <c r="V598" s="11" t="n">
        <v>49</v>
      </c>
      <c r="W598" s="11" t="inlineStr">
        <is>
          <t>否</t>
        </is>
      </c>
      <c r="X598" s="11" t="inlineStr">
        <is>
          <t>-</t>
        </is>
      </c>
      <c r="Y598" s="11" t="inlineStr">
        <is>
          <t>-</t>
        </is>
      </c>
      <c r="Z598" s="11" t="n">
        <v>0</v>
      </c>
      <c r="AA598" s="11" t="inlineStr">
        <is>
          <t>无</t>
        </is>
      </c>
      <c r="AB598" s="12">
        <f>AE597</f>
        <v/>
      </c>
      <c r="AC598" s="12" t="n">
        <v>4</v>
      </c>
      <c r="AD598" s="12" t="n">
        <v>0</v>
      </c>
      <c r="AE598" s="12">
        <f>AB598+AC598+AD598</f>
        <v/>
      </c>
      <c r="AF598" s="13">
        <f>AI597</f>
        <v/>
      </c>
      <c r="AG598" s="13" t="n">
        <v>0</v>
      </c>
      <c r="AH598" s="13" t="n">
        <v>0</v>
      </c>
      <c r="AI598" s="13">
        <f>AF598+AG598+AH598</f>
        <v/>
      </c>
      <c r="AJ598" s="14" t="n">
        <v>30</v>
      </c>
      <c r="AK598" s="14" t="n">
        <v>50</v>
      </c>
      <c r="AL598" s="14" t="n">
        <v>0</v>
      </c>
      <c r="AM598" s="14">
        <f>AJ598+AK598+AL598</f>
        <v/>
      </c>
      <c r="AN598" s="14">
        <f>AN597+AM598</f>
        <v/>
      </c>
    </row>
    <row r="599">
      <c r="A599" s="8" t="n">
        <v>23</v>
      </c>
      <c r="B599" s="8" t="n">
        <v>13</v>
      </c>
      <c r="C599" s="8" t="n">
        <v>2</v>
      </c>
      <c r="D599" s="8" t="inlineStr">
        <is>
          <t>月卡收益</t>
        </is>
      </c>
      <c r="E599" s="9">
        <f>K598</f>
        <v/>
      </c>
      <c r="F599" s="9" t="n">
        <v>1540</v>
      </c>
      <c r="G599" s="9" t="n">
        <v>0</v>
      </c>
      <c r="H599" s="9" t="n">
        <v>0</v>
      </c>
      <c r="I599" s="9" t="n">
        <v>0</v>
      </c>
      <c r="J599" s="9" t="n">
        <v>7360</v>
      </c>
      <c r="K599" s="9">
        <f>E599+F599+G599+H599+I599-J599</f>
        <v/>
      </c>
      <c r="L599" s="10">
        <f>Q598</f>
        <v/>
      </c>
      <c r="M599" s="10" t="n">
        <v>0</v>
      </c>
      <c r="N599" s="10" t="n">
        <v>11</v>
      </c>
      <c r="O599" s="10">
        <f>J599/160</f>
        <v/>
      </c>
      <c r="P599" s="10" t="n">
        <v>110</v>
      </c>
      <c r="Q599" s="10">
        <f>L599+M599+N599+O599-P599</f>
        <v/>
      </c>
      <c r="R599" s="11">
        <f>T598</f>
        <v/>
      </c>
      <c r="S599" s="11">
        <f>N(V599) + N(X599) + N(Z599)</f>
        <v/>
      </c>
      <c r="T599" s="11">
        <f>R599+P599-S599</f>
        <v/>
      </c>
      <c r="U599" s="11" t="inlineStr">
        <is>
          <t>是</t>
        </is>
      </c>
      <c r="V599" s="11" t="n">
        <v>53</v>
      </c>
      <c r="W599" s="11" t="inlineStr">
        <is>
          <t>是</t>
        </is>
      </c>
      <c r="X599" s="11" t="n">
        <v>49</v>
      </c>
      <c r="Y599" s="11" t="inlineStr">
        <is>
          <t>-</t>
        </is>
      </c>
      <c r="Z599" s="11" t="n">
        <v>0</v>
      </c>
      <c r="AA599" s="11" t="inlineStr">
        <is>
          <t>无</t>
        </is>
      </c>
      <c r="AB599" s="12">
        <f>AE598</f>
        <v/>
      </c>
      <c r="AC599" s="12" t="n">
        <v>0</v>
      </c>
      <c r="AD599" s="12" t="n">
        <v>0</v>
      </c>
      <c r="AE599" s="12">
        <f>AB599+AC599+AD599</f>
        <v/>
      </c>
      <c r="AF599" s="13">
        <f>AI598</f>
        <v/>
      </c>
      <c r="AG599" s="13" t="n">
        <v>0</v>
      </c>
      <c r="AH599" s="13" t="n">
        <v>0</v>
      </c>
      <c r="AI599" s="13">
        <f>AF599+AG599+AH599</f>
        <v/>
      </c>
      <c r="AJ599" s="14" t="n">
        <v>0</v>
      </c>
      <c r="AK599" s="14" t="n">
        <v>0</v>
      </c>
      <c r="AL599" s="14" t="n">
        <v>0</v>
      </c>
      <c r="AM599" s="14">
        <f>AJ599+AK599+AL599</f>
        <v/>
      </c>
      <c r="AN599" s="14">
        <f>AN598+AM599</f>
        <v/>
      </c>
    </row>
    <row r="600">
      <c r="A600" s="8" t="n">
        <v>24</v>
      </c>
      <c r="B600" s="8" t="n">
        <v>1</v>
      </c>
      <c r="C600" s="8" t="n">
        <v>1</v>
      </c>
      <c r="D600" s="8" t="inlineStr">
        <is>
          <t>版本免费+义相逢 + 月卡收益 [月卡续费-30元]</t>
        </is>
      </c>
      <c r="E600" s="9" t="n">
        <v>10360</v>
      </c>
      <c r="F600" s="9" t="n">
        <v>1540</v>
      </c>
      <c r="G600" s="9" t="n">
        <v>4800</v>
      </c>
      <c r="H600" s="9" t="n">
        <v>0</v>
      </c>
      <c r="I600" s="9" t="n">
        <v>0</v>
      </c>
      <c r="J600" s="9" t="n">
        <v>0</v>
      </c>
      <c r="K600" s="9">
        <f>E600+F600+G600+H600+I600-J600</f>
        <v/>
      </c>
      <c r="L600" s="10" t="n">
        <v>0</v>
      </c>
      <c r="M600" s="10" t="n">
        <v>85</v>
      </c>
      <c r="N600" s="10" t="n">
        <v>6</v>
      </c>
      <c r="O600" s="10">
        <f>J600/160</f>
        <v/>
      </c>
      <c r="P600" s="10" t="n">
        <v>60</v>
      </c>
      <c r="Q600" s="10">
        <f>L600+M600+N600+O600-P600</f>
        <v/>
      </c>
      <c r="R600" s="11" t="n">
        <v>8</v>
      </c>
      <c r="S600" s="11">
        <f>N(V600) + N(X600) + N(Z600)</f>
        <v/>
      </c>
      <c r="T600" s="11">
        <f>R600+P600-S600</f>
        <v/>
      </c>
      <c r="U600" s="11" t="inlineStr">
        <is>
          <t>是</t>
        </is>
      </c>
      <c r="V600" s="11" t="n">
        <v>51</v>
      </c>
      <c r="W600" s="11" t="inlineStr">
        <is>
          <t>否</t>
        </is>
      </c>
      <c r="X600" s="11" t="inlineStr">
        <is>
          <t>-</t>
        </is>
      </c>
      <c r="Y600" s="11" t="inlineStr">
        <is>
          <t>-</t>
        </is>
      </c>
      <c r="Z600" s="11" t="n">
        <v>0</v>
      </c>
      <c r="AA600" s="11" t="inlineStr">
        <is>
          <t>垫到60抽</t>
        </is>
      </c>
      <c r="AB600" s="12" t="n">
        <v>1232</v>
      </c>
      <c r="AC600" s="12" t="n">
        <v>4</v>
      </c>
      <c r="AD600" s="12" t="n">
        <v>0</v>
      </c>
      <c r="AE600" s="12">
        <f>AB600+AC600+AD600</f>
        <v/>
      </c>
      <c r="AF600" s="13" t="n">
        <v>180000</v>
      </c>
      <c r="AG600" s="13" t="n">
        <v>0</v>
      </c>
      <c r="AH600" s="13" t="n">
        <v>0</v>
      </c>
      <c r="AI600" s="13">
        <f>AF600+AG600+AH600</f>
        <v/>
      </c>
      <c r="AJ600" s="14" t="n">
        <v>30</v>
      </c>
      <c r="AK600" s="14" t="n">
        <v>50</v>
      </c>
      <c r="AL600" s="14" t="n">
        <v>0</v>
      </c>
      <c r="AM600" s="14">
        <f>AJ600+AK600+AL600</f>
        <v/>
      </c>
      <c r="AN600" s="14">
        <f>AM600</f>
        <v/>
      </c>
    </row>
    <row r="601">
      <c r="A601" s="8" t="n">
        <v>24</v>
      </c>
      <c r="B601" s="8" t="n">
        <v>1</v>
      </c>
      <c r="C601" s="8" t="n">
        <v>2</v>
      </c>
      <c r="D601" s="8" t="inlineStr">
        <is>
          <t>月卡收益</t>
        </is>
      </c>
      <c r="E601" s="9">
        <f>K600</f>
        <v/>
      </c>
      <c r="F601" s="9" t="n">
        <v>1540</v>
      </c>
      <c r="G601" s="9" t="n">
        <v>0</v>
      </c>
      <c r="H601" s="9" t="n">
        <v>0</v>
      </c>
      <c r="I601" s="9" t="n">
        <v>0</v>
      </c>
      <c r="J601" s="9" t="n">
        <v>8480</v>
      </c>
      <c r="K601" s="9">
        <f>E601+F601+G601+H601+I601-J601</f>
        <v/>
      </c>
      <c r="L601" s="10">
        <f>Q600</f>
        <v/>
      </c>
      <c r="M601" s="10" t="n">
        <v>0</v>
      </c>
      <c r="N601" s="10" t="n">
        <v>11</v>
      </c>
      <c r="O601" s="10">
        <f>J601/160</f>
        <v/>
      </c>
      <c r="P601" s="10" t="n">
        <v>90</v>
      </c>
      <c r="Q601" s="10">
        <f>L601+M601+N601+O601-P601</f>
        <v/>
      </c>
      <c r="R601" s="11">
        <f>T600</f>
        <v/>
      </c>
      <c r="S601" s="11">
        <f>N(V601) + N(X601) + N(Z601)</f>
        <v/>
      </c>
      <c r="T601" s="11">
        <f>R601+P601-S601</f>
        <v/>
      </c>
      <c r="U601" s="11" t="inlineStr">
        <is>
          <t>是</t>
        </is>
      </c>
      <c r="V601" s="11" t="n">
        <v>49</v>
      </c>
      <c r="W601" s="11" t="inlineStr">
        <is>
          <t>是</t>
        </is>
      </c>
      <c r="X601" s="11" t="n">
        <v>46</v>
      </c>
      <c r="Y601" s="11" t="inlineStr">
        <is>
          <t>-</t>
        </is>
      </c>
      <c r="Z601" s="11" t="n">
        <v>0</v>
      </c>
      <c r="AA601" s="11" t="inlineStr">
        <is>
          <t>垫到90抽</t>
        </is>
      </c>
      <c r="AB601" s="12">
        <f>AE600</f>
        <v/>
      </c>
      <c r="AC601" s="12" t="n">
        <v>0</v>
      </c>
      <c r="AD601" s="12" t="n">
        <v>0</v>
      </c>
      <c r="AE601" s="12">
        <f>AB601+AC601+AD601</f>
        <v/>
      </c>
      <c r="AF601" s="13">
        <f>AI600</f>
        <v/>
      </c>
      <c r="AG601" s="13" t="n">
        <v>0</v>
      </c>
      <c r="AH601" s="13" t="n">
        <v>0</v>
      </c>
      <c r="AI601" s="13">
        <f>AF601+AG601+AH601</f>
        <v/>
      </c>
      <c r="AJ601" s="14" t="n">
        <v>0</v>
      </c>
      <c r="AK601" s="14" t="n">
        <v>0</v>
      </c>
      <c r="AL601" s="14" t="n">
        <v>0</v>
      </c>
      <c r="AM601" s="14">
        <f>AJ601+AK601+AL601</f>
        <v/>
      </c>
      <c r="AN601" s="14">
        <f>AN600+AM601</f>
        <v/>
      </c>
    </row>
    <row r="602">
      <c r="A602" s="8" t="n">
        <v>24</v>
      </c>
      <c r="B602" s="8" t="n">
        <v>2</v>
      </c>
      <c r="C602" s="8" t="n">
        <v>1</v>
      </c>
      <c r="D602" s="8" t="inlineStr">
        <is>
          <t>版本免费+义相逢 + 月卡收益</t>
        </is>
      </c>
      <c r="E602" s="9">
        <f>K601</f>
        <v/>
      </c>
      <c r="F602" s="9" t="n">
        <v>1540</v>
      </c>
      <c r="G602" s="9" t="n">
        <v>4800</v>
      </c>
      <c r="H602" s="9" t="n">
        <v>0</v>
      </c>
      <c r="I602" s="9" t="n">
        <v>0</v>
      </c>
      <c r="J602" s="9" t="n">
        <v>0</v>
      </c>
      <c r="K602" s="9">
        <f>E602+F602+G602+H602+I602-J602</f>
        <v/>
      </c>
      <c r="L602" s="10">
        <f>Q601</f>
        <v/>
      </c>
      <c r="M602" s="10" t="n">
        <v>85</v>
      </c>
      <c r="N602" s="10" t="n">
        <v>11</v>
      </c>
      <c r="O602" s="10">
        <f>J602/160</f>
        <v/>
      </c>
      <c r="P602" s="10" t="n">
        <v>100</v>
      </c>
      <c r="Q602" s="10">
        <f>L602+M602+N602+O602-P602</f>
        <v/>
      </c>
      <c r="R602" s="11">
        <f>T601</f>
        <v/>
      </c>
      <c r="S602" s="11">
        <f>N(V602) + N(X602) + N(Z602)</f>
        <v/>
      </c>
      <c r="T602" s="11">
        <f>R602+P602-S602</f>
        <v/>
      </c>
      <c r="U602" s="11" t="inlineStr">
        <is>
          <t>是</t>
        </is>
      </c>
      <c r="V602" s="11" t="n">
        <v>48</v>
      </c>
      <c r="W602" s="11" t="inlineStr">
        <is>
          <t>是</t>
        </is>
      </c>
      <c r="X602" s="11" t="n">
        <v>56</v>
      </c>
      <c r="Y602" s="11" t="inlineStr">
        <is>
          <t>-</t>
        </is>
      </c>
      <c r="Z602" s="11" t="n">
        <v>0</v>
      </c>
      <c r="AA602" s="11" t="inlineStr">
        <is>
          <t>无</t>
        </is>
      </c>
      <c r="AB602" s="12">
        <f>AE601</f>
        <v/>
      </c>
      <c r="AC602" s="12" t="n">
        <v>4</v>
      </c>
      <c r="AD602" s="12" t="n">
        <v>0</v>
      </c>
      <c r="AE602" s="12">
        <f>AB602+AC602+AD602</f>
        <v/>
      </c>
      <c r="AF602" s="13">
        <f>AI601</f>
        <v/>
      </c>
      <c r="AG602" s="13" t="n">
        <v>0</v>
      </c>
      <c r="AH602" s="13" t="n">
        <v>0</v>
      </c>
      <c r="AI602" s="13">
        <f>AF602+AG602+AH602</f>
        <v/>
      </c>
      <c r="AJ602" s="14" t="n">
        <v>0</v>
      </c>
      <c r="AK602" s="14" t="n">
        <v>50</v>
      </c>
      <c r="AL602" s="14" t="n">
        <v>0</v>
      </c>
      <c r="AM602" s="14">
        <f>AJ602+AK602+AL602</f>
        <v/>
      </c>
      <c r="AN602" s="14">
        <f>AN601+AM602</f>
        <v/>
      </c>
    </row>
    <row r="603">
      <c r="A603" s="8" t="n">
        <v>24</v>
      </c>
      <c r="B603" s="8" t="n">
        <v>2</v>
      </c>
      <c r="C603" s="8" t="n">
        <v>2</v>
      </c>
      <c r="D603" s="8" t="inlineStr">
        <is>
          <t>月卡收益 [月卡续费-30元]</t>
        </is>
      </c>
      <c r="E603" s="9">
        <f>K602</f>
        <v/>
      </c>
      <c r="F603" s="9" t="n">
        <v>1540</v>
      </c>
      <c r="G603" s="9" t="n">
        <v>0</v>
      </c>
      <c r="H603" s="9" t="n">
        <v>0</v>
      </c>
      <c r="I603" s="9" t="n">
        <v>0</v>
      </c>
      <c r="J603" s="9" t="n">
        <v>8960</v>
      </c>
      <c r="K603" s="9">
        <f>E603+F603+G603+H603+I603-J603</f>
        <v/>
      </c>
      <c r="L603" s="10">
        <f>Q602</f>
        <v/>
      </c>
      <c r="M603" s="10" t="n">
        <v>0</v>
      </c>
      <c r="N603" s="10" t="n">
        <v>6</v>
      </c>
      <c r="O603" s="10">
        <f>J603/160</f>
        <v/>
      </c>
      <c r="P603" s="10" t="n">
        <v>60</v>
      </c>
      <c r="Q603" s="10">
        <f>L603+M603+N603+O603-P603</f>
        <v/>
      </c>
      <c r="R603" s="11">
        <f>T602</f>
        <v/>
      </c>
      <c r="S603" s="11">
        <f>N(V603) + N(X603) + N(Z603)</f>
        <v/>
      </c>
      <c r="T603" s="11">
        <f>R603+P603-S603</f>
        <v/>
      </c>
      <c r="U603" s="11" t="inlineStr">
        <is>
          <t>是</t>
        </is>
      </c>
      <c r="V603" s="11" t="n">
        <v>52</v>
      </c>
      <c r="W603" s="11" t="inlineStr">
        <is>
          <t>否</t>
        </is>
      </c>
      <c r="X603" s="11" t="inlineStr">
        <is>
          <t>-</t>
        </is>
      </c>
      <c r="Y603" s="11" t="inlineStr">
        <is>
          <t>-</t>
        </is>
      </c>
      <c r="Z603" s="11" t="n">
        <v>0</v>
      </c>
      <c r="AA603" s="11" t="inlineStr">
        <is>
          <t>垫到60抽</t>
        </is>
      </c>
      <c r="AB603" s="12">
        <f>AE602</f>
        <v/>
      </c>
      <c r="AC603" s="12" t="n">
        <v>0</v>
      </c>
      <c r="AD603" s="12" t="n">
        <v>0</v>
      </c>
      <c r="AE603" s="12">
        <f>AB603+AC603+AD603</f>
        <v/>
      </c>
      <c r="AF603" s="13">
        <f>AI602</f>
        <v/>
      </c>
      <c r="AG603" s="13" t="n">
        <v>0</v>
      </c>
      <c r="AH603" s="13" t="n">
        <v>0</v>
      </c>
      <c r="AI603" s="13">
        <f>AF603+AG603+AH603</f>
        <v/>
      </c>
      <c r="AJ603" s="14" t="n">
        <v>30</v>
      </c>
      <c r="AK603" s="14" t="n">
        <v>0</v>
      </c>
      <c r="AL603" s="14" t="n">
        <v>0</v>
      </c>
      <c r="AM603" s="14">
        <f>AJ603+AK603+AL603</f>
        <v/>
      </c>
      <c r="AN603" s="14">
        <f>AN602+AM603</f>
        <v/>
      </c>
    </row>
    <row r="604">
      <c r="A604" s="8" t="n">
        <v>24</v>
      </c>
      <c r="B604" s="8" t="n">
        <v>3</v>
      </c>
      <c r="C604" s="8" t="n">
        <v>1</v>
      </c>
      <c r="D604" s="8" t="inlineStr">
        <is>
          <t>版本免费+义相逢 + 月卡收益</t>
        </is>
      </c>
      <c r="E604" s="9">
        <f>K603</f>
        <v/>
      </c>
      <c r="F604" s="9" t="n">
        <v>1540</v>
      </c>
      <c r="G604" s="9" t="n">
        <v>4800</v>
      </c>
      <c r="H604" s="9" t="n">
        <v>0</v>
      </c>
      <c r="I604" s="9" t="n">
        <v>0</v>
      </c>
      <c r="J604" s="9" t="n">
        <v>0</v>
      </c>
      <c r="K604" s="9">
        <f>E604+F604+G604+H604+I604-J604</f>
        <v/>
      </c>
      <c r="L604" s="10">
        <f>Q603</f>
        <v/>
      </c>
      <c r="M604" s="10" t="n">
        <v>85</v>
      </c>
      <c r="N604" s="10" t="n">
        <v>11</v>
      </c>
      <c r="O604" s="10">
        <f>J604/160</f>
        <v/>
      </c>
      <c r="P604" s="10" t="n">
        <v>90</v>
      </c>
      <c r="Q604" s="10">
        <f>L604+M604+N604+O604-P604</f>
        <v/>
      </c>
      <c r="R604" s="11">
        <f>T603</f>
        <v/>
      </c>
      <c r="S604" s="11">
        <f>N(V604) + N(X604) + N(Z604)</f>
        <v/>
      </c>
      <c r="T604" s="11">
        <f>R604+P604-S604</f>
        <v/>
      </c>
      <c r="U604" s="11" t="inlineStr">
        <is>
          <t>是</t>
        </is>
      </c>
      <c r="V604" s="11" t="n">
        <v>48</v>
      </c>
      <c r="W604" s="11" t="inlineStr">
        <is>
          <t>是</t>
        </is>
      </c>
      <c r="X604" s="11" t="n">
        <v>53</v>
      </c>
      <c r="Y604" s="11" t="inlineStr">
        <is>
          <t>歪(2)</t>
        </is>
      </c>
      <c r="Z604" s="11" t="n">
        <v>2</v>
      </c>
      <c r="AA604" s="11" t="inlineStr">
        <is>
          <t>无</t>
        </is>
      </c>
      <c r="AB604" s="12">
        <f>AE603</f>
        <v/>
      </c>
      <c r="AC604" s="12" t="n">
        <v>4</v>
      </c>
      <c r="AD604" s="12" t="n">
        <v>0</v>
      </c>
      <c r="AE604" s="12">
        <f>AB604+AC604+AD604</f>
        <v/>
      </c>
      <c r="AF604" s="13">
        <f>AI603</f>
        <v/>
      </c>
      <c r="AG604" s="13" t="n">
        <v>0</v>
      </c>
      <c r="AH604" s="13" t="n">
        <v>0</v>
      </c>
      <c r="AI604" s="13">
        <f>AF604+AG604+AH604</f>
        <v/>
      </c>
      <c r="AJ604" s="14" t="n">
        <v>0</v>
      </c>
      <c r="AK604" s="14" t="n">
        <v>50</v>
      </c>
      <c r="AL604" s="14" t="n">
        <v>0</v>
      </c>
      <c r="AM604" s="14">
        <f>AJ604+AK604+AL604</f>
        <v/>
      </c>
      <c r="AN604" s="14">
        <f>AN603+AM604</f>
        <v/>
      </c>
    </row>
    <row r="605">
      <c r="A605" s="8" t="n">
        <v>24</v>
      </c>
      <c r="B605" s="8" t="n">
        <v>3</v>
      </c>
      <c r="C605" s="8" t="n">
        <v>2</v>
      </c>
      <c r="D605" s="8" t="inlineStr">
        <is>
          <t>月卡收益 [月卡续费-30元]</t>
        </is>
      </c>
      <c r="E605" s="9">
        <f>K604</f>
        <v/>
      </c>
      <c r="F605" s="9" t="n">
        <v>1540</v>
      </c>
      <c r="G605" s="9" t="n">
        <v>0</v>
      </c>
      <c r="H605" s="9" t="n">
        <v>0</v>
      </c>
      <c r="I605" s="9" t="n">
        <v>0</v>
      </c>
      <c r="J605" s="9" t="n">
        <v>7680</v>
      </c>
      <c r="K605" s="9">
        <f>E605+F605+G605+H605+I605-J605</f>
        <v/>
      </c>
      <c r="L605" s="10">
        <f>Q604</f>
        <v/>
      </c>
      <c r="M605" s="10" t="n">
        <v>0</v>
      </c>
      <c r="N605" s="10" t="n">
        <v>6</v>
      </c>
      <c r="O605" s="10">
        <f>J605/160</f>
        <v/>
      </c>
      <c r="P605" s="10" t="n">
        <v>60</v>
      </c>
      <c r="Q605" s="10">
        <f>L605+M605+N605+O605-P605</f>
        <v/>
      </c>
      <c r="R605" s="11">
        <f>T604</f>
        <v/>
      </c>
      <c r="S605" s="11">
        <f>N(V605) + N(X605) + N(Z605)</f>
        <v/>
      </c>
      <c r="T605" s="11">
        <f>R605+P605-S605</f>
        <v/>
      </c>
      <c r="U605" s="11" t="inlineStr">
        <is>
          <t>是</t>
        </is>
      </c>
      <c r="V605" s="11" t="n">
        <v>50</v>
      </c>
      <c r="W605" s="11" t="inlineStr">
        <is>
          <t>否</t>
        </is>
      </c>
      <c r="X605" s="11" t="inlineStr">
        <is>
          <t>-</t>
        </is>
      </c>
      <c r="Y605" s="11" t="inlineStr">
        <is>
          <t>-</t>
        </is>
      </c>
      <c r="Z605" s="11" t="n">
        <v>0</v>
      </c>
      <c r="AA605" s="11" t="inlineStr">
        <is>
          <t>垫到60抽</t>
        </is>
      </c>
      <c r="AB605" s="12">
        <f>AE604</f>
        <v/>
      </c>
      <c r="AC605" s="12" t="n">
        <v>0</v>
      </c>
      <c r="AD605" s="12" t="n">
        <v>0</v>
      </c>
      <c r="AE605" s="12">
        <f>AB605+AC605+AD605</f>
        <v/>
      </c>
      <c r="AF605" s="13">
        <f>AI604</f>
        <v/>
      </c>
      <c r="AG605" s="13" t="n">
        <v>0</v>
      </c>
      <c r="AH605" s="13" t="n">
        <v>0</v>
      </c>
      <c r="AI605" s="13">
        <f>AF605+AG605+AH605</f>
        <v/>
      </c>
      <c r="AJ605" s="14" t="n">
        <v>30</v>
      </c>
      <c r="AK605" s="14" t="n">
        <v>0</v>
      </c>
      <c r="AL605" s="14" t="n">
        <v>0</v>
      </c>
      <c r="AM605" s="14">
        <f>AJ605+AK605+AL605</f>
        <v/>
      </c>
      <c r="AN605" s="14">
        <f>AN604+AM605</f>
        <v/>
      </c>
    </row>
    <row r="606">
      <c r="A606" s="8" t="n">
        <v>24</v>
      </c>
      <c r="B606" s="8" t="n">
        <v>4</v>
      </c>
      <c r="C606" s="8" t="n">
        <v>1</v>
      </c>
      <c r="D606" s="8" t="inlineStr">
        <is>
          <t>版本免费+义相逢 + 月卡收益</t>
        </is>
      </c>
      <c r="E606" s="9">
        <f>K605</f>
        <v/>
      </c>
      <c r="F606" s="9" t="n">
        <v>1540</v>
      </c>
      <c r="G606" s="9" t="n">
        <v>4800</v>
      </c>
      <c r="H606" s="9" t="n">
        <v>0</v>
      </c>
      <c r="I606" s="9" t="n">
        <v>0</v>
      </c>
      <c r="J606" s="9" t="n">
        <v>0</v>
      </c>
      <c r="K606" s="9">
        <f>E606+F606+G606+H606+I606-J606</f>
        <v/>
      </c>
      <c r="L606" s="10">
        <f>Q605</f>
        <v/>
      </c>
      <c r="M606" s="10" t="n">
        <v>85</v>
      </c>
      <c r="N606" s="10" t="n">
        <v>3</v>
      </c>
      <c r="O606" s="10">
        <f>J606/160</f>
        <v/>
      </c>
      <c r="P606" s="10" t="n">
        <v>40</v>
      </c>
      <c r="Q606" s="10">
        <f>L606+M606+N606+O606-P606</f>
        <v/>
      </c>
      <c r="R606" s="11">
        <f>T605</f>
        <v/>
      </c>
      <c r="S606" s="11">
        <f>N(V606) + N(X606) + N(Z606)</f>
        <v/>
      </c>
      <c r="T606" s="11">
        <f>R606+P606-S606</f>
        <v/>
      </c>
      <c r="U606" s="11" t="inlineStr">
        <is>
          <t>是</t>
        </is>
      </c>
      <c r="V606" s="11" t="n">
        <v>50</v>
      </c>
      <c r="W606" s="11" t="inlineStr">
        <is>
          <t>否</t>
        </is>
      </c>
      <c r="X606" s="11" t="inlineStr">
        <is>
          <t>-</t>
        </is>
      </c>
      <c r="Y606" s="11" t="inlineStr">
        <is>
          <t>-</t>
        </is>
      </c>
      <c r="Z606" s="11" t="n">
        <v>0</v>
      </c>
      <c r="AA606" s="11" t="inlineStr">
        <is>
          <t>无</t>
        </is>
      </c>
      <c r="AB606" s="12">
        <f>AE605</f>
        <v/>
      </c>
      <c r="AC606" s="12" t="n">
        <v>4</v>
      </c>
      <c r="AD606" s="12" t="n">
        <v>0</v>
      </c>
      <c r="AE606" s="12">
        <f>AB606+AC606+AD606</f>
        <v/>
      </c>
      <c r="AF606" s="13">
        <f>AI605</f>
        <v/>
      </c>
      <c r="AG606" s="13" t="n">
        <v>0</v>
      </c>
      <c r="AH606" s="13" t="n">
        <v>0</v>
      </c>
      <c r="AI606" s="13">
        <f>AF606+AG606+AH606</f>
        <v/>
      </c>
      <c r="AJ606" s="14" t="n">
        <v>0</v>
      </c>
      <c r="AK606" s="14" t="n">
        <v>50</v>
      </c>
      <c r="AL606" s="14" t="n">
        <v>0</v>
      </c>
      <c r="AM606" s="14">
        <f>AJ606+AK606+AL606</f>
        <v/>
      </c>
      <c r="AN606" s="14">
        <f>AN605+AM606</f>
        <v/>
      </c>
    </row>
    <row r="607">
      <c r="A607" s="8" t="n">
        <v>24</v>
      </c>
      <c r="B607" s="8" t="n">
        <v>4</v>
      </c>
      <c r="C607" s="8" t="n">
        <v>2</v>
      </c>
      <c r="D607" s="8" t="inlineStr">
        <is>
          <t>月卡收益 [月卡续费-30元]</t>
        </is>
      </c>
      <c r="E607" s="9">
        <f>K606</f>
        <v/>
      </c>
      <c r="F607" s="9" t="n">
        <v>1540</v>
      </c>
      <c r="G607" s="9" t="n">
        <v>0</v>
      </c>
      <c r="H607" s="9" t="n">
        <v>0</v>
      </c>
      <c r="I607" s="9" t="n">
        <v>0</v>
      </c>
      <c r="J607" s="9" t="n">
        <v>960</v>
      </c>
      <c r="K607" s="9">
        <f>E607+F607+G607+H607+I607-J607</f>
        <v/>
      </c>
      <c r="L607" s="10">
        <f>Q606</f>
        <v/>
      </c>
      <c r="M607" s="10" t="n">
        <v>0</v>
      </c>
      <c r="N607" s="10" t="n">
        <v>6</v>
      </c>
      <c r="O607" s="10">
        <f>J607/160</f>
        <v/>
      </c>
      <c r="P607" s="10" t="n">
        <v>60</v>
      </c>
      <c r="Q607" s="10">
        <f>L607+M607+N607+O607-P607</f>
        <v/>
      </c>
      <c r="R607" s="11">
        <f>T606</f>
        <v/>
      </c>
      <c r="S607" s="11">
        <f>N(V607) + N(X607) + N(Z607)</f>
        <v/>
      </c>
      <c r="T607" s="11">
        <f>R607+P607-S607</f>
        <v/>
      </c>
      <c r="U607" s="11" t="inlineStr">
        <is>
          <t>是</t>
        </is>
      </c>
      <c r="V607" s="11" t="n">
        <v>53</v>
      </c>
      <c r="W607" s="11" t="inlineStr">
        <is>
          <t>否</t>
        </is>
      </c>
      <c r="X607" s="11" t="inlineStr">
        <is>
          <t>-</t>
        </is>
      </c>
      <c r="Y607" s="11" t="inlineStr">
        <is>
          <t>-</t>
        </is>
      </c>
      <c r="Z607" s="11" t="n">
        <v>0</v>
      </c>
      <c r="AA607" s="11" t="inlineStr">
        <is>
          <t>垫到60抽</t>
        </is>
      </c>
      <c r="AB607" s="12">
        <f>AE606</f>
        <v/>
      </c>
      <c r="AC607" s="12" t="n">
        <v>0</v>
      </c>
      <c r="AD607" s="12" t="n">
        <v>0</v>
      </c>
      <c r="AE607" s="12">
        <f>AB607+AC607+AD607</f>
        <v/>
      </c>
      <c r="AF607" s="13">
        <f>AI606</f>
        <v/>
      </c>
      <c r="AG607" s="13" t="n">
        <v>0</v>
      </c>
      <c r="AH607" s="13" t="n">
        <v>0</v>
      </c>
      <c r="AI607" s="13">
        <f>AF607+AG607+AH607</f>
        <v/>
      </c>
      <c r="AJ607" s="14" t="n">
        <v>30</v>
      </c>
      <c r="AK607" s="14" t="n">
        <v>0</v>
      </c>
      <c r="AL607" s="14" t="n">
        <v>0</v>
      </c>
      <c r="AM607" s="14">
        <f>AJ607+AK607+AL607</f>
        <v/>
      </c>
      <c r="AN607" s="14">
        <f>AN606+AM607</f>
        <v/>
      </c>
    </row>
    <row r="608">
      <c r="A608" s="8" t="n">
        <v>24</v>
      </c>
      <c r="B608" s="8" t="n">
        <v>5</v>
      </c>
      <c r="C608" s="8" t="n">
        <v>1</v>
      </c>
      <c r="D608" s="8" t="inlineStr">
        <is>
          <t>版本免费+义相逢 + 月卡收益</t>
        </is>
      </c>
      <c r="E608" s="9">
        <f>K607</f>
        <v/>
      </c>
      <c r="F608" s="9" t="n">
        <v>1540</v>
      </c>
      <c r="G608" s="9" t="n">
        <v>4800</v>
      </c>
      <c r="H608" s="9" t="n">
        <v>0</v>
      </c>
      <c r="I608" s="9" t="n">
        <v>0</v>
      </c>
      <c r="J608" s="9" t="n">
        <v>0</v>
      </c>
      <c r="K608" s="9">
        <f>E608+F608+G608+H608+I608-J608</f>
        <v/>
      </c>
      <c r="L608" s="10">
        <f>Q607</f>
        <v/>
      </c>
      <c r="M608" s="10" t="n">
        <v>85</v>
      </c>
      <c r="N608" s="10" t="n">
        <v>3</v>
      </c>
      <c r="O608" s="10">
        <f>J608/160</f>
        <v/>
      </c>
      <c r="P608" s="10" t="n">
        <v>40</v>
      </c>
      <c r="Q608" s="10">
        <f>L608+M608+N608+O608-P608</f>
        <v/>
      </c>
      <c r="R608" s="11">
        <f>T607</f>
        <v/>
      </c>
      <c r="S608" s="11">
        <f>N(V608) + N(X608) + N(Z608)</f>
        <v/>
      </c>
      <c r="T608" s="11">
        <f>R608+P608-S608</f>
        <v/>
      </c>
      <c r="U608" s="11" t="inlineStr">
        <is>
          <t>是</t>
        </is>
      </c>
      <c r="V608" s="11" t="n">
        <v>49</v>
      </c>
      <c r="W608" s="11" t="inlineStr">
        <is>
          <t>否</t>
        </is>
      </c>
      <c r="X608" s="11" t="inlineStr">
        <is>
          <t>-</t>
        </is>
      </c>
      <c r="Y608" s="11" t="inlineStr">
        <is>
          <t>-</t>
        </is>
      </c>
      <c r="Z608" s="11" t="n">
        <v>0</v>
      </c>
      <c r="AA608" s="11" t="inlineStr">
        <is>
          <t>无</t>
        </is>
      </c>
      <c r="AB608" s="12">
        <f>AE607</f>
        <v/>
      </c>
      <c r="AC608" s="12" t="n">
        <v>4</v>
      </c>
      <c r="AD608" s="12" t="n">
        <v>0</v>
      </c>
      <c r="AE608" s="12">
        <f>AB608+AC608+AD608</f>
        <v/>
      </c>
      <c r="AF608" s="13">
        <f>AI607</f>
        <v/>
      </c>
      <c r="AG608" s="13" t="n">
        <v>0</v>
      </c>
      <c r="AH608" s="13" t="n">
        <v>0</v>
      </c>
      <c r="AI608" s="13">
        <f>AF608+AG608+AH608</f>
        <v/>
      </c>
      <c r="AJ608" s="14" t="n">
        <v>0</v>
      </c>
      <c r="AK608" s="14" t="n">
        <v>50</v>
      </c>
      <c r="AL608" s="14" t="n">
        <v>0</v>
      </c>
      <c r="AM608" s="14">
        <f>AJ608+AK608+AL608</f>
        <v/>
      </c>
      <c r="AN608" s="14">
        <f>AN607+AM608</f>
        <v/>
      </c>
    </row>
    <row r="609">
      <c r="A609" s="8" t="n">
        <v>24</v>
      </c>
      <c r="B609" s="8" t="n">
        <v>5</v>
      </c>
      <c r="C609" s="8" t="n">
        <v>2</v>
      </c>
      <c r="D609" s="8" t="inlineStr">
        <is>
          <t>月卡收益 [月卡续费-30元]</t>
        </is>
      </c>
      <c r="E609" s="9">
        <f>K608</f>
        <v/>
      </c>
      <c r="F609" s="9" t="n">
        <v>1540</v>
      </c>
      <c r="G609" s="9" t="n">
        <v>0</v>
      </c>
      <c r="H609" s="9" t="n">
        <v>0</v>
      </c>
      <c r="I609" s="9" t="n">
        <v>0</v>
      </c>
      <c r="J609" s="9" t="n">
        <v>960</v>
      </c>
      <c r="K609" s="9">
        <f>E609+F609+G609+H609+I609-J609</f>
        <v/>
      </c>
      <c r="L609" s="10">
        <f>Q608</f>
        <v/>
      </c>
      <c r="M609" s="10" t="n">
        <v>0</v>
      </c>
      <c r="N609" s="10" t="n">
        <v>6</v>
      </c>
      <c r="O609" s="10">
        <f>J609/160</f>
        <v/>
      </c>
      <c r="P609" s="10" t="n">
        <v>60</v>
      </c>
      <c r="Q609" s="10">
        <f>L609+M609+N609+O609-P609</f>
        <v/>
      </c>
      <c r="R609" s="11">
        <f>T608</f>
        <v/>
      </c>
      <c r="S609" s="11">
        <f>N(V609) + N(X609) + N(Z609)</f>
        <v/>
      </c>
      <c r="T609" s="11">
        <f>R609+P609-S609</f>
        <v/>
      </c>
      <c r="U609" s="11" t="inlineStr">
        <is>
          <t>是</t>
        </is>
      </c>
      <c r="V609" s="11" t="n">
        <v>48</v>
      </c>
      <c r="W609" s="11" t="inlineStr">
        <is>
          <t>否</t>
        </is>
      </c>
      <c r="X609" s="11" t="inlineStr">
        <is>
          <t>-</t>
        </is>
      </c>
      <c r="Y609" s="11" t="inlineStr">
        <is>
          <t>-</t>
        </is>
      </c>
      <c r="Z609" s="11" t="n">
        <v>0</v>
      </c>
      <c r="AA609" s="11" t="inlineStr">
        <is>
          <t>垫到60抽</t>
        </is>
      </c>
      <c r="AB609" s="12">
        <f>AE608</f>
        <v/>
      </c>
      <c r="AC609" s="12" t="n">
        <v>0</v>
      </c>
      <c r="AD609" s="12" t="n">
        <v>0</v>
      </c>
      <c r="AE609" s="12">
        <f>AB609+AC609+AD609</f>
        <v/>
      </c>
      <c r="AF609" s="13">
        <f>AI608</f>
        <v/>
      </c>
      <c r="AG609" s="13" t="n">
        <v>0</v>
      </c>
      <c r="AH609" s="13" t="n">
        <v>0</v>
      </c>
      <c r="AI609" s="13">
        <f>AF609+AG609+AH609</f>
        <v/>
      </c>
      <c r="AJ609" s="14" t="n">
        <v>30</v>
      </c>
      <c r="AK609" s="14" t="n">
        <v>0</v>
      </c>
      <c r="AL609" s="14" t="n">
        <v>0</v>
      </c>
      <c r="AM609" s="14">
        <f>AJ609+AK609+AL609</f>
        <v/>
      </c>
      <c r="AN609" s="14">
        <f>AN608+AM609</f>
        <v/>
      </c>
    </row>
    <row r="610">
      <c r="A610" s="8" t="n">
        <v>24</v>
      </c>
      <c r="B610" s="8" t="n">
        <v>6</v>
      </c>
      <c r="C610" s="8" t="n">
        <v>1</v>
      </c>
      <c r="D610" s="8" t="inlineStr">
        <is>
          <t>版本免费+义相逢 + 月卡收益</t>
        </is>
      </c>
      <c r="E610" s="9">
        <f>K609</f>
        <v/>
      </c>
      <c r="F610" s="9" t="n">
        <v>1540</v>
      </c>
      <c r="G610" s="9" t="n">
        <v>4800</v>
      </c>
      <c r="H610" s="9" t="n">
        <v>0</v>
      </c>
      <c r="I610" s="9" t="n">
        <v>0</v>
      </c>
      <c r="J610" s="9" t="n">
        <v>0</v>
      </c>
      <c r="K610" s="9">
        <f>E610+F610+G610+H610+I610-J610</f>
        <v/>
      </c>
      <c r="L610" s="10">
        <f>Q609</f>
        <v/>
      </c>
      <c r="M610" s="10" t="n">
        <v>85</v>
      </c>
      <c r="N610" s="10" t="n">
        <v>3</v>
      </c>
      <c r="O610" s="10">
        <f>J610/160</f>
        <v/>
      </c>
      <c r="P610" s="10" t="n">
        <v>40</v>
      </c>
      <c r="Q610" s="10">
        <f>L610+M610+N610+O610-P610</f>
        <v/>
      </c>
      <c r="R610" s="11">
        <f>T609</f>
        <v/>
      </c>
      <c r="S610" s="11">
        <f>N(V610) + N(X610) + N(Z610)</f>
        <v/>
      </c>
      <c r="T610" s="11">
        <f>R610+P610-S610</f>
        <v/>
      </c>
      <c r="U610" s="11" t="inlineStr">
        <is>
          <t>是</t>
        </is>
      </c>
      <c r="V610" s="11" t="n">
        <v>3</v>
      </c>
      <c r="W610" s="11" t="inlineStr">
        <is>
          <t>是</t>
        </is>
      </c>
      <c r="X610" s="11" t="n">
        <v>48</v>
      </c>
      <c r="Y610" s="11" t="inlineStr">
        <is>
          <t>-</t>
        </is>
      </c>
      <c r="Z610" s="11" t="n">
        <v>0</v>
      </c>
      <c r="AA610" s="11" t="inlineStr">
        <is>
          <t>无</t>
        </is>
      </c>
      <c r="AB610" s="12">
        <f>AE609</f>
        <v/>
      </c>
      <c r="AC610" s="12" t="n">
        <v>4</v>
      </c>
      <c r="AD610" s="12" t="n">
        <v>0</v>
      </c>
      <c r="AE610" s="12">
        <f>AB610+AC610+AD610</f>
        <v/>
      </c>
      <c r="AF610" s="13">
        <f>AI609</f>
        <v/>
      </c>
      <c r="AG610" s="13" t="n">
        <v>0</v>
      </c>
      <c r="AH610" s="13" t="n">
        <v>0</v>
      </c>
      <c r="AI610" s="13">
        <f>AF610+AG610+AH610</f>
        <v/>
      </c>
      <c r="AJ610" s="14" t="n">
        <v>0</v>
      </c>
      <c r="AK610" s="14" t="n">
        <v>50</v>
      </c>
      <c r="AL610" s="14" t="n">
        <v>0</v>
      </c>
      <c r="AM610" s="14">
        <f>AJ610+AK610+AL610</f>
        <v/>
      </c>
      <c r="AN610" s="14">
        <f>AN609+AM610</f>
        <v/>
      </c>
    </row>
    <row r="611">
      <c r="A611" s="8" t="n">
        <v>24</v>
      </c>
      <c r="B611" s="8" t="n">
        <v>6</v>
      </c>
      <c r="C611" s="8" t="n">
        <v>2</v>
      </c>
      <c r="D611" s="8" t="inlineStr">
        <is>
          <t>月卡收益 [月卡续费-30元]</t>
        </is>
      </c>
      <c r="E611" s="9">
        <f>K610</f>
        <v/>
      </c>
      <c r="F611" s="9" t="n">
        <v>1540</v>
      </c>
      <c r="G611" s="9" t="n">
        <v>0</v>
      </c>
      <c r="H611" s="9" t="n">
        <v>0</v>
      </c>
      <c r="I611" s="9" t="n">
        <v>0</v>
      </c>
      <c r="J611" s="9" t="n">
        <v>6080</v>
      </c>
      <c r="K611" s="9">
        <f>E611+F611+G611+H611+I611-J611</f>
        <v/>
      </c>
      <c r="L611" s="10">
        <f>Q610</f>
        <v/>
      </c>
      <c r="M611" s="10" t="n">
        <v>0</v>
      </c>
      <c r="N611" s="10" t="n">
        <v>11</v>
      </c>
      <c r="O611" s="10">
        <f>J611/160</f>
        <v/>
      </c>
      <c r="P611" s="10" t="n">
        <v>100</v>
      </c>
      <c r="Q611" s="10">
        <f>L611+M611+N611+O611-P611</f>
        <v/>
      </c>
      <c r="R611" s="11">
        <f>T610</f>
        <v/>
      </c>
      <c r="S611" s="11">
        <f>N(V611) + N(X611) + N(Z611)</f>
        <v/>
      </c>
      <c r="T611" s="11">
        <f>R611+P611-S611</f>
        <v/>
      </c>
      <c r="U611" s="11" t="inlineStr">
        <is>
          <t>是</t>
        </is>
      </c>
      <c r="V611" s="11" t="n">
        <v>47</v>
      </c>
      <c r="W611" s="11" t="inlineStr">
        <is>
          <t>是</t>
        </is>
      </c>
      <c r="X611" s="11" t="n">
        <v>48</v>
      </c>
      <c r="Y611" s="11" t="inlineStr">
        <is>
          <t>-</t>
        </is>
      </c>
      <c r="Z611" s="11" t="n">
        <v>0</v>
      </c>
      <c r="AA611" s="11" t="inlineStr">
        <is>
          <t>无</t>
        </is>
      </c>
      <c r="AB611" s="12">
        <f>AE610</f>
        <v/>
      </c>
      <c r="AC611" s="12" t="n">
        <v>0</v>
      </c>
      <c r="AD611" s="12" t="n">
        <v>0</v>
      </c>
      <c r="AE611" s="12">
        <f>AB611+AC611+AD611</f>
        <v/>
      </c>
      <c r="AF611" s="13">
        <f>AI610</f>
        <v/>
      </c>
      <c r="AG611" s="13" t="n">
        <v>0</v>
      </c>
      <c r="AH611" s="13" t="n">
        <v>0</v>
      </c>
      <c r="AI611" s="13">
        <f>AF611+AG611+AH611</f>
        <v/>
      </c>
      <c r="AJ611" s="14" t="n">
        <v>30</v>
      </c>
      <c r="AK611" s="14" t="n">
        <v>0</v>
      </c>
      <c r="AL611" s="14" t="n">
        <v>0</v>
      </c>
      <c r="AM611" s="14">
        <f>AJ611+AK611+AL611</f>
        <v/>
      </c>
      <c r="AN611" s="14">
        <f>AN610+AM611</f>
        <v/>
      </c>
    </row>
    <row r="612">
      <c r="A612" s="8" t="n">
        <v>24</v>
      </c>
      <c r="B612" s="8" t="n">
        <v>7</v>
      </c>
      <c r="C612" s="8" t="n">
        <v>1</v>
      </c>
      <c r="D612" s="8" t="inlineStr">
        <is>
          <t>版本免费+义相逢 + 月卡收益</t>
        </is>
      </c>
      <c r="E612" s="9">
        <f>K611</f>
        <v/>
      </c>
      <c r="F612" s="9" t="n">
        <v>1540</v>
      </c>
      <c r="G612" s="9" t="n">
        <v>4800</v>
      </c>
      <c r="H612" s="9" t="n">
        <v>0</v>
      </c>
      <c r="I612" s="9" t="n">
        <v>0</v>
      </c>
      <c r="J612" s="9" t="n">
        <v>0</v>
      </c>
      <c r="K612" s="9">
        <f>E612+F612+G612+H612+I612-J612</f>
        <v/>
      </c>
      <c r="L612" s="10">
        <f>Q611</f>
        <v/>
      </c>
      <c r="M612" s="10" t="n">
        <v>85</v>
      </c>
      <c r="N612" s="10" t="n">
        <v>3</v>
      </c>
      <c r="O612" s="10">
        <f>J612/160</f>
        <v/>
      </c>
      <c r="P612" s="10" t="n">
        <v>40</v>
      </c>
      <c r="Q612" s="10">
        <f>L612+M612+N612+O612-P612</f>
        <v/>
      </c>
      <c r="R612" s="11">
        <f>T611</f>
        <v/>
      </c>
      <c r="S612" s="11">
        <f>N(V612) + N(X612) + N(Z612)</f>
        <v/>
      </c>
      <c r="T612" s="11">
        <f>R612+P612-S612</f>
        <v/>
      </c>
      <c r="U612" s="11" t="inlineStr">
        <is>
          <t>是</t>
        </is>
      </c>
      <c r="V612" s="11" t="n">
        <v>47</v>
      </c>
      <c r="W612" s="11" t="inlineStr">
        <is>
          <t>否</t>
        </is>
      </c>
      <c r="X612" s="11" t="inlineStr">
        <is>
          <t>-</t>
        </is>
      </c>
      <c r="Y612" s="11" t="inlineStr">
        <is>
          <t>-</t>
        </is>
      </c>
      <c r="Z612" s="11" t="n">
        <v>0</v>
      </c>
      <c r="AA612" s="11" t="inlineStr">
        <is>
          <t>无</t>
        </is>
      </c>
      <c r="AB612" s="12">
        <f>AE611</f>
        <v/>
      </c>
      <c r="AC612" s="12" t="n">
        <v>4</v>
      </c>
      <c r="AD612" s="12" t="n">
        <v>0</v>
      </c>
      <c r="AE612" s="12">
        <f>AB612+AC612+AD612</f>
        <v/>
      </c>
      <c r="AF612" s="13">
        <f>AI611</f>
        <v/>
      </c>
      <c r="AG612" s="13" t="n">
        <v>0</v>
      </c>
      <c r="AH612" s="13" t="n">
        <v>0</v>
      </c>
      <c r="AI612" s="13">
        <f>AF612+AG612+AH612</f>
        <v/>
      </c>
      <c r="AJ612" s="14" t="n">
        <v>0</v>
      </c>
      <c r="AK612" s="14" t="n">
        <v>50</v>
      </c>
      <c r="AL612" s="14" t="n">
        <v>0</v>
      </c>
      <c r="AM612" s="14">
        <f>AJ612+AK612+AL612</f>
        <v/>
      </c>
      <c r="AN612" s="14">
        <f>AN611+AM612</f>
        <v/>
      </c>
    </row>
    <row r="613">
      <c r="A613" s="8" t="n">
        <v>24</v>
      </c>
      <c r="B613" s="8" t="n">
        <v>7</v>
      </c>
      <c r="C613" s="8" t="n">
        <v>2</v>
      </c>
      <c r="D613" s="8" t="inlineStr">
        <is>
          <t>月卡收益 [月卡续费-30元]</t>
        </is>
      </c>
      <c r="E613" s="9">
        <f>K612</f>
        <v/>
      </c>
      <c r="F613" s="9" t="n">
        <v>1540</v>
      </c>
      <c r="G613" s="9" t="n">
        <v>0</v>
      </c>
      <c r="H613" s="9" t="n">
        <v>0</v>
      </c>
      <c r="I613" s="9" t="n">
        <v>0</v>
      </c>
      <c r="J613" s="9" t="n">
        <v>1440</v>
      </c>
      <c r="K613" s="9">
        <f>E613+F613+G613+H613+I613-J613</f>
        <v/>
      </c>
      <c r="L613" s="10">
        <f>Q612</f>
        <v/>
      </c>
      <c r="M613" s="10" t="n">
        <v>0</v>
      </c>
      <c r="N613" s="10" t="n">
        <v>6</v>
      </c>
      <c r="O613" s="10">
        <f>J613/160</f>
        <v/>
      </c>
      <c r="P613" s="10" t="n">
        <v>60</v>
      </c>
      <c r="Q613" s="10">
        <f>L613+M613+N613+O613-P613</f>
        <v/>
      </c>
      <c r="R613" s="11">
        <f>T612</f>
        <v/>
      </c>
      <c r="S613" s="11">
        <f>N(V613) + N(X613) + N(Z613)</f>
        <v/>
      </c>
      <c r="T613" s="11">
        <f>R613+P613-S613</f>
        <v/>
      </c>
      <c r="U613" s="11" t="inlineStr">
        <is>
          <t>是</t>
        </is>
      </c>
      <c r="V613" s="11" t="n">
        <v>49</v>
      </c>
      <c r="W613" s="11" t="inlineStr">
        <is>
          <t>否</t>
        </is>
      </c>
      <c r="X613" s="11" t="inlineStr">
        <is>
          <t>-</t>
        </is>
      </c>
      <c r="Y613" s="11" t="inlineStr">
        <is>
          <t>-</t>
        </is>
      </c>
      <c r="Z613" s="11" t="n">
        <v>0</v>
      </c>
      <c r="AA613" s="11" t="inlineStr">
        <is>
          <t>垫到60抽</t>
        </is>
      </c>
      <c r="AB613" s="12">
        <f>AE612</f>
        <v/>
      </c>
      <c r="AC613" s="12" t="n">
        <v>0</v>
      </c>
      <c r="AD613" s="12" t="n">
        <v>0</v>
      </c>
      <c r="AE613" s="12">
        <f>AB613+AC613+AD613</f>
        <v/>
      </c>
      <c r="AF613" s="13">
        <f>AI612</f>
        <v/>
      </c>
      <c r="AG613" s="13" t="n">
        <v>0</v>
      </c>
      <c r="AH613" s="13" t="n">
        <v>0</v>
      </c>
      <c r="AI613" s="13">
        <f>AF613+AG613+AH613</f>
        <v/>
      </c>
      <c r="AJ613" s="14" t="n">
        <v>30</v>
      </c>
      <c r="AK613" s="14" t="n">
        <v>0</v>
      </c>
      <c r="AL613" s="14" t="n">
        <v>0</v>
      </c>
      <c r="AM613" s="14">
        <f>AJ613+AK613+AL613</f>
        <v/>
      </c>
      <c r="AN613" s="14">
        <f>AN612+AM613</f>
        <v/>
      </c>
    </row>
    <row r="614">
      <c r="A614" s="8" t="n">
        <v>24</v>
      </c>
      <c r="B614" s="8" t="n">
        <v>8</v>
      </c>
      <c r="C614" s="8" t="n">
        <v>1</v>
      </c>
      <c r="D614" s="8" t="inlineStr">
        <is>
          <t>版本免费+义相逢 + 月卡收益</t>
        </is>
      </c>
      <c r="E614" s="9">
        <f>K613</f>
        <v/>
      </c>
      <c r="F614" s="9" t="n">
        <v>1540</v>
      </c>
      <c r="G614" s="9" t="n">
        <v>4800</v>
      </c>
      <c r="H614" s="9" t="n">
        <v>0</v>
      </c>
      <c r="I614" s="9" t="n">
        <v>0</v>
      </c>
      <c r="J614" s="9" t="n">
        <v>0</v>
      </c>
      <c r="K614" s="9">
        <f>E614+F614+G614+H614+I614-J614</f>
        <v/>
      </c>
      <c r="L614" s="10">
        <f>Q613</f>
        <v/>
      </c>
      <c r="M614" s="10" t="n">
        <v>85</v>
      </c>
      <c r="N614" s="10" t="n">
        <v>6</v>
      </c>
      <c r="O614" s="10">
        <f>J614/160</f>
        <v/>
      </c>
      <c r="P614" s="10" t="n">
        <v>60</v>
      </c>
      <c r="Q614" s="10">
        <f>L614+M614+N614+O614-P614</f>
        <v/>
      </c>
      <c r="R614" s="11">
        <f>T613</f>
        <v/>
      </c>
      <c r="S614" s="11">
        <f>N(V614) + N(X614) + N(Z614)</f>
        <v/>
      </c>
      <c r="T614" s="11">
        <f>R614+P614-S614</f>
        <v/>
      </c>
      <c r="U614" s="11" t="inlineStr">
        <is>
          <t>是</t>
        </is>
      </c>
      <c r="V614" s="11" t="n">
        <v>52</v>
      </c>
      <c r="W614" s="11" t="inlineStr">
        <is>
          <t>否</t>
        </is>
      </c>
      <c r="X614" s="11" t="inlineStr">
        <is>
          <t>-</t>
        </is>
      </c>
      <c r="Y614" s="11" t="inlineStr">
        <is>
          <t>UP(15)</t>
        </is>
      </c>
      <c r="Z614" s="11" t="n">
        <v>15</v>
      </c>
      <c r="AA614" s="11" t="inlineStr">
        <is>
          <t>垫到60抽</t>
        </is>
      </c>
      <c r="AB614" s="12">
        <f>AE613</f>
        <v/>
      </c>
      <c r="AC614" s="12" t="n">
        <v>4</v>
      </c>
      <c r="AD614" s="12" t="n">
        <v>0</v>
      </c>
      <c r="AE614" s="12">
        <f>AB614+AC614+AD614</f>
        <v/>
      </c>
      <c r="AF614" s="13">
        <f>AI613</f>
        <v/>
      </c>
      <c r="AG614" s="13" t="n">
        <v>0</v>
      </c>
      <c r="AH614" s="13" t="n">
        <v>0</v>
      </c>
      <c r="AI614" s="13">
        <f>AF614+AG614+AH614</f>
        <v/>
      </c>
      <c r="AJ614" s="14" t="n">
        <v>0</v>
      </c>
      <c r="AK614" s="14" t="n">
        <v>50</v>
      </c>
      <c r="AL614" s="14" t="n">
        <v>0</v>
      </c>
      <c r="AM614" s="14">
        <f>AJ614+AK614+AL614</f>
        <v/>
      </c>
      <c r="AN614" s="14">
        <f>AN613+AM614</f>
        <v/>
      </c>
    </row>
    <row r="615">
      <c r="A615" s="8" t="n">
        <v>24</v>
      </c>
      <c r="B615" s="8" t="n">
        <v>8</v>
      </c>
      <c r="C615" s="8" t="n">
        <v>2</v>
      </c>
      <c r="D615" s="8" t="inlineStr">
        <is>
          <t>月卡收益 [月卡续费-30元]</t>
        </is>
      </c>
      <c r="E615" s="9">
        <f>K614</f>
        <v/>
      </c>
      <c r="F615" s="9" t="n">
        <v>1540</v>
      </c>
      <c r="G615" s="9" t="n">
        <v>0</v>
      </c>
      <c r="H615" s="9" t="n">
        <v>0</v>
      </c>
      <c r="I615" s="9" t="n">
        <v>0</v>
      </c>
      <c r="J615" s="9" t="n">
        <v>3680</v>
      </c>
      <c r="K615" s="9">
        <f>E615+F615+G615+H615+I615-J615</f>
        <v/>
      </c>
      <c r="L615" s="10">
        <f>Q614</f>
        <v/>
      </c>
      <c r="M615" s="10" t="n">
        <v>0</v>
      </c>
      <c r="N615" s="10" t="n">
        <v>6</v>
      </c>
      <c r="O615" s="10">
        <f>J615/160</f>
        <v/>
      </c>
      <c r="P615" s="10" t="n">
        <v>60</v>
      </c>
      <c r="Q615" s="10">
        <f>L615+M615+N615+O615-P615</f>
        <v/>
      </c>
      <c r="R615" s="11">
        <f>T614</f>
        <v/>
      </c>
      <c r="S615" s="11">
        <f>N(V615) + N(X615) + N(Z615)</f>
        <v/>
      </c>
      <c r="T615" s="11">
        <f>R615+P615-S615</f>
        <v/>
      </c>
      <c r="U615" s="11" t="inlineStr">
        <is>
          <t>是</t>
        </is>
      </c>
      <c r="V615" s="11" t="n">
        <v>48</v>
      </c>
      <c r="W615" s="11" t="inlineStr">
        <is>
          <t>否</t>
        </is>
      </c>
      <c r="X615" s="11" t="inlineStr">
        <is>
          <t>-</t>
        </is>
      </c>
      <c r="Y615" s="11" t="inlineStr">
        <is>
          <t>-</t>
        </is>
      </c>
      <c r="Z615" s="11" t="n">
        <v>0</v>
      </c>
      <c r="AA615" s="11" t="inlineStr">
        <is>
          <t>垫到60抽</t>
        </is>
      </c>
      <c r="AB615" s="12">
        <f>AE614</f>
        <v/>
      </c>
      <c r="AC615" s="12" t="n">
        <v>0</v>
      </c>
      <c r="AD615" s="12" t="n">
        <v>0</v>
      </c>
      <c r="AE615" s="12">
        <f>AB615+AC615+AD615</f>
        <v/>
      </c>
      <c r="AF615" s="13">
        <f>AI614</f>
        <v/>
      </c>
      <c r="AG615" s="13" t="n">
        <v>0</v>
      </c>
      <c r="AH615" s="13" t="n">
        <v>0</v>
      </c>
      <c r="AI615" s="13">
        <f>AF615+AG615+AH615</f>
        <v/>
      </c>
      <c r="AJ615" s="14" t="n">
        <v>30</v>
      </c>
      <c r="AK615" s="14" t="n">
        <v>0</v>
      </c>
      <c r="AL615" s="14" t="n">
        <v>0</v>
      </c>
      <c r="AM615" s="14">
        <f>AJ615+AK615+AL615</f>
        <v/>
      </c>
      <c r="AN615" s="14">
        <f>AN614+AM615</f>
        <v/>
      </c>
    </row>
    <row r="616">
      <c r="A616" s="8" t="n">
        <v>24</v>
      </c>
      <c r="B616" s="8" t="n">
        <v>9</v>
      </c>
      <c r="C616" s="8" t="n">
        <v>1</v>
      </c>
      <c r="D616" s="8" t="inlineStr">
        <is>
          <t>版本免费+义相逢 + 月卡收益</t>
        </is>
      </c>
      <c r="E616" s="9">
        <f>K615</f>
        <v/>
      </c>
      <c r="F616" s="9" t="n">
        <v>1540</v>
      </c>
      <c r="G616" s="9" t="n">
        <v>4800</v>
      </c>
      <c r="H616" s="9" t="n">
        <v>0</v>
      </c>
      <c r="I616" s="9" t="n">
        <v>0</v>
      </c>
      <c r="J616" s="9" t="n">
        <v>0</v>
      </c>
      <c r="K616" s="9">
        <f>E616+F616+G616+H616+I616-J616</f>
        <v/>
      </c>
      <c r="L616" s="10">
        <f>Q615</f>
        <v/>
      </c>
      <c r="M616" s="10" t="n">
        <v>85</v>
      </c>
      <c r="N616" s="10" t="n">
        <v>6</v>
      </c>
      <c r="O616" s="10">
        <f>J616/160</f>
        <v/>
      </c>
      <c r="P616" s="10" t="n">
        <v>70</v>
      </c>
      <c r="Q616" s="10">
        <f>L616+M616+N616+O616-P616</f>
        <v/>
      </c>
      <c r="R616" s="11">
        <f>T615</f>
        <v/>
      </c>
      <c r="S616" s="11">
        <f>N(V616) + N(X616) + N(Z616)</f>
        <v/>
      </c>
      <c r="T616" s="11">
        <f>R616+P616-S616</f>
        <v/>
      </c>
      <c r="U616" s="11" t="inlineStr">
        <is>
          <t>是</t>
        </is>
      </c>
      <c r="V616" s="11" t="n">
        <v>32</v>
      </c>
      <c r="W616" s="11" t="inlineStr">
        <is>
          <t>是</t>
        </is>
      </c>
      <c r="X616" s="11" t="n">
        <v>48</v>
      </c>
      <c r="Y616" s="11" t="inlineStr">
        <is>
          <t>-</t>
        </is>
      </c>
      <c r="Z616" s="11" t="n">
        <v>0</v>
      </c>
      <c r="AA616" s="11" t="inlineStr">
        <is>
          <t>无</t>
        </is>
      </c>
      <c r="AB616" s="12">
        <f>AE615</f>
        <v/>
      </c>
      <c r="AC616" s="12" t="n">
        <v>4</v>
      </c>
      <c r="AD616" s="12" t="n">
        <v>0</v>
      </c>
      <c r="AE616" s="12">
        <f>AB616+AC616+AD616</f>
        <v/>
      </c>
      <c r="AF616" s="13">
        <f>AI615</f>
        <v/>
      </c>
      <c r="AG616" s="13" t="n">
        <v>0</v>
      </c>
      <c r="AH616" s="13" t="n">
        <v>0</v>
      </c>
      <c r="AI616" s="13">
        <f>AF616+AG616+AH616</f>
        <v/>
      </c>
      <c r="AJ616" s="14" t="n">
        <v>0</v>
      </c>
      <c r="AK616" s="14" t="n">
        <v>50</v>
      </c>
      <c r="AL616" s="14" t="n">
        <v>0</v>
      </c>
      <c r="AM616" s="14">
        <f>AJ616+AK616+AL616</f>
        <v/>
      </c>
      <c r="AN616" s="14">
        <f>AN615+AM616</f>
        <v/>
      </c>
    </row>
    <row r="617">
      <c r="A617" s="8" t="n">
        <v>24</v>
      </c>
      <c r="B617" s="8" t="n">
        <v>9</v>
      </c>
      <c r="C617" s="8" t="n">
        <v>2</v>
      </c>
      <c r="D617" s="8" t="inlineStr">
        <is>
          <t>月卡收益</t>
        </is>
      </c>
      <c r="E617" s="9">
        <f>K616</f>
        <v/>
      </c>
      <c r="F617" s="9" t="n">
        <v>1540</v>
      </c>
      <c r="G617" s="9" t="n">
        <v>0</v>
      </c>
      <c r="H617" s="9" t="n">
        <v>0</v>
      </c>
      <c r="I617" s="9" t="n">
        <v>0</v>
      </c>
      <c r="J617" s="9" t="n">
        <v>5280</v>
      </c>
      <c r="K617" s="9">
        <f>E617+F617+G617+H617+I617-J617</f>
        <v/>
      </c>
      <c r="L617" s="10">
        <f>Q616</f>
        <v/>
      </c>
      <c r="M617" s="10" t="n">
        <v>0</v>
      </c>
      <c r="N617" s="10" t="n">
        <v>6</v>
      </c>
      <c r="O617" s="10">
        <f>J617/160</f>
        <v/>
      </c>
      <c r="P617" s="10" t="n">
        <v>60</v>
      </c>
      <c r="Q617" s="10">
        <f>L617+M617+N617+O617-P617</f>
        <v/>
      </c>
      <c r="R617" s="11">
        <f>T616</f>
        <v/>
      </c>
      <c r="S617" s="11">
        <f>N(V617) + N(X617) + N(Z617)</f>
        <v/>
      </c>
      <c r="T617" s="11">
        <f>R617+P617-S617</f>
        <v/>
      </c>
      <c r="U617" s="11" t="inlineStr">
        <is>
          <t>是</t>
        </is>
      </c>
      <c r="V617" s="11" t="n">
        <v>47</v>
      </c>
      <c r="W617" s="11" t="inlineStr">
        <is>
          <t>否</t>
        </is>
      </c>
      <c r="X617" s="11" t="inlineStr">
        <is>
          <t>-</t>
        </is>
      </c>
      <c r="Y617" s="11" t="inlineStr">
        <is>
          <t>-</t>
        </is>
      </c>
      <c r="Z617" s="11" t="n">
        <v>0</v>
      </c>
      <c r="AA617" s="11" t="inlineStr">
        <is>
          <t>垫到60抽</t>
        </is>
      </c>
      <c r="AB617" s="12">
        <f>AE616</f>
        <v/>
      </c>
      <c r="AC617" s="12" t="n">
        <v>0</v>
      </c>
      <c r="AD617" s="12" t="n">
        <v>0</v>
      </c>
      <c r="AE617" s="12">
        <f>AB617+AC617+AD617</f>
        <v/>
      </c>
      <c r="AF617" s="13">
        <f>AI616</f>
        <v/>
      </c>
      <c r="AG617" s="13" t="n">
        <v>0</v>
      </c>
      <c r="AH617" s="13" t="n">
        <v>0</v>
      </c>
      <c r="AI617" s="13">
        <f>AF617+AG617+AH617</f>
        <v/>
      </c>
      <c r="AJ617" s="14" t="n">
        <v>0</v>
      </c>
      <c r="AK617" s="14" t="n">
        <v>0</v>
      </c>
      <c r="AL617" s="14" t="n">
        <v>0</v>
      </c>
      <c r="AM617" s="14">
        <f>AJ617+AK617+AL617</f>
        <v/>
      </c>
      <c r="AN617" s="14">
        <f>AN616+AM617</f>
        <v/>
      </c>
    </row>
    <row r="618">
      <c r="A618" s="8" t="n">
        <v>24</v>
      </c>
      <c r="B618" s="8" t="n">
        <v>10</v>
      </c>
      <c r="C618" s="8" t="n">
        <v>1</v>
      </c>
      <c r="D618" s="8" t="inlineStr">
        <is>
          <t>版本免费+义相逢 + 月卡收益 [月卡续费-30元]</t>
        </is>
      </c>
      <c r="E618" s="9">
        <f>K617</f>
        <v/>
      </c>
      <c r="F618" s="9" t="n">
        <v>1540</v>
      </c>
      <c r="G618" s="9" t="n">
        <v>4800</v>
      </c>
      <c r="H618" s="9" t="n">
        <v>0</v>
      </c>
      <c r="I618" s="9" t="n">
        <v>0</v>
      </c>
      <c r="J618" s="9" t="n">
        <v>14560</v>
      </c>
      <c r="K618" s="9">
        <f>E618+F618+G618+H618+I618-J618</f>
        <v/>
      </c>
      <c r="L618" s="10">
        <f>Q617</f>
        <v/>
      </c>
      <c r="M618" s="10" t="n">
        <v>85</v>
      </c>
      <c r="N618" s="10" t="n">
        <v>21</v>
      </c>
      <c r="O618" s="10">
        <f>J618/160</f>
        <v/>
      </c>
      <c r="P618" s="10" t="n">
        <v>200</v>
      </c>
      <c r="Q618" s="10">
        <f>L618+M618+N618+O618-P618</f>
        <v/>
      </c>
      <c r="R618" s="11">
        <f>T617</f>
        <v/>
      </c>
      <c r="S618" s="11">
        <f>N(V618) + N(X618) + N(Z618)</f>
        <v/>
      </c>
      <c r="T618" s="11">
        <f>R618+P618-S618</f>
        <v/>
      </c>
      <c r="U618" s="11" t="inlineStr">
        <is>
          <t>是</t>
        </is>
      </c>
      <c r="V618" s="11" t="n">
        <v>50</v>
      </c>
      <c r="W618" s="11" t="inlineStr">
        <is>
          <t>是</t>
        </is>
      </c>
      <c r="X618" s="11" t="n">
        <v>49</v>
      </c>
      <c r="Y618" s="11" t="inlineStr">
        <is>
          <t>歪(47), UP(46)</t>
        </is>
      </c>
      <c r="Z618" s="11" t="n">
        <v>93</v>
      </c>
      <c r="AA618" s="11" t="inlineStr">
        <is>
          <t>垫到90抽+冲刺200(动态90)</t>
        </is>
      </c>
      <c r="AB618" s="12">
        <f>AE617</f>
        <v/>
      </c>
      <c r="AC618" s="12" t="n">
        <v>4</v>
      </c>
      <c r="AD618" s="12" t="n">
        <v>1</v>
      </c>
      <c r="AE618" s="12">
        <f>AB618+AC618+AD618</f>
        <v/>
      </c>
      <c r="AF618" s="13">
        <f>AI617</f>
        <v/>
      </c>
      <c r="AG618" s="13" t="n">
        <v>0</v>
      </c>
      <c r="AH618" s="13" t="n">
        <v>5000</v>
      </c>
      <c r="AI618" s="13">
        <f>AF618+AG618+AH618</f>
        <v/>
      </c>
      <c r="AJ618" s="14" t="n">
        <v>30</v>
      </c>
      <c r="AK618" s="14" t="n">
        <v>50</v>
      </c>
      <c r="AL618" s="14" t="n">
        <v>0</v>
      </c>
      <c r="AM618" s="14">
        <f>AJ618+AK618+AL618</f>
        <v/>
      </c>
      <c r="AN618" s="14">
        <f>AN617+AM618</f>
        <v/>
      </c>
    </row>
    <row r="619">
      <c r="A619" s="8" t="n">
        <v>24</v>
      </c>
      <c r="B619" s="8" t="n">
        <v>10</v>
      </c>
      <c r="C619" s="8" t="n">
        <v>2</v>
      </c>
      <c r="D619" s="8" t="inlineStr">
        <is>
          <t>月卡收益</t>
        </is>
      </c>
      <c r="E619" s="9">
        <f>K618</f>
        <v/>
      </c>
      <c r="F619" s="9" t="n">
        <v>1540</v>
      </c>
      <c r="G619" s="9" t="n">
        <v>0</v>
      </c>
      <c r="H619" s="9" t="n">
        <v>0</v>
      </c>
      <c r="I619" s="9" t="n">
        <v>0</v>
      </c>
      <c r="J619" s="9" t="n">
        <v>10240</v>
      </c>
      <c r="K619" s="9">
        <f>E619+F619+G619+H619+I619-J619</f>
        <v/>
      </c>
      <c r="L619" s="10">
        <f>Q618</f>
        <v/>
      </c>
      <c r="M619" s="10" t="n">
        <v>0</v>
      </c>
      <c r="N619" s="10" t="n">
        <v>6</v>
      </c>
      <c r="O619" s="10">
        <f>J619/160</f>
        <v/>
      </c>
      <c r="P619" s="10" t="n">
        <v>70</v>
      </c>
      <c r="Q619" s="10">
        <f>L619+M619+N619+O619-P619</f>
        <v/>
      </c>
      <c r="R619" s="11">
        <f>T618</f>
        <v/>
      </c>
      <c r="S619" s="11">
        <f>N(V619) + N(X619) + N(Z619)</f>
        <v/>
      </c>
      <c r="T619" s="11">
        <f>R619+P619-S619</f>
        <v/>
      </c>
      <c r="U619" s="11" t="inlineStr">
        <is>
          <t>是</t>
        </is>
      </c>
      <c r="V619" s="11" t="n">
        <v>47</v>
      </c>
      <c r="W619" s="11" t="inlineStr">
        <is>
          <t>是</t>
        </is>
      </c>
      <c r="X619" s="11" t="n">
        <v>47</v>
      </c>
      <c r="Y619" s="11" t="inlineStr">
        <is>
          <t>-</t>
        </is>
      </c>
      <c r="Z619" s="11" t="n">
        <v>0</v>
      </c>
      <c r="AA619" s="11" t="inlineStr">
        <is>
          <t>无</t>
        </is>
      </c>
      <c r="AB619" s="12">
        <f>AE618</f>
        <v/>
      </c>
      <c r="AC619" s="12" t="n">
        <v>0</v>
      </c>
      <c r="AD619" s="12" t="n">
        <v>0</v>
      </c>
      <c r="AE619" s="12">
        <f>AB619+AC619+AD619</f>
        <v/>
      </c>
      <c r="AF619" s="13">
        <f>AI618</f>
        <v/>
      </c>
      <c r="AG619" s="13" t="n">
        <v>0</v>
      </c>
      <c r="AH619" s="13" t="n">
        <v>0</v>
      </c>
      <c r="AI619" s="13">
        <f>AF619+AG619+AH619</f>
        <v/>
      </c>
      <c r="AJ619" s="14" t="n">
        <v>0</v>
      </c>
      <c r="AK619" s="14" t="n">
        <v>0</v>
      </c>
      <c r="AL619" s="14" t="n">
        <v>0</v>
      </c>
      <c r="AM619" s="14">
        <f>AJ619+AK619+AL619</f>
        <v/>
      </c>
      <c r="AN619" s="14">
        <f>AN618+AM619</f>
        <v/>
      </c>
    </row>
    <row r="620">
      <c r="A620" s="8" t="n">
        <v>24</v>
      </c>
      <c r="B620" s="8" t="n">
        <v>11</v>
      </c>
      <c r="C620" s="8" t="n">
        <v>1</v>
      </c>
      <c r="D620" s="8" t="inlineStr">
        <is>
          <t>版本免费+义相逢 + 月卡收益 [月卡续费-30元]</t>
        </is>
      </c>
      <c r="E620" s="9">
        <f>K619</f>
        <v/>
      </c>
      <c r="F620" s="9" t="n">
        <v>1540</v>
      </c>
      <c r="G620" s="9" t="n">
        <v>4800</v>
      </c>
      <c r="H620" s="9" t="n">
        <v>0</v>
      </c>
      <c r="I620" s="9" t="n">
        <v>0</v>
      </c>
      <c r="J620" s="9" t="n">
        <v>0</v>
      </c>
      <c r="K620" s="9">
        <f>E620+F620+G620+H620+I620-J620</f>
        <v/>
      </c>
      <c r="L620" s="10">
        <f>Q619</f>
        <v/>
      </c>
      <c r="M620" s="10" t="n">
        <v>85</v>
      </c>
      <c r="N620" s="10" t="n">
        <v>6</v>
      </c>
      <c r="O620" s="10">
        <f>J620/160</f>
        <v/>
      </c>
      <c r="P620" s="10" t="n">
        <v>60</v>
      </c>
      <c r="Q620" s="10">
        <f>L620+M620+N620+O620-P620</f>
        <v/>
      </c>
      <c r="R620" s="11">
        <f>T619</f>
        <v/>
      </c>
      <c r="S620" s="11">
        <f>N(V620) + N(X620) + N(Z620)</f>
        <v/>
      </c>
      <c r="T620" s="11">
        <f>R620+P620-S620</f>
        <v/>
      </c>
      <c r="U620" s="11" t="inlineStr">
        <is>
          <t>是</t>
        </is>
      </c>
      <c r="V620" s="11" t="n">
        <v>53</v>
      </c>
      <c r="W620" s="11" t="inlineStr">
        <is>
          <t>否</t>
        </is>
      </c>
      <c r="X620" s="11" t="inlineStr">
        <is>
          <t>-</t>
        </is>
      </c>
      <c r="Y620" s="11" t="inlineStr">
        <is>
          <t>-</t>
        </is>
      </c>
      <c r="Z620" s="11" t="n">
        <v>0</v>
      </c>
      <c r="AA620" s="11" t="inlineStr">
        <is>
          <t>垫到60抽</t>
        </is>
      </c>
      <c r="AB620" s="12">
        <f>AE619</f>
        <v/>
      </c>
      <c r="AC620" s="12" t="n">
        <v>4</v>
      </c>
      <c r="AD620" s="12" t="n">
        <v>0</v>
      </c>
      <c r="AE620" s="12">
        <f>AB620+AC620+AD620</f>
        <v/>
      </c>
      <c r="AF620" s="13">
        <f>AI619</f>
        <v/>
      </c>
      <c r="AG620" s="13" t="n">
        <v>0</v>
      </c>
      <c r="AH620" s="13" t="n">
        <v>0</v>
      </c>
      <c r="AI620" s="13">
        <f>AF620+AG620+AH620</f>
        <v/>
      </c>
      <c r="AJ620" s="14" t="n">
        <v>30</v>
      </c>
      <c r="AK620" s="14" t="n">
        <v>50</v>
      </c>
      <c r="AL620" s="14" t="n">
        <v>0</v>
      </c>
      <c r="AM620" s="14">
        <f>AJ620+AK620+AL620</f>
        <v/>
      </c>
      <c r="AN620" s="14">
        <f>AN619+AM620</f>
        <v/>
      </c>
    </row>
    <row r="621">
      <c r="A621" s="8" t="n">
        <v>24</v>
      </c>
      <c r="B621" s="8" t="n">
        <v>11</v>
      </c>
      <c r="C621" s="8" t="n">
        <v>2</v>
      </c>
      <c r="D621" s="8" t="inlineStr">
        <is>
          <t>月卡收益</t>
        </is>
      </c>
      <c r="E621" s="9">
        <f>K620</f>
        <v/>
      </c>
      <c r="F621" s="9" t="n">
        <v>1540</v>
      </c>
      <c r="G621" s="9" t="n">
        <v>0</v>
      </c>
      <c r="H621" s="9" t="n">
        <v>0</v>
      </c>
      <c r="I621" s="9" t="n">
        <v>0</v>
      </c>
      <c r="J621" s="9" t="n">
        <v>0</v>
      </c>
      <c r="K621" s="9">
        <f>E621+F621+G621+H621+I621-J621</f>
        <v/>
      </c>
      <c r="L621" s="10">
        <f>Q620</f>
        <v/>
      </c>
      <c r="M621" s="10" t="n">
        <v>0</v>
      </c>
      <c r="N621" s="10" t="n">
        <v>1</v>
      </c>
      <c r="O621" s="10">
        <f>J621/160</f>
        <v/>
      </c>
      <c r="P621" s="10" t="n">
        <v>10</v>
      </c>
      <c r="Q621" s="10">
        <f>L621+M621+N621+O621-P621</f>
        <v/>
      </c>
      <c r="R621" s="11">
        <f>T620</f>
        <v/>
      </c>
      <c r="S621" s="11">
        <f>N(V621) + N(X621) + N(Z621)</f>
        <v/>
      </c>
      <c r="T621" s="11">
        <f>R621+P621-S621</f>
        <v/>
      </c>
      <c r="U621" s="11" t="inlineStr">
        <is>
          <t>是</t>
        </is>
      </c>
      <c r="V621" s="11" t="n">
        <v>15</v>
      </c>
      <c r="W621" s="11" t="inlineStr">
        <is>
          <t>否</t>
        </is>
      </c>
      <c r="X621" s="11" t="inlineStr">
        <is>
          <t>-</t>
        </is>
      </c>
      <c r="Y621" s="11" t="inlineStr">
        <is>
          <t>-</t>
        </is>
      </c>
      <c r="Z621" s="11" t="n">
        <v>0</v>
      </c>
      <c r="AA621" s="11" t="inlineStr">
        <is>
          <t>无</t>
        </is>
      </c>
      <c r="AB621" s="12">
        <f>AE620</f>
        <v/>
      </c>
      <c r="AC621" s="12" t="n">
        <v>0</v>
      </c>
      <c r="AD621" s="12" t="n">
        <v>0</v>
      </c>
      <c r="AE621" s="12">
        <f>AB621+AC621+AD621</f>
        <v/>
      </c>
      <c r="AF621" s="13">
        <f>AI620</f>
        <v/>
      </c>
      <c r="AG621" s="13" t="n">
        <v>0</v>
      </c>
      <c r="AH621" s="13" t="n">
        <v>0</v>
      </c>
      <c r="AI621" s="13">
        <f>AF621+AG621+AH621</f>
        <v/>
      </c>
      <c r="AJ621" s="14" t="n">
        <v>0</v>
      </c>
      <c r="AK621" s="14" t="n">
        <v>0</v>
      </c>
      <c r="AL621" s="14" t="n">
        <v>0</v>
      </c>
      <c r="AM621" s="14">
        <f>AJ621+AK621+AL621</f>
        <v/>
      </c>
      <c r="AN621" s="14">
        <f>AN620+AM621</f>
        <v/>
      </c>
    </row>
    <row r="622">
      <c r="A622" s="8" t="n">
        <v>24</v>
      </c>
      <c r="B622" s="8" t="n">
        <v>12</v>
      </c>
      <c r="C622" s="8" t="n">
        <v>1</v>
      </c>
      <c r="D622" s="8" t="inlineStr">
        <is>
          <t>版本免费+义相逢 + 月卡收益 [月卡续费-30元]</t>
        </is>
      </c>
      <c r="E622" s="9">
        <f>K621</f>
        <v/>
      </c>
      <c r="F622" s="9" t="n">
        <v>1540</v>
      </c>
      <c r="G622" s="9" t="n">
        <v>4800</v>
      </c>
      <c r="H622" s="9" t="n">
        <v>0</v>
      </c>
      <c r="I622" s="9" t="n">
        <v>0</v>
      </c>
      <c r="J622" s="9" t="n">
        <v>0</v>
      </c>
      <c r="K622" s="9">
        <f>E622+F622+G622+H622+I622-J622</f>
        <v/>
      </c>
      <c r="L622" s="10">
        <f>Q621</f>
        <v/>
      </c>
      <c r="M622" s="10" t="n">
        <v>85</v>
      </c>
      <c r="N622" s="10" t="n">
        <v>6</v>
      </c>
      <c r="O622" s="10">
        <f>J622/160</f>
        <v/>
      </c>
      <c r="P622" s="10" t="n">
        <v>60</v>
      </c>
      <c r="Q622" s="10">
        <f>L622+M622+N622+O622-P622</f>
        <v/>
      </c>
      <c r="R622" s="11">
        <f>T621</f>
        <v/>
      </c>
      <c r="S622" s="11">
        <f>N(V622) + N(X622) + N(Z622)</f>
        <v/>
      </c>
      <c r="T622" s="11">
        <f>R622+P622-S622</f>
        <v/>
      </c>
      <c r="U622" s="11" t="inlineStr">
        <is>
          <t>是</t>
        </is>
      </c>
      <c r="V622" s="11" t="n">
        <v>10</v>
      </c>
      <c r="W622" s="11" t="inlineStr">
        <is>
          <t>是</t>
        </is>
      </c>
      <c r="X622" s="11" t="n">
        <v>53</v>
      </c>
      <c r="Y622" s="11" t="inlineStr">
        <is>
          <t>-</t>
        </is>
      </c>
      <c r="Z622" s="11" t="n">
        <v>0</v>
      </c>
      <c r="AA622" s="11" t="inlineStr">
        <is>
          <t>无</t>
        </is>
      </c>
      <c r="AB622" s="12">
        <f>AE621</f>
        <v/>
      </c>
      <c r="AC622" s="12" t="n">
        <v>4</v>
      </c>
      <c r="AD622" s="12" t="n">
        <v>0</v>
      </c>
      <c r="AE622" s="12">
        <f>AB622+AC622+AD622</f>
        <v/>
      </c>
      <c r="AF622" s="13">
        <f>AI621</f>
        <v/>
      </c>
      <c r="AG622" s="13" t="n">
        <v>0</v>
      </c>
      <c r="AH622" s="13" t="n">
        <v>0</v>
      </c>
      <c r="AI622" s="13">
        <f>AF622+AG622+AH622</f>
        <v/>
      </c>
      <c r="AJ622" s="14" t="n">
        <v>30</v>
      </c>
      <c r="AK622" s="14" t="n">
        <v>50</v>
      </c>
      <c r="AL622" s="14" t="n">
        <v>0</v>
      </c>
      <c r="AM622" s="14">
        <f>AJ622+AK622+AL622</f>
        <v/>
      </c>
      <c r="AN622" s="14">
        <f>AN621+AM622</f>
        <v/>
      </c>
    </row>
    <row r="623">
      <c r="A623" s="8" t="n">
        <v>24</v>
      </c>
      <c r="B623" s="8" t="n">
        <v>12</v>
      </c>
      <c r="C623" s="8" t="n">
        <v>2</v>
      </c>
      <c r="D623" s="8" t="inlineStr">
        <is>
          <t>月卡收益</t>
        </is>
      </c>
      <c r="E623" s="9">
        <f>K622</f>
        <v/>
      </c>
      <c r="F623" s="9" t="n">
        <v>1540</v>
      </c>
      <c r="G623" s="9" t="n">
        <v>0</v>
      </c>
      <c r="H623" s="9" t="n">
        <v>0</v>
      </c>
      <c r="I623" s="9" t="n">
        <v>0</v>
      </c>
      <c r="J623" s="9" t="n">
        <v>640</v>
      </c>
      <c r="K623" s="9">
        <f>E623+F623+G623+H623+I623-J623</f>
        <v/>
      </c>
      <c r="L623" s="10">
        <f>Q622</f>
        <v/>
      </c>
      <c r="M623" s="10" t="n">
        <v>0</v>
      </c>
      <c r="N623" s="10" t="n">
        <v>6</v>
      </c>
      <c r="O623" s="10">
        <f>J623/160</f>
        <v/>
      </c>
      <c r="P623" s="10" t="n">
        <v>60</v>
      </c>
      <c r="Q623" s="10">
        <f>L623+M623+N623+O623-P623</f>
        <v/>
      </c>
      <c r="R623" s="11">
        <f>T622</f>
        <v/>
      </c>
      <c r="S623" s="11">
        <f>N(V623) + N(X623) + N(Z623)</f>
        <v/>
      </c>
      <c r="T623" s="11">
        <f>R623+P623-S623</f>
        <v/>
      </c>
      <c r="U623" s="11" t="inlineStr">
        <is>
          <t>是</t>
        </is>
      </c>
      <c r="V623" s="11" t="n">
        <v>52</v>
      </c>
      <c r="W623" s="11" t="inlineStr">
        <is>
          <t>否</t>
        </is>
      </c>
      <c r="X623" s="11" t="inlineStr">
        <is>
          <t>-</t>
        </is>
      </c>
      <c r="Y623" s="11" t="inlineStr">
        <is>
          <t>-</t>
        </is>
      </c>
      <c r="Z623" s="11" t="n">
        <v>0</v>
      </c>
      <c r="AA623" s="11" t="inlineStr">
        <is>
          <t>垫到60抽</t>
        </is>
      </c>
      <c r="AB623" s="12">
        <f>AE622</f>
        <v/>
      </c>
      <c r="AC623" s="12" t="n">
        <v>0</v>
      </c>
      <c r="AD623" s="12" t="n">
        <v>0</v>
      </c>
      <c r="AE623" s="12">
        <f>AB623+AC623+AD623</f>
        <v/>
      </c>
      <c r="AF623" s="13">
        <f>AI622</f>
        <v/>
      </c>
      <c r="AG623" s="13" t="n">
        <v>0</v>
      </c>
      <c r="AH623" s="13" t="n">
        <v>0</v>
      </c>
      <c r="AI623" s="13">
        <f>AF623+AG623+AH623</f>
        <v/>
      </c>
      <c r="AJ623" s="14" t="n">
        <v>0</v>
      </c>
      <c r="AK623" s="14" t="n">
        <v>0</v>
      </c>
      <c r="AL623" s="14" t="n">
        <v>0</v>
      </c>
      <c r="AM623" s="14">
        <f>AJ623+AK623+AL623</f>
        <v/>
      </c>
      <c r="AN623" s="14">
        <f>AN622+AM623</f>
        <v/>
      </c>
    </row>
    <row r="624">
      <c r="A624" s="8" t="n">
        <v>24</v>
      </c>
      <c r="B624" s="8" t="n">
        <v>13</v>
      </c>
      <c r="C624" s="8" t="n">
        <v>1</v>
      </c>
      <c r="D624" s="8" t="inlineStr">
        <is>
          <t>版本免费+义相逢 + 月卡收益 [月卡续费-30元]</t>
        </is>
      </c>
      <c r="E624" s="9">
        <f>K623</f>
        <v/>
      </c>
      <c r="F624" s="9" t="n">
        <v>1540</v>
      </c>
      <c r="G624" s="9" t="n">
        <v>4800</v>
      </c>
      <c r="H624" s="9" t="n">
        <v>0</v>
      </c>
      <c r="I624" s="9" t="n">
        <v>0</v>
      </c>
      <c r="J624" s="9" t="n">
        <v>0</v>
      </c>
      <c r="K624" s="9">
        <f>E624+F624+G624+H624+I624-J624</f>
        <v/>
      </c>
      <c r="L624" s="10">
        <f>Q623</f>
        <v/>
      </c>
      <c r="M624" s="10" t="n">
        <v>85</v>
      </c>
      <c r="N624" s="10" t="n">
        <v>3</v>
      </c>
      <c r="O624" s="10">
        <f>J624/160</f>
        <v/>
      </c>
      <c r="P624" s="10" t="n">
        <v>40</v>
      </c>
      <c r="Q624" s="10">
        <f>L624+M624+N624+O624-P624</f>
        <v/>
      </c>
      <c r="R624" s="11">
        <f>T623</f>
        <v/>
      </c>
      <c r="S624" s="11">
        <f>N(V624) + N(X624) + N(Z624)</f>
        <v/>
      </c>
      <c r="T624" s="11">
        <f>R624+P624-S624</f>
        <v/>
      </c>
      <c r="U624" s="11" t="inlineStr">
        <is>
          <t>是</t>
        </is>
      </c>
      <c r="V624" s="11" t="n">
        <v>49</v>
      </c>
      <c r="W624" s="11" t="inlineStr">
        <is>
          <t>否</t>
        </is>
      </c>
      <c r="X624" s="11" t="inlineStr">
        <is>
          <t>-</t>
        </is>
      </c>
      <c r="Y624" s="11" t="inlineStr">
        <is>
          <t>-</t>
        </is>
      </c>
      <c r="Z624" s="11" t="n">
        <v>0</v>
      </c>
      <c r="AA624" s="11" t="inlineStr">
        <is>
          <t>无</t>
        </is>
      </c>
      <c r="AB624" s="12">
        <f>AE623</f>
        <v/>
      </c>
      <c r="AC624" s="12" t="n">
        <v>4</v>
      </c>
      <c r="AD624" s="12" t="n">
        <v>0</v>
      </c>
      <c r="AE624" s="12">
        <f>AB624+AC624+AD624</f>
        <v/>
      </c>
      <c r="AF624" s="13">
        <f>AI623</f>
        <v/>
      </c>
      <c r="AG624" s="13" t="n">
        <v>0</v>
      </c>
      <c r="AH624" s="13" t="n">
        <v>0</v>
      </c>
      <c r="AI624" s="13">
        <f>AF624+AG624+AH624</f>
        <v/>
      </c>
      <c r="AJ624" s="14" t="n">
        <v>30</v>
      </c>
      <c r="AK624" s="14" t="n">
        <v>50</v>
      </c>
      <c r="AL624" s="14" t="n">
        <v>0</v>
      </c>
      <c r="AM624" s="14">
        <f>AJ624+AK624+AL624</f>
        <v/>
      </c>
      <c r="AN624" s="14">
        <f>AN623+AM624</f>
        <v/>
      </c>
    </row>
    <row r="625">
      <c r="A625" s="8" t="n">
        <v>24</v>
      </c>
      <c r="B625" s="8" t="n">
        <v>13</v>
      </c>
      <c r="C625" s="8" t="n">
        <v>2</v>
      </c>
      <c r="D625" s="8" t="inlineStr">
        <is>
          <t>月卡收益</t>
        </is>
      </c>
      <c r="E625" s="9">
        <f>K624</f>
        <v/>
      </c>
      <c r="F625" s="9" t="n">
        <v>1540</v>
      </c>
      <c r="G625" s="9" t="n">
        <v>0</v>
      </c>
      <c r="H625" s="9" t="n">
        <v>0</v>
      </c>
      <c r="I625" s="9" t="n">
        <v>0</v>
      </c>
      <c r="J625" s="9" t="n">
        <v>960</v>
      </c>
      <c r="K625" s="9">
        <f>E625+F625+G625+H625+I625-J625</f>
        <v/>
      </c>
      <c r="L625" s="10">
        <f>Q624</f>
        <v/>
      </c>
      <c r="M625" s="10" t="n">
        <v>0</v>
      </c>
      <c r="N625" s="10" t="n">
        <v>6</v>
      </c>
      <c r="O625" s="10">
        <f>J625/160</f>
        <v/>
      </c>
      <c r="P625" s="10" t="n">
        <v>60</v>
      </c>
      <c r="Q625" s="10">
        <f>L625+M625+N625+O625-P625</f>
        <v/>
      </c>
      <c r="R625" s="11">
        <f>T624</f>
        <v/>
      </c>
      <c r="S625" s="11">
        <f>N(V625) + N(X625) + N(Z625)</f>
        <v/>
      </c>
      <c r="T625" s="11">
        <f>R625+P625-S625</f>
        <v/>
      </c>
      <c r="U625" s="11" t="inlineStr">
        <is>
          <t>是</t>
        </is>
      </c>
      <c r="V625" s="11" t="n">
        <v>47</v>
      </c>
      <c r="W625" s="11" t="inlineStr">
        <is>
          <t>否</t>
        </is>
      </c>
      <c r="X625" s="11" t="inlineStr">
        <is>
          <t>-</t>
        </is>
      </c>
      <c r="Y625" s="11" t="inlineStr">
        <is>
          <t>-</t>
        </is>
      </c>
      <c r="Z625" s="11" t="n">
        <v>0</v>
      </c>
      <c r="AA625" s="11" t="inlineStr">
        <is>
          <t>垫到60抽</t>
        </is>
      </c>
      <c r="AB625" s="12">
        <f>AE624</f>
        <v/>
      </c>
      <c r="AC625" s="12" t="n">
        <v>0</v>
      </c>
      <c r="AD625" s="12" t="n">
        <v>0</v>
      </c>
      <c r="AE625" s="12">
        <f>AB625+AC625+AD625</f>
        <v/>
      </c>
      <c r="AF625" s="13">
        <f>AI624</f>
        <v/>
      </c>
      <c r="AG625" s="13" t="n">
        <v>0</v>
      </c>
      <c r="AH625" s="13" t="n">
        <v>0</v>
      </c>
      <c r="AI625" s="13">
        <f>AF625+AG625+AH625</f>
        <v/>
      </c>
      <c r="AJ625" s="14" t="n">
        <v>0</v>
      </c>
      <c r="AK625" s="14" t="n">
        <v>0</v>
      </c>
      <c r="AL625" s="14" t="n">
        <v>0</v>
      </c>
      <c r="AM625" s="14">
        <f>AJ625+AK625+AL625</f>
        <v/>
      </c>
      <c r="AN625" s="14">
        <f>AN624+AM625</f>
        <v/>
      </c>
    </row>
    <row r="626">
      <c r="A626" s="8" t="n">
        <v>25</v>
      </c>
      <c r="B626" s="8" t="n">
        <v>1</v>
      </c>
      <c r="C626" s="8" t="n">
        <v>1</v>
      </c>
      <c r="D626" s="8" t="inlineStr">
        <is>
          <t>版本免费+义相逢 + 月卡收益 [月卡续费-30元]</t>
        </is>
      </c>
      <c r="E626" s="9" t="n">
        <v>42880</v>
      </c>
      <c r="F626" s="9" t="n">
        <v>1540</v>
      </c>
      <c r="G626" s="9" t="n">
        <v>4800</v>
      </c>
      <c r="H626" s="9" t="n">
        <v>0</v>
      </c>
      <c r="I626" s="9" t="n">
        <v>0</v>
      </c>
      <c r="J626" s="9" t="n">
        <v>0</v>
      </c>
      <c r="K626" s="9">
        <f>E626+F626+G626+H626+I626-J626</f>
        <v/>
      </c>
      <c r="L626" s="10" t="n">
        <v>3</v>
      </c>
      <c r="M626" s="10" t="n">
        <v>85</v>
      </c>
      <c r="N626" s="10" t="n">
        <v>3</v>
      </c>
      <c r="O626" s="10">
        <f>J626/160</f>
        <v/>
      </c>
      <c r="P626" s="10" t="n">
        <v>40</v>
      </c>
      <c r="Q626" s="10">
        <f>L626+M626+N626+O626-P626</f>
        <v/>
      </c>
      <c r="R626" s="11" t="n">
        <v>14</v>
      </c>
      <c r="S626" s="11">
        <f>N(V626) + N(X626) + N(Z626)</f>
        <v/>
      </c>
      <c r="T626" s="11">
        <f>R626+P626-S626</f>
        <v/>
      </c>
      <c r="U626" s="11" t="inlineStr">
        <is>
          <t>是</t>
        </is>
      </c>
      <c r="V626" s="11" t="n">
        <v>47</v>
      </c>
      <c r="W626" s="11" t="inlineStr">
        <is>
          <t>否</t>
        </is>
      </c>
      <c r="X626" s="11" t="inlineStr">
        <is>
          <t>-</t>
        </is>
      </c>
      <c r="Y626" s="11" t="inlineStr">
        <is>
          <t>-</t>
        </is>
      </c>
      <c r="Z626" s="11" t="n">
        <v>0</v>
      </c>
      <c r="AA626" s="11" t="inlineStr">
        <is>
          <t>无</t>
        </is>
      </c>
      <c r="AB626" s="12" t="n">
        <v>1285</v>
      </c>
      <c r="AC626" s="12" t="n">
        <v>4</v>
      </c>
      <c r="AD626" s="12" t="n">
        <v>0</v>
      </c>
      <c r="AE626" s="12">
        <f>AB626+AC626+AD626</f>
        <v/>
      </c>
      <c r="AF626" s="13" t="n">
        <v>185000</v>
      </c>
      <c r="AG626" s="13" t="n">
        <v>0</v>
      </c>
      <c r="AH626" s="13" t="n">
        <v>0</v>
      </c>
      <c r="AI626" s="13">
        <f>AF626+AG626+AH626</f>
        <v/>
      </c>
      <c r="AJ626" s="14" t="n">
        <v>30</v>
      </c>
      <c r="AK626" s="14" t="n">
        <v>50</v>
      </c>
      <c r="AL626" s="14" t="n">
        <v>0</v>
      </c>
      <c r="AM626" s="14">
        <f>AJ626+AK626+AL626</f>
        <v/>
      </c>
      <c r="AN626" s="14">
        <f>AM626</f>
        <v/>
      </c>
    </row>
    <row r="627">
      <c r="A627" s="8" t="n">
        <v>25</v>
      </c>
      <c r="B627" s="8" t="n">
        <v>1</v>
      </c>
      <c r="C627" s="8" t="n">
        <v>2</v>
      </c>
      <c r="D627" s="8" t="inlineStr">
        <is>
          <t>月卡收益</t>
        </is>
      </c>
      <c r="E627" s="9">
        <f>K626</f>
        <v/>
      </c>
      <c r="F627" s="9" t="n">
        <v>1540</v>
      </c>
      <c r="G627" s="9" t="n">
        <v>0</v>
      </c>
      <c r="H627" s="9" t="n">
        <v>0</v>
      </c>
      <c r="I627" s="9" t="n">
        <v>0</v>
      </c>
      <c r="J627" s="9" t="n">
        <v>20480</v>
      </c>
      <c r="K627" s="9">
        <f>E627+F627+G627+H627+I627-J627</f>
        <v/>
      </c>
      <c r="L627" s="10">
        <f>Q626</f>
        <v/>
      </c>
      <c r="M627" s="10" t="n">
        <v>0</v>
      </c>
      <c r="N627" s="10" t="n">
        <v>21</v>
      </c>
      <c r="O627" s="10">
        <f>J627/160</f>
        <v/>
      </c>
      <c r="P627" s="10" t="n">
        <v>200</v>
      </c>
      <c r="Q627" s="10">
        <f>L627+M627+N627+O627-P627</f>
        <v/>
      </c>
      <c r="R627" s="11">
        <f>T626</f>
        <v/>
      </c>
      <c r="S627" s="11">
        <f>N(V627) + N(X627) + N(Z627)</f>
        <v/>
      </c>
      <c r="T627" s="11">
        <f>R627+P627-S627</f>
        <v/>
      </c>
      <c r="U627" s="11" t="inlineStr">
        <is>
          <t>是</t>
        </is>
      </c>
      <c r="V627" s="11" t="n">
        <v>50</v>
      </c>
      <c r="W627" s="11" t="inlineStr">
        <is>
          <t>是</t>
        </is>
      </c>
      <c r="X627" s="11" t="n">
        <v>49</v>
      </c>
      <c r="Y627" s="11" t="inlineStr">
        <is>
          <t>歪(50), UP(48)</t>
        </is>
      </c>
      <c r="Z627" s="11" t="n">
        <v>98</v>
      </c>
      <c r="AA627" s="11" t="inlineStr">
        <is>
          <t>冲刺200(动态90)</t>
        </is>
      </c>
      <c r="AB627" s="12">
        <f>AE626</f>
        <v/>
      </c>
      <c r="AC627" s="12" t="n">
        <v>0</v>
      </c>
      <c r="AD627" s="12" t="n">
        <v>1</v>
      </c>
      <c r="AE627" s="12">
        <f>AB627+AC627+AD627</f>
        <v/>
      </c>
      <c r="AF627" s="13">
        <f>AI626</f>
        <v/>
      </c>
      <c r="AG627" s="13" t="n">
        <v>0</v>
      </c>
      <c r="AH627" s="13" t="n">
        <v>5000</v>
      </c>
      <c r="AI627" s="13">
        <f>AF627+AG627+AH627</f>
        <v/>
      </c>
      <c r="AJ627" s="14" t="n">
        <v>0</v>
      </c>
      <c r="AK627" s="14" t="n">
        <v>0</v>
      </c>
      <c r="AL627" s="14" t="n">
        <v>0</v>
      </c>
      <c r="AM627" s="14">
        <f>AJ627+AK627+AL627</f>
        <v/>
      </c>
      <c r="AN627" s="14">
        <f>AN626+AM627</f>
        <v/>
      </c>
    </row>
    <row r="628">
      <c r="A628" s="8" t="n">
        <v>25</v>
      </c>
      <c r="B628" s="8" t="n">
        <v>2</v>
      </c>
      <c r="C628" s="8" t="n">
        <v>1</v>
      </c>
      <c r="D628" s="8" t="inlineStr">
        <is>
          <t>版本免费+义相逢 + 月卡收益 [月卡续费-30元]</t>
        </is>
      </c>
      <c r="E628" s="9">
        <f>K627</f>
        <v/>
      </c>
      <c r="F628" s="9" t="n">
        <v>1540</v>
      </c>
      <c r="G628" s="9" t="n">
        <v>4800</v>
      </c>
      <c r="H628" s="9" t="n">
        <v>0</v>
      </c>
      <c r="I628" s="9" t="n">
        <v>0</v>
      </c>
      <c r="J628" s="9" t="n">
        <v>0</v>
      </c>
      <c r="K628" s="9">
        <f>E628+F628+G628+H628+I628-J628</f>
        <v/>
      </c>
      <c r="L628" s="10">
        <f>Q627</f>
        <v/>
      </c>
      <c r="M628" s="10" t="n">
        <v>85</v>
      </c>
      <c r="N628" s="10" t="n">
        <v>11</v>
      </c>
      <c r="O628" s="10">
        <f>J628/160</f>
        <v/>
      </c>
      <c r="P628" s="10" t="n">
        <v>90</v>
      </c>
      <c r="Q628" s="10">
        <f>L628+M628+N628+O628-P628</f>
        <v/>
      </c>
      <c r="R628" s="11">
        <f>T627</f>
        <v/>
      </c>
      <c r="S628" s="11">
        <f>N(V628) + N(X628) + N(Z628)</f>
        <v/>
      </c>
      <c r="T628" s="11">
        <f>R628+P628-S628</f>
        <v/>
      </c>
      <c r="U628" s="11" t="inlineStr">
        <is>
          <t>是</t>
        </is>
      </c>
      <c r="V628" s="11" t="n">
        <v>49</v>
      </c>
      <c r="W628" s="11" t="inlineStr">
        <is>
          <t>是</t>
        </is>
      </c>
      <c r="X628" s="11" t="n">
        <v>47</v>
      </c>
      <c r="Y628" s="11" t="inlineStr">
        <is>
          <t>-</t>
        </is>
      </c>
      <c r="Z628" s="11" t="n">
        <v>0</v>
      </c>
      <c r="AA628" s="11" t="inlineStr">
        <is>
          <t>无</t>
        </is>
      </c>
      <c r="AB628" s="12">
        <f>AE627</f>
        <v/>
      </c>
      <c r="AC628" s="12" t="n">
        <v>4</v>
      </c>
      <c r="AD628" s="12" t="n">
        <v>0</v>
      </c>
      <c r="AE628" s="12">
        <f>AB628+AC628+AD628</f>
        <v/>
      </c>
      <c r="AF628" s="13">
        <f>AI627</f>
        <v/>
      </c>
      <c r="AG628" s="13" t="n">
        <v>0</v>
      </c>
      <c r="AH628" s="13" t="n">
        <v>0</v>
      </c>
      <c r="AI628" s="13">
        <f>AF628+AG628+AH628</f>
        <v/>
      </c>
      <c r="AJ628" s="14" t="n">
        <v>30</v>
      </c>
      <c r="AK628" s="14" t="n">
        <v>50</v>
      </c>
      <c r="AL628" s="14" t="n">
        <v>0</v>
      </c>
      <c r="AM628" s="14">
        <f>AJ628+AK628+AL628</f>
        <v/>
      </c>
      <c r="AN628" s="14">
        <f>AN627+AM628</f>
        <v/>
      </c>
    </row>
    <row r="629">
      <c r="A629" s="8" t="n">
        <v>25</v>
      </c>
      <c r="B629" s="8" t="n">
        <v>2</v>
      </c>
      <c r="C629" s="8" t="n">
        <v>2</v>
      </c>
      <c r="D629" s="8" t="inlineStr">
        <is>
          <t>月卡收益</t>
        </is>
      </c>
      <c r="E629" s="9">
        <f>K628</f>
        <v/>
      </c>
      <c r="F629" s="9" t="n">
        <v>1540</v>
      </c>
      <c r="G629" s="9" t="n">
        <v>0</v>
      </c>
      <c r="H629" s="9" t="n">
        <v>0</v>
      </c>
      <c r="I629" s="9" t="n">
        <v>0</v>
      </c>
      <c r="J629" s="9" t="n">
        <v>8160</v>
      </c>
      <c r="K629" s="9">
        <f>E629+F629+G629+H629+I629-J629</f>
        <v/>
      </c>
      <c r="L629" s="10">
        <f>Q628</f>
        <v/>
      </c>
      <c r="M629" s="10" t="n">
        <v>0</v>
      </c>
      <c r="N629" s="10" t="n">
        <v>6</v>
      </c>
      <c r="O629" s="10">
        <f>J629/160</f>
        <v/>
      </c>
      <c r="P629" s="10" t="n">
        <v>60</v>
      </c>
      <c r="Q629" s="10">
        <f>L629+M629+N629+O629-P629</f>
        <v/>
      </c>
      <c r="R629" s="11">
        <f>T628</f>
        <v/>
      </c>
      <c r="S629" s="11">
        <f>N(V629) + N(X629) + N(Z629)</f>
        <v/>
      </c>
      <c r="T629" s="11">
        <f>R629+P629-S629</f>
        <v/>
      </c>
      <c r="U629" s="11" t="inlineStr">
        <is>
          <t>是</t>
        </is>
      </c>
      <c r="V629" s="11" t="n">
        <v>47</v>
      </c>
      <c r="W629" s="11" t="inlineStr">
        <is>
          <t>否</t>
        </is>
      </c>
      <c r="X629" s="11" t="inlineStr">
        <is>
          <t>-</t>
        </is>
      </c>
      <c r="Y629" s="11" t="inlineStr">
        <is>
          <t>-</t>
        </is>
      </c>
      <c r="Z629" s="11" t="n">
        <v>0</v>
      </c>
      <c r="AA629" s="11" t="inlineStr">
        <is>
          <t>垫到60抽</t>
        </is>
      </c>
      <c r="AB629" s="12">
        <f>AE628</f>
        <v/>
      </c>
      <c r="AC629" s="12" t="n">
        <v>0</v>
      </c>
      <c r="AD629" s="12" t="n">
        <v>0</v>
      </c>
      <c r="AE629" s="12">
        <f>AB629+AC629+AD629</f>
        <v/>
      </c>
      <c r="AF629" s="13">
        <f>AI628</f>
        <v/>
      </c>
      <c r="AG629" s="13" t="n">
        <v>0</v>
      </c>
      <c r="AH629" s="13" t="n">
        <v>0</v>
      </c>
      <c r="AI629" s="13">
        <f>AF629+AG629+AH629</f>
        <v/>
      </c>
      <c r="AJ629" s="14" t="n">
        <v>0</v>
      </c>
      <c r="AK629" s="14" t="n">
        <v>0</v>
      </c>
      <c r="AL629" s="14" t="n">
        <v>0</v>
      </c>
      <c r="AM629" s="14">
        <f>AJ629+AK629+AL629</f>
        <v/>
      </c>
      <c r="AN629" s="14">
        <f>AN628+AM629</f>
        <v/>
      </c>
    </row>
    <row r="630">
      <c r="A630" s="8" t="n">
        <v>25</v>
      </c>
      <c r="B630" s="8" t="n">
        <v>3</v>
      </c>
      <c r="C630" s="8" t="n">
        <v>1</v>
      </c>
      <c r="D630" s="8" t="inlineStr">
        <is>
          <t>版本免费+义相逢 + 月卡收益 [月卡续费-30元]</t>
        </is>
      </c>
      <c r="E630" s="9">
        <f>K629</f>
        <v/>
      </c>
      <c r="F630" s="9" t="n">
        <v>1540</v>
      </c>
      <c r="G630" s="9" t="n">
        <v>4800</v>
      </c>
      <c r="H630" s="9" t="n">
        <v>0</v>
      </c>
      <c r="I630" s="9" t="n">
        <v>0</v>
      </c>
      <c r="J630" s="9" t="n">
        <v>0</v>
      </c>
      <c r="K630" s="9">
        <f>E630+F630+G630+H630+I630-J630</f>
        <v/>
      </c>
      <c r="L630" s="10">
        <f>Q629</f>
        <v/>
      </c>
      <c r="M630" s="10" t="n">
        <v>85</v>
      </c>
      <c r="N630" s="10" t="n">
        <v>11</v>
      </c>
      <c r="O630" s="10">
        <f>J630/160</f>
        <v/>
      </c>
      <c r="P630" s="10" t="n">
        <v>90</v>
      </c>
      <c r="Q630" s="10">
        <f>L630+M630+N630+O630-P630</f>
        <v/>
      </c>
      <c r="R630" s="11">
        <f>T629</f>
        <v/>
      </c>
      <c r="S630" s="11">
        <f>N(V630) + N(X630) + N(Z630)</f>
        <v/>
      </c>
      <c r="T630" s="11">
        <f>R630+P630-S630</f>
        <v/>
      </c>
      <c r="U630" s="11" t="inlineStr">
        <is>
          <t>是</t>
        </is>
      </c>
      <c r="V630" s="11" t="n">
        <v>50</v>
      </c>
      <c r="W630" s="11" t="inlineStr">
        <is>
          <t>是</t>
        </is>
      </c>
      <c r="X630" s="11" t="n">
        <v>51</v>
      </c>
      <c r="Y630" s="11" t="inlineStr">
        <is>
          <t>-</t>
        </is>
      </c>
      <c r="Z630" s="11" t="n">
        <v>0</v>
      </c>
      <c r="AA630" s="11" t="inlineStr">
        <is>
          <t>无</t>
        </is>
      </c>
      <c r="AB630" s="12">
        <f>AE629</f>
        <v/>
      </c>
      <c r="AC630" s="12" t="n">
        <v>4</v>
      </c>
      <c r="AD630" s="12" t="n">
        <v>0</v>
      </c>
      <c r="AE630" s="12">
        <f>AB630+AC630+AD630</f>
        <v/>
      </c>
      <c r="AF630" s="13">
        <f>AI629</f>
        <v/>
      </c>
      <c r="AG630" s="13" t="n">
        <v>0</v>
      </c>
      <c r="AH630" s="13" t="n">
        <v>0</v>
      </c>
      <c r="AI630" s="13">
        <f>AF630+AG630+AH630</f>
        <v/>
      </c>
      <c r="AJ630" s="14" t="n">
        <v>30</v>
      </c>
      <c r="AK630" s="14" t="n">
        <v>50</v>
      </c>
      <c r="AL630" s="14" t="n">
        <v>0</v>
      </c>
      <c r="AM630" s="14">
        <f>AJ630+AK630+AL630</f>
        <v/>
      </c>
      <c r="AN630" s="14">
        <f>AN629+AM630</f>
        <v/>
      </c>
    </row>
    <row r="631">
      <c r="A631" s="8" t="n">
        <v>25</v>
      </c>
      <c r="B631" s="8" t="n">
        <v>3</v>
      </c>
      <c r="C631" s="8" t="n">
        <v>2</v>
      </c>
      <c r="D631" s="8" t="inlineStr">
        <is>
          <t>月卡收益</t>
        </is>
      </c>
      <c r="E631" s="9">
        <f>K630</f>
        <v/>
      </c>
      <c r="F631" s="9" t="n">
        <v>1540</v>
      </c>
      <c r="G631" s="9" t="n">
        <v>0</v>
      </c>
      <c r="H631" s="9" t="n">
        <v>0</v>
      </c>
      <c r="I631" s="9" t="n">
        <v>0</v>
      </c>
      <c r="J631" s="9" t="n">
        <v>12800</v>
      </c>
      <c r="K631" s="9">
        <f>E631+F631+G631+H631+I631-J631</f>
        <v/>
      </c>
      <c r="L631" s="10">
        <f>Q630</f>
        <v/>
      </c>
      <c r="M631" s="10" t="n">
        <v>0</v>
      </c>
      <c r="N631" s="10" t="n">
        <v>11</v>
      </c>
      <c r="O631" s="10">
        <f>J631/160</f>
        <v/>
      </c>
      <c r="P631" s="10" t="n">
        <v>100</v>
      </c>
      <c r="Q631" s="10">
        <f>L631+M631+N631+O631-P631</f>
        <v/>
      </c>
      <c r="R631" s="11">
        <f>T630</f>
        <v/>
      </c>
      <c r="S631" s="11">
        <f>N(V631) + N(X631) + N(Z631)</f>
        <v/>
      </c>
      <c r="T631" s="11">
        <f>R631+P631-S631</f>
        <v/>
      </c>
      <c r="U631" s="11" t="inlineStr">
        <is>
          <t>是</t>
        </is>
      </c>
      <c r="V631" s="11" t="n">
        <v>49</v>
      </c>
      <c r="W631" s="11" t="inlineStr">
        <is>
          <t>是</t>
        </is>
      </c>
      <c r="X631" s="11" t="n">
        <v>53</v>
      </c>
      <c r="Y631" s="11" t="inlineStr">
        <is>
          <t>-</t>
        </is>
      </c>
      <c r="Z631" s="11" t="n">
        <v>0</v>
      </c>
      <c r="AA631" s="11" t="inlineStr">
        <is>
          <t>无</t>
        </is>
      </c>
      <c r="AB631" s="12">
        <f>AE630</f>
        <v/>
      </c>
      <c r="AC631" s="12" t="n">
        <v>0</v>
      </c>
      <c r="AD631" s="12" t="n">
        <v>0</v>
      </c>
      <c r="AE631" s="12">
        <f>AB631+AC631+AD631</f>
        <v/>
      </c>
      <c r="AF631" s="13">
        <f>AI630</f>
        <v/>
      </c>
      <c r="AG631" s="13" t="n">
        <v>0</v>
      </c>
      <c r="AH631" s="13" t="n">
        <v>0</v>
      </c>
      <c r="AI631" s="13">
        <f>AF631+AG631+AH631</f>
        <v/>
      </c>
      <c r="AJ631" s="14" t="n">
        <v>0</v>
      </c>
      <c r="AK631" s="14" t="n">
        <v>0</v>
      </c>
      <c r="AL631" s="14" t="n">
        <v>0</v>
      </c>
      <c r="AM631" s="14">
        <f>AJ631+AK631+AL631</f>
        <v/>
      </c>
      <c r="AN631" s="14">
        <f>AN630+AM631</f>
        <v/>
      </c>
    </row>
    <row r="632">
      <c r="A632" s="8" t="n">
        <v>25</v>
      </c>
      <c r="B632" s="8" t="n">
        <v>4</v>
      </c>
      <c r="C632" s="8" t="n">
        <v>1</v>
      </c>
      <c r="D632" s="8" t="inlineStr">
        <is>
          <t>版本免费+义相逢 + 月卡收益</t>
        </is>
      </c>
      <c r="E632" s="9">
        <f>K631</f>
        <v/>
      </c>
      <c r="F632" s="9" t="n">
        <v>1540</v>
      </c>
      <c r="G632" s="9" t="n">
        <v>4800</v>
      </c>
      <c r="H632" s="9" t="n">
        <v>0</v>
      </c>
      <c r="I632" s="9" t="n">
        <v>0</v>
      </c>
      <c r="J632" s="9" t="n">
        <v>0</v>
      </c>
      <c r="K632" s="9">
        <f>E632+F632+G632+H632+I632-J632</f>
        <v/>
      </c>
      <c r="L632" s="10">
        <f>Q631</f>
        <v/>
      </c>
      <c r="M632" s="10" t="n">
        <v>85</v>
      </c>
      <c r="N632" s="10" t="n">
        <v>6</v>
      </c>
      <c r="O632" s="10">
        <f>J632/160</f>
        <v/>
      </c>
      <c r="P632" s="10" t="n">
        <v>60</v>
      </c>
      <c r="Q632" s="10">
        <f>L632+M632+N632+O632-P632</f>
        <v/>
      </c>
      <c r="R632" s="11">
        <f>T631</f>
        <v/>
      </c>
      <c r="S632" s="11">
        <f>N(V632) + N(X632) + N(Z632)</f>
        <v/>
      </c>
      <c r="T632" s="11">
        <f>R632+P632-S632</f>
        <v/>
      </c>
      <c r="U632" s="11" t="inlineStr">
        <is>
          <t>是</t>
        </is>
      </c>
      <c r="V632" s="11" t="n">
        <v>52</v>
      </c>
      <c r="W632" s="11" t="inlineStr">
        <is>
          <t>否</t>
        </is>
      </c>
      <c r="X632" s="11" t="inlineStr">
        <is>
          <t>-</t>
        </is>
      </c>
      <c r="Y632" s="11" t="inlineStr">
        <is>
          <t>UP(9)</t>
        </is>
      </c>
      <c r="Z632" s="11" t="n">
        <v>9</v>
      </c>
      <c r="AA632" s="11" t="inlineStr">
        <is>
          <t>垫到60抽</t>
        </is>
      </c>
      <c r="AB632" s="12">
        <f>AE631</f>
        <v/>
      </c>
      <c r="AC632" s="12" t="n">
        <v>4</v>
      </c>
      <c r="AD632" s="12" t="n">
        <v>0</v>
      </c>
      <c r="AE632" s="12">
        <f>AB632+AC632+AD632</f>
        <v/>
      </c>
      <c r="AF632" s="13">
        <f>AI631</f>
        <v/>
      </c>
      <c r="AG632" s="13" t="n">
        <v>0</v>
      </c>
      <c r="AH632" s="13" t="n">
        <v>0</v>
      </c>
      <c r="AI632" s="13">
        <f>AF632+AG632+AH632</f>
        <v/>
      </c>
      <c r="AJ632" s="14" t="n">
        <v>0</v>
      </c>
      <c r="AK632" s="14" t="n">
        <v>50</v>
      </c>
      <c r="AL632" s="14" t="n">
        <v>0</v>
      </c>
      <c r="AM632" s="14">
        <f>AJ632+AK632+AL632</f>
        <v/>
      </c>
      <c r="AN632" s="14">
        <f>AN631+AM632</f>
        <v/>
      </c>
    </row>
    <row r="633">
      <c r="A633" s="8" t="n">
        <v>25</v>
      </c>
      <c r="B633" s="8" t="n">
        <v>4</v>
      </c>
      <c r="C633" s="8" t="n">
        <v>2</v>
      </c>
      <c r="D633" s="8" t="inlineStr">
        <is>
          <t>月卡收益 [月卡续费-30元]</t>
        </is>
      </c>
      <c r="E633" s="9">
        <f>K632</f>
        <v/>
      </c>
      <c r="F633" s="9" t="n">
        <v>1540</v>
      </c>
      <c r="G633" s="9" t="n">
        <v>0</v>
      </c>
      <c r="H633" s="9" t="n">
        <v>0</v>
      </c>
      <c r="I633" s="9" t="n">
        <v>0</v>
      </c>
      <c r="J633" s="9" t="n">
        <v>4160</v>
      </c>
      <c r="K633" s="9">
        <f>E633+F633+G633+H633+I633-J633</f>
        <v/>
      </c>
      <c r="L633" s="10">
        <f>Q632</f>
        <v/>
      </c>
      <c r="M633" s="10" t="n">
        <v>0</v>
      </c>
      <c r="N633" s="10" t="n">
        <v>6</v>
      </c>
      <c r="O633" s="10">
        <f>J633/160</f>
        <v/>
      </c>
      <c r="P633" s="10" t="n">
        <v>60</v>
      </c>
      <c r="Q633" s="10">
        <f>L633+M633+N633+O633-P633</f>
        <v/>
      </c>
      <c r="R633" s="11">
        <f>T632</f>
        <v/>
      </c>
      <c r="S633" s="11">
        <f>N(V633) + N(X633) + N(Z633)</f>
        <v/>
      </c>
      <c r="T633" s="11">
        <f>R633+P633-S633</f>
        <v/>
      </c>
      <c r="U633" s="11" t="inlineStr">
        <is>
          <t>是</t>
        </is>
      </c>
      <c r="V633" s="11" t="n">
        <v>46</v>
      </c>
      <c r="W633" s="11" t="inlineStr">
        <is>
          <t>否</t>
        </is>
      </c>
      <c r="X633" s="11" t="inlineStr">
        <is>
          <t>-</t>
        </is>
      </c>
      <c r="Y633" s="11" t="inlineStr">
        <is>
          <t>-</t>
        </is>
      </c>
      <c r="Z633" s="11" t="n">
        <v>0</v>
      </c>
      <c r="AA633" s="11" t="inlineStr">
        <is>
          <t>垫到60抽</t>
        </is>
      </c>
      <c r="AB633" s="12">
        <f>AE632</f>
        <v/>
      </c>
      <c r="AC633" s="12" t="n">
        <v>0</v>
      </c>
      <c r="AD633" s="12" t="n">
        <v>0</v>
      </c>
      <c r="AE633" s="12">
        <f>AB633+AC633+AD633</f>
        <v/>
      </c>
      <c r="AF633" s="13">
        <f>AI632</f>
        <v/>
      </c>
      <c r="AG633" s="13" t="n">
        <v>0</v>
      </c>
      <c r="AH633" s="13" t="n">
        <v>0</v>
      </c>
      <c r="AI633" s="13">
        <f>AF633+AG633+AH633</f>
        <v/>
      </c>
      <c r="AJ633" s="14" t="n">
        <v>30</v>
      </c>
      <c r="AK633" s="14" t="n">
        <v>0</v>
      </c>
      <c r="AL633" s="14" t="n">
        <v>0</v>
      </c>
      <c r="AM633" s="14">
        <f>AJ633+AK633+AL633</f>
        <v/>
      </c>
      <c r="AN633" s="14">
        <f>AN632+AM633</f>
        <v/>
      </c>
    </row>
    <row r="634">
      <c r="A634" s="8" t="n">
        <v>25</v>
      </c>
      <c r="B634" s="8" t="n">
        <v>5</v>
      </c>
      <c r="C634" s="8" t="n">
        <v>1</v>
      </c>
      <c r="D634" s="8" t="inlineStr">
        <is>
          <t>版本免费+义相逢 + 月卡收益</t>
        </is>
      </c>
      <c r="E634" s="9">
        <f>K633</f>
        <v/>
      </c>
      <c r="F634" s="9" t="n">
        <v>1540</v>
      </c>
      <c r="G634" s="9" t="n">
        <v>4800</v>
      </c>
      <c r="H634" s="9" t="n">
        <v>0</v>
      </c>
      <c r="I634" s="9" t="n">
        <v>0</v>
      </c>
      <c r="J634" s="9" t="n">
        <v>0</v>
      </c>
      <c r="K634" s="9">
        <f>E634+F634+G634+H634+I634-J634</f>
        <v/>
      </c>
      <c r="L634" s="10">
        <f>Q633</f>
        <v/>
      </c>
      <c r="M634" s="10" t="n">
        <v>85</v>
      </c>
      <c r="N634" s="10" t="n">
        <v>11</v>
      </c>
      <c r="O634" s="10">
        <f>J634/160</f>
        <v/>
      </c>
      <c r="P634" s="10" t="n">
        <v>90</v>
      </c>
      <c r="Q634" s="10">
        <f>L634+M634+N634+O634-P634</f>
        <v/>
      </c>
      <c r="R634" s="11">
        <f>T633</f>
        <v/>
      </c>
      <c r="S634" s="11">
        <f>N(V634) + N(X634) + N(Z634)</f>
        <v/>
      </c>
      <c r="T634" s="11">
        <f>R634+P634-S634</f>
        <v/>
      </c>
      <c r="U634" s="11" t="inlineStr">
        <is>
          <t>是</t>
        </is>
      </c>
      <c r="V634" s="11" t="n">
        <v>51</v>
      </c>
      <c r="W634" s="11" t="inlineStr">
        <is>
          <t>是</t>
        </is>
      </c>
      <c r="X634" s="11" t="n">
        <v>53</v>
      </c>
      <c r="Y634" s="11" t="inlineStr">
        <is>
          <t>-</t>
        </is>
      </c>
      <c r="Z634" s="11" t="n">
        <v>0</v>
      </c>
      <c r="AA634" s="11" t="inlineStr">
        <is>
          <t>无</t>
        </is>
      </c>
      <c r="AB634" s="12">
        <f>AE633</f>
        <v/>
      </c>
      <c r="AC634" s="12" t="n">
        <v>4</v>
      </c>
      <c r="AD634" s="12" t="n">
        <v>0</v>
      </c>
      <c r="AE634" s="12">
        <f>AB634+AC634+AD634</f>
        <v/>
      </c>
      <c r="AF634" s="13">
        <f>AI633</f>
        <v/>
      </c>
      <c r="AG634" s="13" t="n">
        <v>0</v>
      </c>
      <c r="AH634" s="13" t="n">
        <v>0</v>
      </c>
      <c r="AI634" s="13">
        <f>AF634+AG634+AH634</f>
        <v/>
      </c>
      <c r="AJ634" s="14" t="n">
        <v>0</v>
      </c>
      <c r="AK634" s="14" t="n">
        <v>50</v>
      </c>
      <c r="AL634" s="14" t="n">
        <v>0</v>
      </c>
      <c r="AM634" s="14">
        <f>AJ634+AK634+AL634</f>
        <v/>
      </c>
      <c r="AN634" s="14">
        <f>AN633+AM634</f>
        <v/>
      </c>
    </row>
    <row r="635">
      <c r="A635" s="8" t="n">
        <v>25</v>
      </c>
      <c r="B635" s="8" t="n">
        <v>5</v>
      </c>
      <c r="C635" s="8" t="n">
        <v>2</v>
      </c>
      <c r="D635" s="8" t="inlineStr">
        <is>
          <t>月卡收益 [月卡续费-30元]</t>
        </is>
      </c>
      <c r="E635" s="9">
        <f>K634</f>
        <v/>
      </c>
      <c r="F635" s="9" t="n">
        <v>1540</v>
      </c>
      <c r="G635" s="9" t="n">
        <v>0</v>
      </c>
      <c r="H635" s="9" t="n">
        <v>0</v>
      </c>
      <c r="I635" s="9" t="n">
        <v>0</v>
      </c>
      <c r="J635" s="9" t="n">
        <v>7680</v>
      </c>
      <c r="K635" s="9">
        <f>E635+F635+G635+H635+I635-J635</f>
        <v/>
      </c>
      <c r="L635" s="10">
        <f>Q634</f>
        <v/>
      </c>
      <c r="M635" s="10" t="n">
        <v>0</v>
      </c>
      <c r="N635" s="10" t="n">
        <v>6</v>
      </c>
      <c r="O635" s="10">
        <f>J635/160</f>
        <v/>
      </c>
      <c r="P635" s="10" t="n">
        <v>60</v>
      </c>
      <c r="Q635" s="10">
        <f>L635+M635+N635+O635-P635</f>
        <v/>
      </c>
      <c r="R635" s="11">
        <f>T634</f>
        <v/>
      </c>
      <c r="S635" s="11">
        <f>N(V635) + N(X635) + N(Z635)</f>
        <v/>
      </c>
      <c r="T635" s="11">
        <f>R635+P635-S635</f>
        <v/>
      </c>
      <c r="U635" s="11" t="inlineStr">
        <is>
          <t>是</t>
        </is>
      </c>
      <c r="V635" s="11" t="n">
        <v>52</v>
      </c>
      <c r="W635" s="11" t="inlineStr">
        <is>
          <t>否</t>
        </is>
      </c>
      <c r="X635" s="11" t="inlineStr">
        <is>
          <t>-</t>
        </is>
      </c>
      <c r="Y635" s="11" t="inlineStr">
        <is>
          <t>-</t>
        </is>
      </c>
      <c r="Z635" s="11" t="n">
        <v>0</v>
      </c>
      <c r="AA635" s="11" t="inlineStr">
        <is>
          <t>垫到60抽</t>
        </is>
      </c>
      <c r="AB635" s="12">
        <f>AE634</f>
        <v/>
      </c>
      <c r="AC635" s="12" t="n">
        <v>0</v>
      </c>
      <c r="AD635" s="12" t="n">
        <v>0</v>
      </c>
      <c r="AE635" s="12">
        <f>AB635+AC635+AD635</f>
        <v/>
      </c>
      <c r="AF635" s="13">
        <f>AI634</f>
        <v/>
      </c>
      <c r="AG635" s="13" t="n">
        <v>0</v>
      </c>
      <c r="AH635" s="13" t="n">
        <v>0</v>
      </c>
      <c r="AI635" s="13">
        <f>AF635+AG635+AH635</f>
        <v/>
      </c>
      <c r="AJ635" s="14" t="n">
        <v>30</v>
      </c>
      <c r="AK635" s="14" t="n">
        <v>0</v>
      </c>
      <c r="AL635" s="14" t="n">
        <v>0</v>
      </c>
      <c r="AM635" s="14">
        <f>AJ635+AK635+AL635</f>
        <v/>
      </c>
      <c r="AN635" s="14">
        <f>AN634+AM635</f>
        <v/>
      </c>
    </row>
    <row r="636">
      <c r="A636" s="8" t="n">
        <v>25</v>
      </c>
      <c r="B636" s="8" t="n">
        <v>6</v>
      </c>
      <c r="C636" s="8" t="n">
        <v>1</v>
      </c>
      <c r="D636" s="8" t="inlineStr">
        <is>
          <t>版本免费+义相逢 + 月卡收益</t>
        </is>
      </c>
      <c r="E636" s="9">
        <f>K635</f>
        <v/>
      </c>
      <c r="F636" s="9" t="n">
        <v>1540</v>
      </c>
      <c r="G636" s="9" t="n">
        <v>4800</v>
      </c>
      <c r="H636" s="9" t="n">
        <v>0</v>
      </c>
      <c r="I636" s="9" t="n">
        <v>0</v>
      </c>
      <c r="J636" s="9" t="n">
        <v>0</v>
      </c>
      <c r="K636" s="9">
        <f>E636+F636+G636+H636+I636-J636</f>
        <v/>
      </c>
      <c r="L636" s="10">
        <f>Q635</f>
        <v/>
      </c>
      <c r="M636" s="10" t="n">
        <v>85</v>
      </c>
      <c r="N636" s="10" t="n">
        <v>3</v>
      </c>
      <c r="O636" s="10">
        <f>J636/160</f>
        <v/>
      </c>
      <c r="P636" s="10" t="n">
        <v>40</v>
      </c>
      <c r="Q636" s="10">
        <f>L636+M636+N636+O636-P636</f>
        <v/>
      </c>
      <c r="R636" s="11">
        <f>T635</f>
        <v/>
      </c>
      <c r="S636" s="11">
        <f>N(V636) + N(X636) + N(Z636)</f>
        <v/>
      </c>
      <c r="T636" s="11">
        <f>R636+P636-S636</f>
        <v/>
      </c>
      <c r="U636" s="11" t="inlineStr">
        <is>
          <t>是</t>
        </is>
      </c>
      <c r="V636" s="11" t="n">
        <v>47</v>
      </c>
      <c r="W636" s="11" t="inlineStr">
        <is>
          <t>否</t>
        </is>
      </c>
      <c r="X636" s="11" t="inlineStr">
        <is>
          <t>-</t>
        </is>
      </c>
      <c r="Y636" s="11" t="inlineStr">
        <is>
          <t>-</t>
        </is>
      </c>
      <c r="Z636" s="11" t="n">
        <v>0</v>
      </c>
      <c r="AA636" s="11" t="inlineStr">
        <is>
          <t>无</t>
        </is>
      </c>
      <c r="AB636" s="12">
        <f>AE635</f>
        <v/>
      </c>
      <c r="AC636" s="12" t="n">
        <v>4</v>
      </c>
      <c r="AD636" s="12" t="n">
        <v>0</v>
      </c>
      <c r="AE636" s="12">
        <f>AB636+AC636+AD636</f>
        <v/>
      </c>
      <c r="AF636" s="13">
        <f>AI635</f>
        <v/>
      </c>
      <c r="AG636" s="13" t="n">
        <v>0</v>
      </c>
      <c r="AH636" s="13" t="n">
        <v>0</v>
      </c>
      <c r="AI636" s="13">
        <f>AF636+AG636+AH636</f>
        <v/>
      </c>
      <c r="AJ636" s="14" t="n">
        <v>0</v>
      </c>
      <c r="AK636" s="14" t="n">
        <v>50</v>
      </c>
      <c r="AL636" s="14" t="n">
        <v>0</v>
      </c>
      <c r="AM636" s="14">
        <f>AJ636+AK636+AL636</f>
        <v/>
      </c>
      <c r="AN636" s="14">
        <f>AN635+AM636</f>
        <v/>
      </c>
    </row>
    <row r="637">
      <c r="A637" s="8" t="n">
        <v>25</v>
      </c>
      <c r="B637" s="8" t="n">
        <v>6</v>
      </c>
      <c r="C637" s="8" t="n">
        <v>2</v>
      </c>
      <c r="D637" s="8" t="inlineStr">
        <is>
          <t>月卡收益 [月卡续费-30元]</t>
        </is>
      </c>
      <c r="E637" s="9">
        <f>K636</f>
        <v/>
      </c>
      <c r="F637" s="9" t="n">
        <v>1540</v>
      </c>
      <c r="G637" s="9" t="n">
        <v>0</v>
      </c>
      <c r="H637" s="9" t="n">
        <v>0</v>
      </c>
      <c r="I637" s="9" t="n">
        <v>0</v>
      </c>
      <c r="J637" s="9" t="n">
        <v>20480</v>
      </c>
      <c r="K637" s="9">
        <f>E637+F637+G637+H637+I637-J637</f>
        <v/>
      </c>
      <c r="L637" s="10">
        <f>Q636</f>
        <v/>
      </c>
      <c r="M637" s="10" t="n">
        <v>0</v>
      </c>
      <c r="N637" s="10" t="n">
        <v>21</v>
      </c>
      <c r="O637" s="10">
        <f>J637/160</f>
        <v/>
      </c>
      <c r="P637" s="10" t="n">
        <v>200</v>
      </c>
      <c r="Q637" s="10">
        <f>L637+M637+N637+O637-P637</f>
        <v/>
      </c>
      <c r="R637" s="11">
        <f>T636</f>
        <v/>
      </c>
      <c r="S637" s="11">
        <f>N(V637) + N(X637) + N(Z637)</f>
        <v/>
      </c>
      <c r="T637" s="11">
        <f>R637+P637-S637</f>
        <v/>
      </c>
      <c r="U637" s="11" t="inlineStr">
        <is>
          <t>是</t>
        </is>
      </c>
      <c r="V637" s="11" t="n">
        <v>47</v>
      </c>
      <c r="W637" s="11" t="inlineStr">
        <is>
          <t>是</t>
        </is>
      </c>
      <c r="X637" s="11" t="n">
        <v>48</v>
      </c>
      <c r="Y637" s="11" t="inlineStr">
        <is>
          <t>UP(48), 歪(49)</t>
        </is>
      </c>
      <c r="Z637" s="11" t="n">
        <v>97</v>
      </c>
      <c r="AA637" s="11" t="inlineStr">
        <is>
          <t>冲刺200(动态100)</t>
        </is>
      </c>
      <c r="AB637" s="12">
        <f>AE636</f>
        <v/>
      </c>
      <c r="AC637" s="12" t="n">
        <v>0</v>
      </c>
      <c r="AD637" s="12" t="n">
        <v>1</v>
      </c>
      <c r="AE637" s="12">
        <f>AB637+AC637+AD637</f>
        <v/>
      </c>
      <c r="AF637" s="13">
        <f>AI636</f>
        <v/>
      </c>
      <c r="AG637" s="13" t="n">
        <v>0</v>
      </c>
      <c r="AH637" s="13" t="n">
        <v>5000</v>
      </c>
      <c r="AI637" s="13">
        <f>AF637+AG637+AH637</f>
        <v/>
      </c>
      <c r="AJ637" s="14" t="n">
        <v>30</v>
      </c>
      <c r="AK637" s="14" t="n">
        <v>0</v>
      </c>
      <c r="AL637" s="14" t="n">
        <v>0</v>
      </c>
      <c r="AM637" s="14">
        <f>AJ637+AK637+AL637</f>
        <v/>
      </c>
      <c r="AN637" s="14">
        <f>AN636+AM637</f>
        <v/>
      </c>
    </row>
    <row r="638">
      <c r="A638" s="8" t="n">
        <v>25</v>
      </c>
      <c r="B638" s="8" t="n">
        <v>7</v>
      </c>
      <c r="C638" s="8" t="n">
        <v>1</v>
      </c>
      <c r="D638" s="8" t="inlineStr">
        <is>
          <t>版本免费+义相逢 + 月卡收益</t>
        </is>
      </c>
      <c r="E638" s="9">
        <f>K637</f>
        <v/>
      </c>
      <c r="F638" s="9" t="n">
        <v>1540</v>
      </c>
      <c r="G638" s="9" t="n">
        <v>4800</v>
      </c>
      <c r="H638" s="9" t="n">
        <v>0</v>
      </c>
      <c r="I638" s="9" t="n">
        <v>0</v>
      </c>
      <c r="J638" s="9" t="n">
        <v>0</v>
      </c>
      <c r="K638" s="9">
        <f>E638+F638+G638+H638+I638-J638</f>
        <v/>
      </c>
      <c r="L638" s="10">
        <f>Q637</f>
        <v/>
      </c>
      <c r="M638" s="10" t="n">
        <v>85</v>
      </c>
      <c r="N638" s="10" t="n">
        <v>3</v>
      </c>
      <c r="O638" s="10">
        <f>J638/160</f>
        <v/>
      </c>
      <c r="P638" s="10" t="n">
        <v>40</v>
      </c>
      <c r="Q638" s="10">
        <f>L638+M638+N638+O638-P638</f>
        <v/>
      </c>
      <c r="R638" s="11">
        <f>T637</f>
        <v/>
      </c>
      <c r="S638" s="11">
        <f>N(V638) + N(X638) + N(Z638)</f>
        <v/>
      </c>
      <c r="T638" s="11">
        <f>R638+P638-S638</f>
        <v/>
      </c>
      <c r="U638" s="11" t="inlineStr">
        <is>
          <t>是</t>
        </is>
      </c>
      <c r="V638" s="11" t="n">
        <v>49</v>
      </c>
      <c r="W638" s="11" t="inlineStr">
        <is>
          <t>否</t>
        </is>
      </c>
      <c r="X638" s="11" t="inlineStr">
        <is>
          <t>-</t>
        </is>
      </c>
      <c r="Y638" s="11" t="inlineStr">
        <is>
          <t>-</t>
        </is>
      </c>
      <c r="Z638" s="11" t="n">
        <v>0</v>
      </c>
      <c r="AA638" s="11" t="inlineStr">
        <is>
          <t>无</t>
        </is>
      </c>
      <c r="AB638" s="12">
        <f>AE637</f>
        <v/>
      </c>
      <c r="AC638" s="12" t="n">
        <v>4</v>
      </c>
      <c r="AD638" s="12" t="n">
        <v>0</v>
      </c>
      <c r="AE638" s="12">
        <f>AB638+AC638+AD638</f>
        <v/>
      </c>
      <c r="AF638" s="13">
        <f>AI637</f>
        <v/>
      </c>
      <c r="AG638" s="13" t="n">
        <v>0</v>
      </c>
      <c r="AH638" s="13" t="n">
        <v>0</v>
      </c>
      <c r="AI638" s="13">
        <f>AF638+AG638+AH638</f>
        <v/>
      </c>
      <c r="AJ638" s="14" t="n">
        <v>0</v>
      </c>
      <c r="AK638" s="14" t="n">
        <v>50</v>
      </c>
      <c r="AL638" s="14" t="n">
        <v>0</v>
      </c>
      <c r="AM638" s="14">
        <f>AJ638+AK638+AL638</f>
        <v/>
      </c>
      <c r="AN638" s="14">
        <f>AN637+AM638</f>
        <v/>
      </c>
    </row>
    <row r="639">
      <c r="A639" s="8" t="n">
        <v>25</v>
      </c>
      <c r="B639" s="8" t="n">
        <v>7</v>
      </c>
      <c r="C639" s="8" t="n">
        <v>2</v>
      </c>
      <c r="D639" s="8" t="inlineStr">
        <is>
          <t>月卡收益 [月卡续费-30元]</t>
        </is>
      </c>
      <c r="E639" s="9">
        <f>K638</f>
        <v/>
      </c>
      <c r="F639" s="9" t="n">
        <v>1540</v>
      </c>
      <c r="G639" s="9" t="n">
        <v>0</v>
      </c>
      <c r="H639" s="9" t="n">
        <v>0</v>
      </c>
      <c r="I639" s="9" t="n">
        <v>0</v>
      </c>
      <c r="J639" s="9" t="n">
        <v>5760</v>
      </c>
      <c r="K639" s="9">
        <f>E639+F639+G639+H639+I639-J639</f>
        <v/>
      </c>
      <c r="L639" s="10">
        <f>Q638</f>
        <v/>
      </c>
      <c r="M639" s="10" t="n">
        <v>0</v>
      </c>
      <c r="N639" s="10" t="n">
        <v>11</v>
      </c>
      <c r="O639" s="10">
        <f>J639/160</f>
        <v/>
      </c>
      <c r="P639" s="10" t="n">
        <v>90</v>
      </c>
      <c r="Q639" s="10">
        <f>L639+M639+N639+O639-P639</f>
        <v/>
      </c>
      <c r="R639" s="11">
        <f>T638</f>
        <v/>
      </c>
      <c r="S639" s="11">
        <f>N(V639) + N(X639) + N(Z639)</f>
        <v/>
      </c>
      <c r="T639" s="11">
        <f>R639+P639-S639</f>
        <v/>
      </c>
      <c r="U639" s="11" t="inlineStr">
        <is>
          <t>是</t>
        </is>
      </c>
      <c r="V639" s="11" t="n">
        <v>47</v>
      </c>
      <c r="W639" s="11" t="inlineStr">
        <is>
          <t>是</t>
        </is>
      </c>
      <c r="X639" s="11" t="n">
        <v>42</v>
      </c>
      <c r="Y639" s="11" t="inlineStr">
        <is>
          <t>-</t>
        </is>
      </c>
      <c r="Z639" s="11" t="n">
        <v>0</v>
      </c>
      <c r="AA639" s="11" t="inlineStr">
        <is>
          <t>无</t>
        </is>
      </c>
      <c r="AB639" s="12">
        <f>AE638</f>
        <v/>
      </c>
      <c r="AC639" s="12" t="n">
        <v>0</v>
      </c>
      <c r="AD639" s="12" t="n">
        <v>0</v>
      </c>
      <c r="AE639" s="12">
        <f>AB639+AC639+AD639</f>
        <v/>
      </c>
      <c r="AF639" s="13">
        <f>AI638</f>
        <v/>
      </c>
      <c r="AG639" s="13" t="n">
        <v>0</v>
      </c>
      <c r="AH639" s="13" t="n">
        <v>0</v>
      </c>
      <c r="AI639" s="13">
        <f>AF639+AG639+AH639</f>
        <v/>
      </c>
      <c r="AJ639" s="14" t="n">
        <v>30</v>
      </c>
      <c r="AK639" s="14" t="n">
        <v>0</v>
      </c>
      <c r="AL639" s="14" t="n">
        <v>0</v>
      </c>
      <c r="AM639" s="14">
        <f>AJ639+AK639+AL639</f>
        <v/>
      </c>
      <c r="AN639" s="14">
        <f>AN638+AM639</f>
        <v/>
      </c>
    </row>
    <row r="640">
      <c r="A640" s="8" t="n">
        <v>25</v>
      </c>
      <c r="B640" s="8" t="n">
        <v>8</v>
      </c>
      <c r="C640" s="8" t="n">
        <v>1</v>
      </c>
      <c r="D640" s="8" t="inlineStr">
        <is>
          <t>版本免费+义相逢 + 月卡收益</t>
        </is>
      </c>
      <c r="E640" s="9">
        <f>K639</f>
        <v/>
      </c>
      <c r="F640" s="9" t="n">
        <v>1540</v>
      </c>
      <c r="G640" s="9" t="n">
        <v>4800</v>
      </c>
      <c r="H640" s="9" t="n">
        <v>0</v>
      </c>
      <c r="I640" s="9" t="n">
        <v>0</v>
      </c>
      <c r="J640" s="9" t="n">
        <v>0</v>
      </c>
      <c r="K640" s="9">
        <f>E640+F640+G640+H640+I640-J640</f>
        <v/>
      </c>
      <c r="L640" s="10">
        <f>Q639</f>
        <v/>
      </c>
      <c r="M640" s="10" t="n">
        <v>85</v>
      </c>
      <c r="N640" s="10" t="n">
        <v>6</v>
      </c>
      <c r="O640" s="10">
        <f>J640/160</f>
        <v/>
      </c>
      <c r="P640" s="10" t="n">
        <v>60</v>
      </c>
      <c r="Q640" s="10">
        <f>L640+M640+N640+O640-P640</f>
        <v/>
      </c>
      <c r="R640" s="11">
        <f>T639</f>
        <v/>
      </c>
      <c r="S640" s="11">
        <f>N(V640) + N(X640) + N(Z640)</f>
        <v/>
      </c>
      <c r="T640" s="11">
        <f>R640+P640-S640</f>
        <v/>
      </c>
      <c r="U640" s="11" t="inlineStr">
        <is>
          <t>是</t>
        </is>
      </c>
      <c r="V640" s="11" t="n">
        <v>49</v>
      </c>
      <c r="W640" s="11" t="inlineStr">
        <is>
          <t>否</t>
        </is>
      </c>
      <c r="X640" s="11" t="inlineStr">
        <is>
          <t>-</t>
        </is>
      </c>
      <c r="Y640" s="11" t="inlineStr">
        <is>
          <t>-</t>
        </is>
      </c>
      <c r="Z640" s="11" t="n">
        <v>0</v>
      </c>
      <c r="AA640" s="11" t="inlineStr">
        <is>
          <t>垫到60抽</t>
        </is>
      </c>
      <c r="AB640" s="12">
        <f>AE639</f>
        <v/>
      </c>
      <c r="AC640" s="12" t="n">
        <v>4</v>
      </c>
      <c r="AD640" s="12" t="n">
        <v>0</v>
      </c>
      <c r="AE640" s="12">
        <f>AB640+AC640+AD640</f>
        <v/>
      </c>
      <c r="AF640" s="13">
        <f>AI639</f>
        <v/>
      </c>
      <c r="AG640" s="13" t="n">
        <v>0</v>
      </c>
      <c r="AH640" s="13" t="n">
        <v>0</v>
      </c>
      <c r="AI640" s="13">
        <f>AF640+AG640+AH640</f>
        <v/>
      </c>
      <c r="AJ640" s="14" t="n">
        <v>0</v>
      </c>
      <c r="AK640" s="14" t="n">
        <v>50</v>
      </c>
      <c r="AL640" s="14" t="n">
        <v>0</v>
      </c>
      <c r="AM640" s="14">
        <f>AJ640+AK640+AL640</f>
        <v/>
      </c>
      <c r="AN640" s="14">
        <f>AN639+AM640</f>
        <v/>
      </c>
    </row>
    <row r="641">
      <c r="A641" s="8" t="n">
        <v>25</v>
      </c>
      <c r="B641" s="8" t="n">
        <v>8</v>
      </c>
      <c r="C641" s="8" t="n">
        <v>2</v>
      </c>
      <c r="D641" s="8" t="inlineStr">
        <is>
          <t>月卡收益 [月卡续费-30元]</t>
        </is>
      </c>
      <c r="E641" s="9">
        <f>K640</f>
        <v/>
      </c>
      <c r="F641" s="9" t="n">
        <v>1540</v>
      </c>
      <c r="G641" s="9" t="n">
        <v>0</v>
      </c>
      <c r="H641" s="9" t="n">
        <v>0</v>
      </c>
      <c r="I641" s="9" t="n">
        <v>0</v>
      </c>
      <c r="J641" s="9" t="n">
        <v>160</v>
      </c>
      <c r="K641" s="9">
        <f>E641+F641+G641+H641+I641-J641</f>
        <v/>
      </c>
      <c r="L641" s="10">
        <f>Q640</f>
        <v/>
      </c>
      <c r="M641" s="10" t="n">
        <v>0</v>
      </c>
      <c r="N641" s="10" t="n">
        <v>3</v>
      </c>
      <c r="O641" s="10">
        <f>J641/160</f>
        <v/>
      </c>
      <c r="P641" s="10" t="n">
        <v>40</v>
      </c>
      <c r="Q641" s="10">
        <f>L641+M641+N641+O641-P641</f>
        <v/>
      </c>
      <c r="R641" s="11">
        <f>T640</f>
        <v/>
      </c>
      <c r="S641" s="11">
        <f>N(V641) + N(X641) + N(Z641)</f>
        <v/>
      </c>
      <c r="T641" s="11">
        <f>R641+P641-S641</f>
        <v/>
      </c>
      <c r="U641" s="11" t="inlineStr">
        <is>
          <t>是</t>
        </is>
      </c>
      <c r="V641" s="11" t="n">
        <v>51</v>
      </c>
      <c r="W641" s="11" t="inlineStr">
        <is>
          <t>否</t>
        </is>
      </c>
      <c r="X641" s="11" t="inlineStr">
        <is>
          <t>-</t>
        </is>
      </c>
      <c r="Y641" s="11" t="inlineStr">
        <is>
          <t>-</t>
        </is>
      </c>
      <c r="Z641" s="11" t="n">
        <v>0</v>
      </c>
      <c r="AA641" s="11" t="inlineStr">
        <is>
          <t>无</t>
        </is>
      </c>
      <c r="AB641" s="12">
        <f>AE640</f>
        <v/>
      </c>
      <c r="AC641" s="12" t="n">
        <v>0</v>
      </c>
      <c r="AD641" s="12" t="n">
        <v>0</v>
      </c>
      <c r="AE641" s="12">
        <f>AB641+AC641+AD641</f>
        <v/>
      </c>
      <c r="AF641" s="13">
        <f>AI640</f>
        <v/>
      </c>
      <c r="AG641" s="13" t="n">
        <v>0</v>
      </c>
      <c r="AH641" s="13" t="n">
        <v>0</v>
      </c>
      <c r="AI641" s="13">
        <f>AF641+AG641+AH641</f>
        <v/>
      </c>
      <c r="AJ641" s="14" t="n">
        <v>30</v>
      </c>
      <c r="AK641" s="14" t="n">
        <v>0</v>
      </c>
      <c r="AL641" s="14" t="n">
        <v>0</v>
      </c>
      <c r="AM641" s="14">
        <f>AJ641+AK641+AL641</f>
        <v/>
      </c>
      <c r="AN641" s="14">
        <f>AN640+AM641</f>
        <v/>
      </c>
    </row>
    <row r="642">
      <c r="A642" s="8" t="n">
        <v>25</v>
      </c>
      <c r="B642" s="8" t="n">
        <v>9</v>
      </c>
      <c r="C642" s="8" t="n">
        <v>1</v>
      </c>
      <c r="D642" s="8" t="inlineStr">
        <is>
          <t>版本免费+义相逢 + 月卡收益</t>
        </is>
      </c>
      <c r="E642" s="9">
        <f>K641</f>
        <v/>
      </c>
      <c r="F642" s="9" t="n">
        <v>1540</v>
      </c>
      <c r="G642" s="9" t="n">
        <v>4800</v>
      </c>
      <c r="H642" s="9" t="n">
        <v>0</v>
      </c>
      <c r="I642" s="9" t="n">
        <v>0</v>
      </c>
      <c r="J642" s="9" t="n">
        <v>0</v>
      </c>
      <c r="K642" s="9">
        <f>E642+F642+G642+H642+I642-J642</f>
        <v/>
      </c>
      <c r="L642" s="10">
        <f>Q641</f>
        <v/>
      </c>
      <c r="M642" s="10" t="n">
        <v>85</v>
      </c>
      <c r="N642" s="10" t="n">
        <v>6</v>
      </c>
      <c r="O642" s="10">
        <f>J642/160</f>
        <v/>
      </c>
      <c r="P642" s="10" t="n">
        <v>60</v>
      </c>
      <c r="Q642" s="10">
        <f>L642+M642+N642+O642-P642</f>
        <v/>
      </c>
      <c r="R642" s="11">
        <f>T641</f>
        <v/>
      </c>
      <c r="S642" s="11">
        <f>N(V642) + N(X642) + N(Z642)</f>
        <v/>
      </c>
      <c r="T642" s="11">
        <f>R642+P642-S642</f>
        <v/>
      </c>
      <c r="U642" s="11" t="inlineStr">
        <is>
          <t>是</t>
        </is>
      </c>
      <c r="V642" s="11" t="n">
        <v>48</v>
      </c>
      <c r="W642" s="11" t="inlineStr">
        <is>
          <t>否</t>
        </is>
      </c>
      <c r="X642" s="11" t="inlineStr">
        <is>
          <t>-</t>
        </is>
      </c>
      <c r="Y642" s="11" t="inlineStr">
        <is>
          <t>-</t>
        </is>
      </c>
      <c r="Z642" s="11" t="n">
        <v>0</v>
      </c>
      <c r="AA642" s="11" t="inlineStr">
        <is>
          <t>垫到60抽</t>
        </is>
      </c>
      <c r="AB642" s="12">
        <f>AE641</f>
        <v/>
      </c>
      <c r="AC642" s="12" t="n">
        <v>4</v>
      </c>
      <c r="AD642" s="12" t="n">
        <v>0</v>
      </c>
      <c r="AE642" s="12">
        <f>AB642+AC642+AD642</f>
        <v/>
      </c>
      <c r="AF642" s="13">
        <f>AI641</f>
        <v/>
      </c>
      <c r="AG642" s="13" t="n">
        <v>0</v>
      </c>
      <c r="AH642" s="13" t="n">
        <v>0</v>
      </c>
      <c r="AI642" s="13">
        <f>AF642+AG642+AH642</f>
        <v/>
      </c>
      <c r="AJ642" s="14" t="n">
        <v>0</v>
      </c>
      <c r="AK642" s="14" t="n">
        <v>50</v>
      </c>
      <c r="AL642" s="14" t="n">
        <v>0</v>
      </c>
      <c r="AM642" s="14">
        <f>AJ642+AK642+AL642</f>
        <v/>
      </c>
      <c r="AN642" s="14">
        <f>AN641+AM642</f>
        <v/>
      </c>
    </row>
    <row r="643">
      <c r="A643" s="8" t="n">
        <v>25</v>
      </c>
      <c r="B643" s="8" t="n">
        <v>9</v>
      </c>
      <c r="C643" s="8" t="n">
        <v>2</v>
      </c>
      <c r="D643" s="8" t="inlineStr">
        <is>
          <t>月卡收益 [月卡续费-30元]</t>
        </is>
      </c>
      <c r="E643" s="9">
        <f>K642</f>
        <v/>
      </c>
      <c r="F643" s="9" t="n">
        <v>1540</v>
      </c>
      <c r="G643" s="9" t="n">
        <v>0</v>
      </c>
      <c r="H643" s="9" t="n">
        <v>0</v>
      </c>
      <c r="I643" s="9" t="n">
        <v>0</v>
      </c>
      <c r="J643" s="9" t="n">
        <v>8480</v>
      </c>
      <c r="K643" s="9">
        <f>E643+F643+G643+H643+I643-J643</f>
        <v/>
      </c>
      <c r="L643" s="10">
        <f>Q642</f>
        <v/>
      </c>
      <c r="M643" s="10" t="n">
        <v>0</v>
      </c>
      <c r="N643" s="10" t="n">
        <v>11</v>
      </c>
      <c r="O643" s="10">
        <f>J643/160</f>
        <v/>
      </c>
      <c r="P643" s="10" t="n">
        <v>90</v>
      </c>
      <c r="Q643" s="10">
        <f>L643+M643+N643+O643-P643</f>
        <v/>
      </c>
      <c r="R643" s="11">
        <f>T642</f>
        <v/>
      </c>
      <c r="S643" s="11">
        <f>N(V643) + N(X643) + N(Z643)</f>
        <v/>
      </c>
      <c r="T643" s="11">
        <f>R643+P643-S643</f>
        <v/>
      </c>
      <c r="U643" s="11" t="inlineStr">
        <is>
          <t>是</t>
        </is>
      </c>
      <c r="V643" s="11" t="n">
        <v>51</v>
      </c>
      <c r="W643" s="11" t="inlineStr">
        <is>
          <t>是</t>
        </is>
      </c>
      <c r="X643" s="11" t="n">
        <v>50</v>
      </c>
      <c r="Y643" s="11" t="inlineStr">
        <is>
          <t>-</t>
        </is>
      </c>
      <c r="Z643" s="11" t="n">
        <v>0</v>
      </c>
      <c r="AA643" s="11" t="inlineStr">
        <is>
          <t>无</t>
        </is>
      </c>
      <c r="AB643" s="12">
        <f>AE642</f>
        <v/>
      </c>
      <c r="AC643" s="12" t="n">
        <v>0</v>
      </c>
      <c r="AD643" s="12" t="n">
        <v>0</v>
      </c>
      <c r="AE643" s="12">
        <f>AB643+AC643+AD643</f>
        <v/>
      </c>
      <c r="AF643" s="13">
        <f>AI642</f>
        <v/>
      </c>
      <c r="AG643" s="13" t="n">
        <v>0</v>
      </c>
      <c r="AH643" s="13" t="n">
        <v>0</v>
      </c>
      <c r="AI643" s="13">
        <f>AF643+AG643+AH643</f>
        <v/>
      </c>
      <c r="AJ643" s="14" t="n">
        <v>30</v>
      </c>
      <c r="AK643" s="14" t="n">
        <v>0</v>
      </c>
      <c r="AL643" s="14" t="n">
        <v>0</v>
      </c>
      <c r="AM643" s="14">
        <f>AJ643+AK643+AL643</f>
        <v/>
      </c>
      <c r="AN643" s="14">
        <f>AN642+AM643</f>
        <v/>
      </c>
    </row>
    <row r="644">
      <c r="A644" s="8" t="n">
        <v>25</v>
      </c>
      <c r="B644" s="8" t="n">
        <v>10</v>
      </c>
      <c r="C644" s="8" t="n">
        <v>1</v>
      </c>
      <c r="D644" s="8" t="inlineStr">
        <is>
          <t>版本免费+义相逢 + 月卡收益</t>
        </is>
      </c>
      <c r="E644" s="9">
        <f>K643</f>
        <v/>
      </c>
      <c r="F644" s="9" t="n">
        <v>1540</v>
      </c>
      <c r="G644" s="9" t="n">
        <v>4800</v>
      </c>
      <c r="H644" s="9" t="n">
        <v>0</v>
      </c>
      <c r="I644" s="9" t="n">
        <v>0</v>
      </c>
      <c r="J644" s="9" t="n">
        <v>14240</v>
      </c>
      <c r="K644" s="9">
        <f>E644+F644+G644+H644+I644-J644</f>
        <v/>
      </c>
      <c r="L644" s="10">
        <f>Q643</f>
        <v/>
      </c>
      <c r="M644" s="10" t="n">
        <v>85</v>
      </c>
      <c r="N644" s="10" t="n">
        <v>21</v>
      </c>
      <c r="O644" s="10">
        <f>J644/160</f>
        <v/>
      </c>
      <c r="P644" s="10" t="n">
        <v>200</v>
      </c>
      <c r="Q644" s="10">
        <f>L644+M644+N644+O644-P644</f>
        <v/>
      </c>
      <c r="R644" s="11">
        <f>T643</f>
        <v/>
      </c>
      <c r="S644" s="11">
        <f>N(V644) + N(X644) + N(Z644)</f>
        <v/>
      </c>
      <c r="T644" s="11">
        <f>R644+P644-S644</f>
        <v/>
      </c>
      <c r="U644" s="11" t="inlineStr">
        <is>
          <t>是</t>
        </is>
      </c>
      <c r="V644" s="11" t="n">
        <v>54</v>
      </c>
      <c r="W644" s="11" t="inlineStr">
        <is>
          <t>是</t>
        </is>
      </c>
      <c r="X644" s="11" t="n">
        <v>47</v>
      </c>
      <c r="Y644" s="11" t="inlineStr">
        <is>
          <t>UP(34), 歪(49)</t>
        </is>
      </c>
      <c r="Z644" s="11" t="n">
        <v>83</v>
      </c>
      <c r="AA644" s="11" t="inlineStr">
        <is>
          <t>冲刺200(动态100)</t>
        </is>
      </c>
      <c r="AB644" s="12">
        <f>AE643</f>
        <v/>
      </c>
      <c r="AC644" s="12" t="n">
        <v>4</v>
      </c>
      <c r="AD644" s="12" t="n">
        <v>1</v>
      </c>
      <c r="AE644" s="12">
        <f>AB644+AC644+AD644</f>
        <v/>
      </c>
      <c r="AF644" s="13">
        <f>AI643</f>
        <v/>
      </c>
      <c r="AG644" s="13" t="n">
        <v>0</v>
      </c>
      <c r="AH644" s="13" t="n">
        <v>5000</v>
      </c>
      <c r="AI644" s="13">
        <f>AF644+AG644+AH644</f>
        <v/>
      </c>
      <c r="AJ644" s="14" t="n">
        <v>0</v>
      </c>
      <c r="AK644" s="14" t="n">
        <v>50</v>
      </c>
      <c r="AL644" s="14" t="n">
        <v>0</v>
      </c>
      <c r="AM644" s="14">
        <f>AJ644+AK644+AL644</f>
        <v/>
      </c>
      <c r="AN644" s="14">
        <f>AN643+AM644</f>
        <v/>
      </c>
    </row>
    <row r="645">
      <c r="A645" s="8" t="n">
        <v>25</v>
      </c>
      <c r="B645" s="8" t="n">
        <v>10</v>
      </c>
      <c r="C645" s="8" t="n">
        <v>2</v>
      </c>
      <c r="D645" s="8" t="inlineStr">
        <is>
          <t>月卡收益 [月卡续费-30元]</t>
        </is>
      </c>
      <c r="E645" s="9">
        <f>K644</f>
        <v/>
      </c>
      <c r="F645" s="9" t="n">
        <v>1540</v>
      </c>
      <c r="G645" s="9" t="n">
        <v>0</v>
      </c>
      <c r="H645" s="9" t="n">
        <v>0</v>
      </c>
      <c r="I645" s="9" t="n">
        <v>0</v>
      </c>
      <c r="J645" s="9" t="n">
        <v>4640</v>
      </c>
      <c r="K645" s="9">
        <f>E645+F645+G645+H645+I645-J645</f>
        <v/>
      </c>
      <c r="L645" s="10">
        <f>Q644</f>
        <v/>
      </c>
      <c r="M645" s="10" t="n">
        <v>0</v>
      </c>
      <c r="N645" s="10" t="n">
        <v>3</v>
      </c>
      <c r="O645" s="10">
        <f>J645/160</f>
        <v/>
      </c>
      <c r="P645" s="10" t="n">
        <v>30</v>
      </c>
      <c r="Q645" s="10">
        <f>L645+M645+N645+O645-P645</f>
        <v/>
      </c>
      <c r="R645" s="11">
        <f>T644</f>
        <v/>
      </c>
      <c r="S645" s="11">
        <f>N(V645) + N(X645) + N(Z645)</f>
        <v/>
      </c>
      <c r="T645" s="11">
        <f>R645+P645-S645</f>
        <v/>
      </c>
      <c r="U645" s="11" t="inlineStr">
        <is>
          <t>是</t>
        </is>
      </c>
      <c r="V645" s="11" t="n">
        <v>48</v>
      </c>
      <c r="W645" s="11" t="inlineStr">
        <is>
          <t>否</t>
        </is>
      </c>
      <c r="X645" s="11" t="inlineStr">
        <is>
          <t>-</t>
        </is>
      </c>
      <c r="Y645" s="11" t="inlineStr">
        <is>
          <t>-</t>
        </is>
      </c>
      <c r="Z645" s="11" t="n">
        <v>0</v>
      </c>
      <c r="AA645" s="11" t="inlineStr">
        <is>
          <t>无</t>
        </is>
      </c>
      <c r="AB645" s="12">
        <f>AE644</f>
        <v/>
      </c>
      <c r="AC645" s="12" t="n">
        <v>0</v>
      </c>
      <c r="AD645" s="12" t="n">
        <v>0</v>
      </c>
      <c r="AE645" s="12">
        <f>AB645+AC645+AD645</f>
        <v/>
      </c>
      <c r="AF645" s="13">
        <f>AI644</f>
        <v/>
      </c>
      <c r="AG645" s="13" t="n">
        <v>0</v>
      </c>
      <c r="AH645" s="13" t="n">
        <v>0</v>
      </c>
      <c r="AI645" s="13">
        <f>AF645+AG645+AH645</f>
        <v/>
      </c>
      <c r="AJ645" s="14" t="n">
        <v>30</v>
      </c>
      <c r="AK645" s="14" t="n">
        <v>0</v>
      </c>
      <c r="AL645" s="14" t="n">
        <v>0</v>
      </c>
      <c r="AM645" s="14">
        <f>AJ645+AK645+AL645</f>
        <v/>
      </c>
      <c r="AN645" s="14">
        <f>AN644+AM645</f>
        <v/>
      </c>
    </row>
    <row r="646">
      <c r="A646" s="8" t="n">
        <v>25</v>
      </c>
      <c r="B646" s="8" t="n">
        <v>11</v>
      </c>
      <c r="C646" s="8" t="n">
        <v>1</v>
      </c>
      <c r="D646" s="8" t="inlineStr">
        <is>
          <t>版本免费+义相逢 + 月卡收益</t>
        </is>
      </c>
      <c r="E646" s="9">
        <f>K645</f>
        <v/>
      </c>
      <c r="F646" s="9" t="n">
        <v>1540</v>
      </c>
      <c r="G646" s="9" t="n">
        <v>4800</v>
      </c>
      <c r="H646" s="9" t="n">
        <v>0</v>
      </c>
      <c r="I646" s="9" t="n">
        <v>0</v>
      </c>
      <c r="J646" s="9" t="n">
        <v>320</v>
      </c>
      <c r="K646" s="9">
        <f>E646+F646+G646+H646+I646-J646</f>
        <v/>
      </c>
      <c r="L646" s="10">
        <f>Q645</f>
        <v/>
      </c>
      <c r="M646" s="10" t="n">
        <v>85</v>
      </c>
      <c r="N646" s="10" t="n">
        <v>11</v>
      </c>
      <c r="O646" s="10">
        <f>J646/160</f>
        <v/>
      </c>
      <c r="P646" s="10" t="n">
        <v>100</v>
      </c>
      <c r="Q646" s="10">
        <f>L646+M646+N646+O646-P646</f>
        <v/>
      </c>
      <c r="R646" s="11">
        <f>T645</f>
        <v/>
      </c>
      <c r="S646" s="11">
        <f>N(V646) + N(X646) + N(Z646)</f>
        <v/>
      </c>
      <c r="T646" s="11">
        <f>R646+P646-S646</f>
        <v/>
      </c>
      <c r="U646" s="11" t="inlineStr">
        <is>
          <t>是</t>
        </is>
      </c>
      <c r="V646" s="11" t="n">
        <v>51</v>
      </c>
      <c r="W646" s="11" t="inlineStr">
        <is>
          <t>是</t>
        </is>
      </c>
      <c r="X646" s="11" t="n">
        <v>46</v>
      </c>
      <c r="Y646" s="11" t="inlineStr">
        <is>
          <t>-</t>
        </is>
      </c>
      <c r="Z646" s="11" t="n">
        <v>0</v>
      </c>
      <c r="AA646" s="11" t="inlineStr">
        <is>
          <t>无</t>
        </is>
      </c>
      <c r="AB646" s="12">
        <f>AE645</f>
        <v/>
      </c>
      <c r="AC646" s="12" t="n">
        <v>4</v>
      </c>
      <c r="AD646" s="12" t="n">
        <v>0</v>
      </c>
      <c r="AE646" s="12">
        <f>AB646+AC646+AD646</f>
        <v/>
      </c>
      <c r="AF646" s="13">
        <f>AI645</f>
        <v/>
      </c>
      <c r="AG646" s="13" t="n">
        <v>0</v>
      </c>
      <c r="AH646" s="13" t="n">
        <v>0</v>
      </c>
      <c r="AI646" s="13">
        <f>AF646+AG646+AH646</f>
        <v/>
      </c>
      <c r="AJ646" s="14" t="n">
        <v>0</v>
      </c>
      <c r="AK646" s="14" t="n">
        <v>50</v>
      </c>
      <c r="AL646" s="14" t="n">
        <v>0</v>
      </c>
      <c r="AM646" s="14">
        <f>AJ646+AK646+AL646</f>
        <v/>
      </c>
      <c r="AN646" s="14">
        <f>AN645+AM646</f>
        <v/>
      </c>
    </row>
    <row r="647">
      <c r="A647" s="8" t="n">
        <v>25</v>
      </c>
      <c r="B647" s="8" t="n">
        <v>11</v>
      </c>
      <c r="C647" s="8" t="n">
        <v>2</v>
      </c>
      <c r="D647" s="8" t="inlineStr">
        <is>
          <t>月卡收益</t>
        </is>
      </c>
      <c r="E647" s="9">
        <f>K646</f>
        <v/>
      </c>
      <c r="F647" s="9" t="n">
        <v>1540</v>
      </c>
      <c r="G647" s="9" t="n">
        <v>0</v>
      </c>
      <c r="H647" s="9" t="n">
        <v>0</v>
      </c>
      <c r="I647" s="9" t="n">
        <v>0</v>
      </c>
      <c r="J647" s="9" t="n">
        <v>9120</v>
      </c>
      <c r="K647" s="9">
        <f>E647+F647+G647+H647+I647-J647</f>
        <v/>
      </c>
      <c r="L647" s="10">
        <f>Q646</f>
        <v/>
      </c>
      <c r="M647" s="10" t="n">
        <v>0</v>
      </c>
      <c r="N647" s="10" t="n">
        <v>6</v>
      </c>
      <c r="O647" s="10">
        <f>J647/160</f>
        <v/>
      </c>
      <c r="P647" s="10" t="n">
        <v>60</v>
      </c>
      <c r="Q647" s="10">
        <f>L647+M647+N647+O647-P647</f>
        <v/>
      </c>
      <c r="R647" s="11">
        <f>T646</f>
        <v/>
      </c>
      <c r="S647" s="11">
        <f>N(V647) + N(X647) + N(Z647)</f>
        <v/>
      </c>
      <c r="T647" s="11">
        <f>R647+P647-S647</f>
        <v/>
      </c>
      <c r="U647" s="11" t="inlineStr">
        <is>
          <t>是</t>
        </is>
      </c>
      <c r="V647" s="11" t="n">
        <v>52</v>
      </c>
      <c r="W647" s="11" t="inlineStr">
        <is>
          <t>否</t>
        </is>
      </c>
      <c r="X647" s="11" t="inlineStr">
        <is>
          <t>-</t>
        </is>
      </c>
      <c r="Y647" s="11" t="inlineStr">
        <is>
          <t>-</t>
        </is>
      </c>
      <c r="Z647" s="11" t="n">
        <v>0</v>
      </c>
      <c r="AA647" s="11" t="inlineStr">
        <is>
          <t>垫到60抽</t>
        </is>
      </c>
      <c r="AB647" s="12">
        <f>AE646</f>
        <v/>
      </c>
      <c r="AC647" s="12" t="n">
        <v>0</v>
      </c>
      <c r="AD647" s="12" t="n">
        <v>0</v>
      </c>
      <c r="AE647" s="12">
        <f>AB647+AC647+AD647</f>
        <v/>
      </c>
      <c r="AF647" s="13">
        <f>AI646</f>
        <v/>
      </c>
      <c r="AG647" s="13" t="n">
        <v>0</v>
      </c>
      <c r="AH647" s="13" t="n">
        <v>0</v>
      </c>
      <c r="AI647" s="13">
        <f>AF647+AG647+AH647</f>
        <v/>
      </c>
      <c r="AJ647" s="14" t="n">
        <v>0</v>
      </c>
      <c r="AK647" s="14" t="n">
        <v>0</v>
      </c>
      <c r="AL647" s="14" t="n">
        <v>0</v>
      </c>
      <c r="AM647" s="14">
        <f>AJ647+AK647+AL647</f>
        <v/>
      </c>
      <c r="AN647" s="14">
        <f>AN646+AM647</f>
        <v/>
      </c>
    </row>
    <row r="648">
      <c r="A648" s="8" t="n">
        <v>25</v>
      </c>
      <c r="B648" s="8" t="n">
        <v>12</v>
      </c>
      <c r="C648" s="8" t="n">
        <v>1</v>
      </c>
      <c r="D648" s="8" t="inlineStr">
        <is>
          <t>版本免费+义相逢 + 月卡收益 [月卡续费-30元]</t>
        </is>
      </c>
      <c r="E648" s="9">
        <f>K647</f>
        <v/>
      </c>
      <c r="F648" s="9" t="n">
        <v>1540</v>
      </c>
      <c r="G648" s="9" t="n">
        <v>4800</v>
      </c>
      <c r="H648" s="9" t="n">
        <v>0</v>
      </c>
      <c r="I648" s="9" t="n">
        <v>0</v>
      </c>
      <c r="J648" s="9" t="n">
        <v>0</v>
      </c>
      <c r="K648" s="9">
        <f>E648+F648+G648+H648+I648-J648</f>
        <v/>
      </c>
      <c r="L648" s="10">
        <f>Q647</f>
        <v/>
      </c>
      <c r="M648" s="10" t="n">
        <v>85</v>
      </c>
      <c r="N648" s="10" t="n">
        <v>11</v>
      </c>
      <c r="O648" s="10">
        <f>J648/160</f>
        <v/>
      </c>
      <c r="P648" s="10" t="n">
        <v>90</v>
      </c>
      <c r="Q648" s="10">
        <f>L648+M648+N648+O648-P648</f>
        <v/>
      </c>
      <c r="R648" s="11">
        <f>T647</f>
        <v/>
      </c>
      <c r="S648" s="11">
        <f>N(V648) + N(X648) + N(Z648)</f>
        <v/>
      </c>
      <c r="T648" s="11">
        <f>R648+P648-S648</f>
        <v/>
      </c>
      <c r="U648" s="11" t="inlineStr">
        <is>
          <t>是</t>
        </is>
      </c>
      <c r="V648" s="11" t="n">
        <v>48</v>
      </c>
      <c r="W648" s="11" t="inlineStr">
        <is>
          <t>是</t>
        </is>
      </c>
      <c r="X648" s="11" t="n">
        <v>49</v>
      </c>
      <c r="Y648" s="11" t="inlineStr">
        <is>
          <t>-</t>
        </is>
      </c>
      <c r="Z648" s="11" t="n">
        <v>0</v>
      </c>
      <c r="AA648" s="11" t="inlineStr">
        <is>
          <t>无</t>
        </is>
      </c>
      <c r="AB648" s="12">
        <f>AE647</f>
        <v/>
      </c>
      <c r="AC648" s="12" t="n">
        <v>4</v>
      </c>
      <c r="AD648" s="12" t="n">
        <v>0</v>
      </c>
      <c r="AE648" s="12">
        <f>AB648+AC648+AD648</f>
        <v/>
      </c>
      <c r="AF648" s="13">
        <f>AI647</f>
        <v/>
      </c>
      <c r="AG648" s="13" t="n">
        <v>0</v>
      </c>
      <c r="AH648" s="13" t="n">
        <v>0</v>
      </c>
      <c r="AI648" s="13">
        <f>AF648+AG648+AH648</f>
        <v/>
      </c>
      <c r="AJ648" s="14" t="n">
        <v>30</v>
      </c>
      <c r="AK648" s="14" t="n">
        <v>50</v>
      </c>
      <c r="AL648" s="14" t="n">
        <v>0</v>
      </c>
      <c r="AM648" s="14">
        <f>AJ648+AK648+AL648</f>
        <v/>
      </c>
      <c r="AN648" s="14">
        <f>AN647+AM648</f>
        <v/>
      </c>
    </row>
    <row r="649">
      <c r="A649" s="8" t="n">
        <v>25</v>
      </c>
      <c r="B649" s="8" t="n">
        <v>12</v>
      </c>
      <c r="C649" s="8" t="n">
        <v>2</v>
      </c>
      <c r="D649" s="8" t="inlineStr">
        <is>
          <t>月卡收益</t>
        </is>
      </c>
      <c r="E649" s="9">
        <f>K648</f>
        <v/>
      </c>
      <c r="F649" s="9" t="n">
        <v>1540</v>
      </c>
      <c r="G649" s="9" t="n">
        <v>0</v>
      </c>
      <c r="H649" s="9" t="n">
        <v>0</v>
      </c>
      <c r="I649" s="9" t="n">
        <v>0</v>
      </c>
      <c r="J649" s="9" t="n">
        <v>12800</v>
      </c>
      <c r="K649" s="9">
        <f>E649+F649+G649+H649+I649-J649</f>
        <v/>
      </c>
      <c r="L649" s="10">
        <f>Q648</f>
        <v/>
      </c>
      <c r="M649" s="10" t="n">
        <v>0</v>
      </c>
      <c r="N649" s="10" t="n">
        <v>11</v>
      </c>
      <c r="O649" s="10">
        <f>J649/160</f>
        <v/>
      </c>
      <c r="P649" s="10" t="n">
        <v>100</v>
      </c>
      <c r="Q649" s="10">
        <f>L649+M649+N649+O649-P649</f>
        <v/>
      </c>
      <c r="R649" s="11">
        <f>T648</f>
        <v/>
      </c>
      <c r="S649" s="11">
        <f>N(V649) + N(X649) + N(Z649)</f>
        <v/>
      </c>
      <c r="T649" s="11">
        <f>R649+P649-S649</f>
        <v/>
      </c>
      <c r="U649" s="11" t="inlineStr">
        <is>
          <t>是</t>
        </is>
      </c>
      <c r="V649" s="11" t="n">
        <v>50</v>
      </c>
      <c r="W649" s="11" t="inlineStr">
        <is>
          <t>是</t>
        </is>
      </c>
      <c r="X649" s="11" t="n">
        <v>51</v>
      </c>
      <c r="Y649" s="11" t="inlineStr">
        <is>
          <t>-</t>
        </is>
      </c>
      <c r="Z649" s="11" t="n">
        <v>0</v>
      </c>
      <c r="AA649" s="11" t="inlineStr">
        <is>
          <t>无</t>
        </is>
      </c>
      <c r="AB649" s="12">
        <f>AE648</f>
        <v/>
      </c>
      <c r="AC649" s="12" t="n">
        <v>0</v>
      </c>
      <c r="AD649" s="12" t="n">
        <v>0</v>
      </c>
      <c r="AE649" s="12">
        <f>AB649+AC649+AD649</f>
        <v/>
      </c>
      <c r="AF649" s="13">
        <f>AI648</f>
        <v/>
      </c>
      <c r="AG649" s="13" t="n">
        <v>0</v>
      </c>
      <c r="AH649" s="13" t="n">
        <v>0</v>
      </c>
      <c r="AI649" s="13">
        <f>AF649+AG649+AH649</f>
        <v/>
      </c>
      <c r="AJ649" s="14" t="n">
        <v>0</v>
      </c>
      <c r="AK649" s="14" t="n">
        <v>0</v>
      </c>
      <c r="AL649" s="14" t="n">
        <v>0</v>
      </c>
      <c r="AM649" s="14">
        <f>AJ649+AK649+AL649</f>
        <v/>
      </c>
      <c r="AN649" s="14">
        <f>AN648+AM649</f>
        <v/>
      </c>
    </row>
    <row r="650">
      <c r="A650" s="8" t="n">
        <v>25</v>
      </c>
      <c r="B650" s="8" t="n">
        <v>13</v>
      </c>
      <c r="C650" s="8" t="n">
        <v>1</v>
      </c>
      <c r="D650" s="8" t="inlineStr">
        <is>
          <t>版本免费+义相逢 + 月卡收益 [月卡续费-30元]</t>
        </is>
      </c>
      <c r="E650" s="9">
        <f>K649</f>
        <v/>
      </c>
      <c r="F650" s="9" t="n">
        <v>1540</v>
      </c>
      <c r="G650" s="9" t="n">
        <v>4800</v>
      </c>
      <c r="H650" s="9" t="n">
        <v>0</v>
      </c>
      <c r="I650" s="9" t="n">
        <v>0</v>
      </c>
      <c r="J650" s="9" t="n">
        <v>640</v>
      </c>
      <c r="K650" s="9">
        <f>E650+F650+G650+H650+I650-J650</f>
        <v/>
      </c>
      <c r="L650" s="10">
        <f>Q649</f>
        <v/>
      </c>
      <c r="M650" s="10" t="n">
        <v>85</v>
      </c>
      <c r="N650" s="10" t="n">
        <v>11</v>
      </c>
      <c r="O650" s="10">
        <f>J650/160</f>
        <v/>
      </c>
      <c r="P650" s="10" t="n">
        <v>100</v>
      </c>
      <c r="Q650" s="10">
        <f>L650+M650+N650+O650-P650</f>
        <v/>
      </c>
      <c r="R650" s="11">
        <f>T649</f>
        <v/>
      </c>
      <c r="S650" s="11">
        <f>N(V650) + N(X650) + N(Z650)</f>
        <v/>
      </c>
      <c r="T650" s="11">
        <f>R650+P650-S650</f>
        <v/>
      </c>
      <c r="U650" s="11" t="inlineStr">
        <is>
          <t>是</t>
        </is>
      </c>
      <c r="V650" s="11" t="n">
        <v>47</v>
      </c>
      <c r="W650" s="11" t="inlineStr">
        <is>
          <t>是</t>
        </is>
      </c>
      <c r="X650" s="11" t="n">
        <v>50</v>
      </c>
      <c r="Y650" s="11" t="inlineStr">
        <is>
          <t>-</t>
        </is>
      </c>
      <c r="Z650" s="11" t="n">
        <v>0</v>
      </c>
      <c r="AA650" s="11" t="inlineStr">
        <is>
          <t>无</t>
        </is>
      </c>
      <c r="AB650" s="12">
        <f>AE649</f>
        <v/>
      </c>
      <c r="AC650" s="12" t="n">
        <v>4</v>
      </c>
      <c r="AD650" s="12" t="n">
        <v>0</v>
      </c>
      <c r="AE650" s="12">
        <f>AB650+AC650+AD650</f>
        <v/>
      </c>
      <c r="AF650" s="13">
        <f>AI649</f>
        <v/>
      </c>
      <c r="AG650" s="13" t="n">
        <v>0</v>
      </c>
      <c r="AH650" s="13" t="n">
        <v>0</v>
      </c>
      <c r="AI650" s="13">
        <f>AF650+AG650+AH650</f>
        <v/>
      </c>
      <c r="AJ650" s="14" t="n">
        <v>30</v>
      </c>
      <c r="AK650" s="14" t="n">
        <v>50</v>
      </c>
      <c r="AL650" s="14" t="n">
        <v>0</v>
      </c>
      <c r="AM650" s="14">
        <f>AJ650+AK650+AL650</f>
        <v/>
      </c>
      <c r="AN650" s="14">
        <f>AN649+AM650</f>
        <v/>
      </c>
    </row>
    <row r="651">
      <c r="A651" s="8" t="n">
        <v>25</v>
      </c>
      <c r="B651" s="8" t="n">
        <v>13</v>
      </c>
      <c r="C651" s="8" t="n">
        <v>2</v>
      </c>
      <c r="D651" s="8" t="inlineStr">
        <is>
          <t>月卡收益</t>
        </is>
      </c>
      <c r="E651" s="9">
        <f>K650</f>
        <v/>
      </c>
      <c r="F651" s="9" t="n">
        <v>1540</v>
      </c>
      <c r="G651" s="9" t="n">
        <v>0</v>
      </c>
      <c r="H651" s="9" t="n">
        <v>0</v>
      </c>
      <c r="I651" s="9" t="n">
        <v>0</v>
      </c>
      <c r="J651" s="9" t="n">
        <v>13440</v>
      </c>
      <c r="K651" s="9">
        <f>E651+F651+G651+H651+I651-J651</f>
        <v/>
      </c>
      <c r="L651" s="10">
        <f>Q650</f>
        <v/>
      </c>
      <c r="M651" s="10" t="n">
        <v>0</v>
      </c>
      <c r="N651" s="10" t="n">
        <v>11</v>
      </c>
      <c r="O651" s="10">
        <f>J651/160</f>
        <v/>
      </c>
      <c r="P651" s="10" t="n">
        <v>90</v>
      </c>
      <c r="Q651" s="10">
        <f>L651+M651+N651+O651-P651</f>
        <v/>
      </c>
      <c r="R651" s="11">
        <f>T650</f>
        <v/>
      </c>
      <c r="S651" s="11">
        <f>N(V651) + N(X651) + N(Z651)</f>
        <v/>
      </c>
      <c r="T651" s="11">
        <f>R651+P651-S651</f>
        <v/>
      </c>
      <c r="U651" s="11" t="inlineStr">
        <is>
          <t>是</t>
        </is>
      </c>
      <c r="V651" s="11" t="n">
        <v>30</v>
      </c>
      <c r="W651" s="11" t="inlineStr">
        <is>
          <t>是</t>
        </is>
      </c>
      <c r="X651" s="11" t="n">
        <v>51</v>
      </c>
      <c r="Y651" s="11" t="inlineStr">
        <is>
          <t>-</t>
        </is>
      </c>
      <c r="Z651" s="11" t="n">
        <v>0</v>
      </c>
      <c r="AA651" s="11" t="inlineStr">
        <is>
          <t>垫到90抽</t>
        </is>
      </c>
      <c r="AB651" s="12">
        <f>AE650</f>
        <v/>
      </c>
      <c r="AC651" s="12" t="n">
        <v>0</v>
      </c>
      <c r="AD651" s="12" t="n">
        <v>0</v>
      </c>
      <c r="AE651" s="12">
        <f>AB651+AC651+AD651</f>
        <v/>
      </c>
      <c r="AF651" s="13">
        <f>AI650</f>
        <v/>
      </c>
      <c r="AG651" s="13" t="n">
        <v>0</v>
      </c>
      <c r="AH651" s="13" t="n">
        <v>0</v>
      </c>
      <c r="AI651" s="13">
        <f>AF651+AG651+AH651</f>
        <v/>
      </c>
      <c r="AJ651" s="14" t="n">
        <v>0</v>
      </c>
      <c r="AK651" s="14" t="n">
        <v>0</v>
      </c>
      <c r="AL651" s="14" t="n">
        <v>0</v>
      </c>
      <c r="AM651" s="14">
        <f>AJ651+AK651+AL651</f>
        <v/>
      </c>
      <c r="AN651" s="14">
        <f>AN650+AM651</f>
        <v/>
      </c>
    </row>
    <row r="652">
      <c r="A652" s="8" t="n">
        <v>26</v>
      </c>
      <c r="B652" s="8" t="n">
        <v>1</v>
      </c>
      <c r="C652" s="8" t="n">
        <v>1</v>
      </c>
      <c r="D652" s="8" t="inlineStr">
        <is>
          <t>版本免费+义相逢 + 月卡收益 [月卡续费-30元]</t>
        </is>
      </c>
      <c r="E652" s="9" t="n">
        <v>1960</v>
      </c>
      <c r="F652" s="9" t="n">
        <v>1540</v>
      </c>
      <c r="G652" s="9" t="n">
        <v>4800</v>
      </c>
      <c r="H652" s="9" t="n">
        <v>0</v>
      </c>
      <c r="I652" s="9" t="n">
        <v>0</v>
      </c>
      <c r="J652" s="9" t="n">
        <v>0</v>
      </c>
      <c r="K652" s="9">
        <f>E652+F652+G652+H652+I652-J652</f>
        <v/>
      </c>
      <c r="L652" s="10" t="n">
        <v>5</v>
      </c>
      <c r="M652" s="10" t="n">
        <v>85</v>
      </c>
      <c r="N652" s="10" t="n">
        <v>11</v>
      </c>
      <c r="O652" s="10">
        <f>J652/160</f>
        <v/>
      </c>
      <c r="P652" s="10" t="n">
        <v>90</v>
      </c>
      <c r="Q652" s="10">
        <f>L652+M652+N652+O652-P652</f>
        <v/>
      </c>
      <c r="R652" s="11" t="n">
        <v>18</v>
      </c>
      <c r="S652" s="11">
        <f>N(V652) + N(X652) + N(Z652)</f>
        <v/>
      </c>
      <c r="T652" s="11">
        <f>R652+P652-S652</f>
        <v/>
      </c>
      <c r="U652" s="11" t="inlineStr">
        <is>
          <t>是</t>
        </is>
      </c>
      <c r="V652" s="11" t="n">
        <v>52</v>
      </c>
      <c r="W652" s="11" t="inlineStr">
        <is>
          <t>是</t>
        </is>
      </c>
      <c r="X652" s="11" t="n">
        <v>48</v>
      </c>
      <c r="Y652" s="11" t="inlineStr">
        <is>
          <t>-</t>
        </is>
      </c>
      <c r="Z652" s="11" t="n">
        <v>0</v>
      </c>
      <c r="AA652" s="11" t="inlineStr">
        <is>
          <t>无</t>
        </is>
      </c>
      <c r="AB652" s="12" t="n">
        <v>1340</v>
      </c>
      <c r="AC652" s="12" t="n">
        <v>4</v>
      </c>
      <c r="AD652" s="12" t="n">
        <v>0</v>
      </c>
      <c r="AE652" s="12">
        <f>AB652+AC652+AD652</f>
        <v/>
      </c>
      <c r="AF652" s="13" t="n">
        <v>200000</v>
      </c>
      <c r="AG652" s="13" t="n">
        <v>0</v>
      </c>
      <c r="AH652" s="13" t="n">
        <v>0</v>
      </c>
      <c r="AI652" s="13">
        <f>AF652+AG652+AH652</f>
        <v/>
      </c>
      <c r="AJ652" s="14" t="n">
        <v>30</v>
      </c>
      <c r="AK652" s="14" t="n">
        <v>50</v>
      </c>
      <c r="AL652" s="14" t="n">
        <v>0</v>
      </c>
      <c r="AM652" s="14">
        <f>AJ652+AK652+AL652</f>
        <v/>
      </c>
      <c r="AN652" s="14">
        <f>AM652</f>
        <v/>
      </c>
    </row>
    <row r="653">
      <c r="A653" s="8" t="n">
        <v>26</v>
      </c>
      <c r="B653" s="8" t="n">
        <v>1</v>
      </c>
      <c r="C653" s="8" t="n">
        <v>2</v>
      </c>
      <c r="D653" s="8" t="inlineStr">
        <is>
          <t>月卡收益</t>
        </is>
      </c>
      <c r="E653" s="9">
        <f>K652</f>
        <v/>
      </c>
      <c r="F653" s="9" t="n">
        <v>1540</v>
      </c>
      <c r="G653" s="9" t="n">
        <v>0</v>
      </c>
      <c r="H653" s="9" t="n">
        <v>0</v>
      </c>
      <c r="I653" s="9" t="n">
        <v>0</v>
      </c>
      <c r="J653" s="9" t="n">
        <v>7360</v>
      </c>
      <c r="K653" s="9">
        <f>E653+F653+G653+H653+I653-J653</f>
        <v/>
      </c>
      <c r="L653" s="10">
        <f>Q652</f>
        <v/>
      </c>
      <c r="M653" s="10" t="n">
        <v>0</v>
      </c>
      <c r="N653" s="10" t="n">
        <v>6</v>
      </c>
      <c r="O653" s="10">
        <f>J653/160</f>
        <v/>
      </c>
      <c r="P653" s="10" t="n">
        <v>60</v>
      </c>
      <c r="Q653" s="10">
        <f>L653+M653+N653+O653-P653</f>
        <v/>
      </c>
      <c r="R653" s="11">
        <f>T652</f>
        <v/>
      </c>
      <c r="S653" s="11">
        <f>N(V653) + N(X653) + N(Z653)</f>
        <v/>
      </c>
      <c r="T653" s="11">
        <f>R653+P653-S653</f>
        <v/>
      </c>
      <c r="U653" s="11" t="inlineStr">
        <is>
          <t>是</t>
        </is>
      </c>
      <c r="V653" s="11" t="n">
        <v>52</v>
      </c>
      <c r="W653" s="11" t="inlineStr">
        <is>
          <t>否</t>
        </is>
      </c>
      <c r="X653" s="11" t="inlineStr">
        <is>
          <t>-</t>
        </is>
      </c>
      <c r="Y653" s="11" t="inlineStr">
        <is>
          <t>-</t>
        </is>
      </c>
      <c r="Z653" s="11" t="n">
        <v>0</v>
      </c>
      <c r="AA653" s="11" t="inlineStr">
        <is>
          <t>垫到60抽</t>
        </is>
      </c>
      <c r="AB653" s="12">
        <f>AE652</f>
        <v/>
      </c>
      <c r="AC653" s="12" t="n">
        <v>0</v>
      </c>
      <c r="AD653" s="12" t="n">
        <v>0</v>
      </c>
      <c r="AE653" s="12">
        <f>AB653+AC653+AD653</f>
        <v/>
      </c>
      <c r="AF653" s="13">
        <f>AI652</f>
        <v/>
      </c>
      <c r="AG653" s="13" t="n">
        <v>0</v>
      </c>
      <c r="AH653" s="13" t="n">
        <v>0</v>
      </c>
      <c r="AI653" s="13">
        <f>AF653+AG653+AH653</f>
        <v/>
      </c>
      <c r="AJ653" s="14" t="n">
        <v>0</v>
      </c>
      <c r="AK653" s="14" t="n">
        <v>0</v>
      </c>
      <c r="AL653" s="14" t="n">
        <v>0</v>
      </c>
      <c r="AM653" s="14">
        <f>AJ653+AK653+AL653</f>
        <v/>
      </c>
      <c r="AN653" s="14">
        <f>AN652+AM653</f>
        <v/>
      </c>
    </row>
    <row r="654">
      <c r="A654" s="8" t="n">
        <v>26</v>
      </c>
      <c r="B654" s="8" t="n">
        <v>2</v>
      </c>
      <c r="C654" s="8" t="n">
        <v>1</v>
      </c>
      <c r="D654" s="8" t="inlineStr">
        <is>
          <t>版本免费+义相逢 + 月卡收益 [月卡续费-30元]</t>
        </is>
      </c>
      <c r="E654" s="9">
        <f>K653</f>
        <v/>
      </c>
      <c r="F654" s="9" t="n">
        <v>1540</v>
      </c>
      <c r="G654" s="9" t="n">
        <v>4800</v>
      </c>
      <c r="H654" s="9" t="n">
        <v>0</v>
      </c>
      <c r="I654" s="9" t="n">
        <v>0</v>
      </c>
      <c r="J654" s="9" t="n">
        <v>0</v>
      </c>
      <c r="K654" s="9">
        <f>E654+F654+G654+H654+I654-J654</f>
        <v/>
      </c>
      <c r="L654" s="10">
        <f>Q653</f>
        <v/>
      </c>
      <c r="M654" s="10" t="n">
        <v>85</v>
      </c>
      <c r="N654" s="10" t="n">
        <v>3</v>
      </c>
      <c r="O654" s="10">
        <f>J654/160</f>
        <v/>
      </c>
      <c r="P654" s="10" t="n">
        <v>40</v>
      </c>
      <c r="Q654" s="10">
        <f>L654+M654+N654+O654-P654</f>
        <v/>
      </c>
      <c r="R654" s="11">
        <f>T653</f>
        <v/>
      </c>
      <c r="S654" s="11">
        <f>N(V654) + N(X654) + N(Z654)</f>
        <v/>
      </c>
      <c r="T654" s="11">
        <f>R654+P654-S654</f>
        <v/>
      </c>
      <c r="U654" s="11" t="inlineStr">
        <is>
          <t>是</t>
        </is>
      </c>
      <c r="V654" s="11" t="n">
        <v>52</v>
      </c>
      <c r="W654" s="11" t="inlineStr">
        <is>
          <t>是</t>
        </is>
      </c>
      <c r="X654" s="11" t="n">
        <v>2</v>
      </c>
      <c r="Y654" s="11" t="inlineStr">
        <is>
          <t>-</t>
        </is>
      </c>
      <c r="Z654" s="11" t="n">
        <v>0</v>
      </c>
      <c r="AA654" s="11" t="inlineStr">
        <is>
          <t>无</t>
        </is>
      </c>
      <c r="AB654" s="12">
        <f>AE653</f>
        <v/>
      </c>
      <c r="AC654" s="12" t="n">
        <v>4</v>
      </c>
      <c r="AD654" s="12" t="n">
        <v>0</v>
      </c>
      <c r="AE654" s="12">
        <f>AB654+AC654+AD654</f>
        <v/>
      </c>
      <c r="AF654" s="13">
        <f>AI653</f>
        <v/>
      </c>
      <c r="AG654" s="13" t="n">
        <v>0</v>
      </c>
      <c r="AH654" s="13" t="n">
        <v>0</v>
      </c>
      <c r="AI654" s="13">
        <f>AF654+AG654+AH654</f>
        <v/>
      </c>
      <c r="AJ654" s="14" t="n">
        <v>30</v>
      </c>
      <c r="AK654" s="14" t="n">
        <v>50</v>
      </c>
      <c r="AL654" s="14" t="n">
        <v>0</v>
      </c>
      <c r="AM654" s="14">
        <f>AJ654+AK654+AL654</f>
        <v/>
      </c>
      <c r="AN654" s="14">
        <f>AN653+AM654</f>
        <v/>
      </c>
    </row>
    <row r="655">
      <c r="A655" s="8" t="n">
        <v>26</v>
      </c>
      <c r="B655" s="8" t="n">
        <v>2</v>
      </c>
      <c r="C655" s="8" t="n">
        <v>2</v>
      </c>
      <c r="D655" s="8" t="inlineStr">
        <is>
          <t>月卡收益</t>
        </is>
      </c>
      <c r="E655" s="9">
        <f>K654</f>
        <v/>
      </c>
      <c r="F655" s="9" t="n">
        <v>1540</v>
      </c>
      <c r="G655" s="9" t="n">
        <v>0</v>
      </c>
      <c r="H655" s="9" t="n">
        <v>0</v>
      </c>
      <c r="I655" s="9" t="n">
        <v>0</v>
      </c>
      <c r="J655" s="9" t="n">
        <v>960</v>
      </c>
      <c r="K655" s="9">
        <f>E655+F655+G655+H655+I655-J655</f>
        <v/>
      </c>
      <c r="L655" s="10">
        <f>Q654</f>
        <v/>
      </c>
      <c r="M655" s="10" t="n">
        <v>0</v>
      </c>
      <c r="N655" s="10" t="n">
        <v>6</v>
      </c>
      <c r="O655" s="10">
        <f>J655/160</f>
        <v/>
      </c>
      <c r="P655" s="10" t="n">
        <v>60</v>
      </c>
      <c r="Q655" s="10">
        <f>L655+M655+N655+O655-P655</f>
        <v/>
      </c>
      <c r="R655" s="11">
        <f>T654</f>
        <v/>
      </c>
      <c r="S655" s="11">
        <f>N(V655) + N(X655) + N(Z655)</f>
        <v/>
      </c>
      <c r="T655" s="11">
        <f>R655+P655-S655</f>
        <v/>
      </c>
      <c r="U655" s="11" t="inlineStr">
        <is>
          <t>是</t>
        </is>
      </c>
      <c r="V655" s="11" t="n">
        <v>50</v>
      </c>
      <c r="W655" s="11" t="inlineStr">
        <is>
          <t>否</t>
        </is>
      </c>
      <c r="X655" s="11" t="inlineStr">
        <is>
          <t>-</t>
        </is>
      </c>
      <c r="Y655" s="11" t="inlineStr">
        <is>
          <t>-</t>
        </is>
      </c>
      <c r="Z655" s="11" t="n">
        <v>0</v>
      </c>
      <c r="AA655" s="11" t="inlineStr">
        <is>
          <t>垫到60抽</t>
        </is>
      </c>
      <c r="AB655" s="12">
        <f>AE654</f>
        <v/>
      </c>
      <c r="AC655" s="12" t="n">
        <v>0</v>
      </c>
      <c r="AD655" s="12" t="n">
        <v>0</v>
      </c>
      <c r="AE655" s="12">
        <f>AB655+AC655+AD655</f>
        <v/>
      </c>
      <c r="AF655" s="13">
        <f>AI654</f>
        <v/>
      </c>
      <c r="AG655" s="13" t="n">
        <v>0</v>
      </c>
      <c r="AH655" s="13" t="n">
        <v>0</v>
      </c>
      <c r="AI655" s="13">
        <f>AF655+AG655+AH655</f>
        <v/>
      </c>
      <c r="AJ655" s="14" t="n">
        <v>0</v>
      </c>
      <c r="AK655" s="14" t="n">
        <v>0</v>
      </c>
      <c r="AL655" s="14" t="n">
        <v>0</v>
      </c>
      <c r="AM655" s="14">
        <f>AJ655+AK655+AL655</f>
        <v/>
      </c>
      <c r="AN655" s="14">
        <f>AN654+AM655</f>
        <v/>
      </c>
    </row>
    <row r="656">
      <c r="A656" s="8" t="n">
        <v>26</v>
      </c>
      <c r="B656" s="8" t="n">
        <v>3</v>
      </c>
      <c r="C656" s="8" t="n">
        <v>1</v>
      </c>
      <c r="D656" s="8" t="inlineStr">
        <is>
          <t>版本免费+义相逢 + 月卡收益 [月卡续费-30元]</t>
        </is>
      </c>
      <c r="E656" s="9">
        <f>K655</f>
        <v/>
      </c>
      <c r="F656" s="9" t="n">
        <v>1540</v>
      </c>
      <c r="G656" s="9" t="n">
        <v>4800</v>
      </c>
      <c r="H656" s="9" t="n">
        <v>0</v>
      </c>
      <c r="I656" s="9" t="n">
        <v>0</v>
      </c>
      <c r="J656" s="9" t="n">
        <v>0</v>
      </c>
      <c r="K656" s="9">
        <f>E656+F656+G656+H656+I656-J656</f>
        <v/>
      </c>
      <c r="L656" s="10">
        <f>Q655</f>
        <v/>
      </c>
      <c r="M656" s="10" t="n">
        <v>85</v>
      </c>
      <c r="N656" s="10" t="n">
        <v>3</v>
      </c>
      <c r="O656" s="10">
        <f>J656/160</f>
        <v/>
      </c>
      <c r="P656" s="10" t="n">
        <v>40</v>
      </c>
      <c r="Q656" s="10">
        <f>L656+M656+N656+O656-P656</f>
        <v/>
      </c>
      <c r="R656" s="11">
        <f>T655</f>
        <v/>
      </c>
      <c r="S656" s="11">
        <f>N(V656) + N(X656) + N(Z656)</f>
        <v/>
      </c>
      <c r="T656" s="11">
        <f>R656+P656-S656</f>
        <v/>
      </c>
      <c r="U656" s="11" t="inlineStr">
        <is>
          <t>是</t>
        </is>
      </c>
      <c r="V656" s="11" t="n">
        <v>46</v>
      </c>
      <c r="W656" s="11" t="inlineStr">
        <is>
          <t>否</t>
        </is>
      </c>
      <c r="X656" s="11" t="inlineStr">
        <is>
          <t>-</t>
        </is>
      </c>
      <c r="Y656" s="11" t="inlineStr">
        <is>
          <t>-</t>
        </is>
      </c>
      <c r="Z656" s="11" t="n">
        <v>0</v>
      </c>
      <c r="AA656" s="11" t="inlineStr">
        <is>
          <t>无</t>
        </is>
      </c>
      <c r="AB656" s="12">
        <f>AE655</f>
        <v/>
      </c>
      <c r="AC656" s="12" t="n">
        <v>4</v>
      </c>
      <c r="AD656" s="12" t="n">
        <v>0</v>
      </c>
      <c r="AE656" s="12">
        <f>AB656+AC656+AD656</f>
        <v/>
      </c>
      <c r="AF656" s="13">
        <f>AI655</f>
        <v/>
      </c>
      <c r="AG656" s="13" t="n">
        <v>0</v>
      </c>
      <c r="AH656" s="13" t="n">
        <v>0</v>
      </c>
      <c r="AI656" s="13">
        <f>AF656+AG656+AH656</f>
        <v/>
      </c>
      <c r="AJ656" s="14" t="n">
        <v>30</v>
      </c>
      <c r="AK656" s="14" t="n">
        <v>50</v>
      </c>
      <c r="AL656" s="14" t="n">
        <v>0</v>
      </c>
      <c r="AM656" s="14">
        <f>AJ656+AK656+AL656</f>
        <v/>
      </c>
      <c r="AN656" s="14">
        <f>AN655+AM656</f>
        <v/>
      </c>
    </row>
    <row r="657">
      <c r="A657" s="8" t="n">
        <v>26</v>
      </c>
      <c r="B657" s="8" t="n">
        <v>3</v>
      </c>
      <c r="C657" s="8" t="n">
        <v>2</v>
      </c>
      <c r="D657" s="8" t="inlineStr">
        <is>
          <t>月卡收益</t>
        </is>
      </c>
      <c r="E657" s="9">
        <f>K656</f>
        <v/>
      </c>
      <c r="F657" s="9" t="n">
        <v>1540</v>
      </c>
      <c r="G657" s="9" t="n">
        <v>0</v>
      </c>
      <c r="H657" s="9" t="n">
        <v>0</v>
      </c>
      <c r="I657" s="9" t="n">
        <v>0</v>
      </c>
      <c r="J657" s="9" t="n">
        <v>5280</v>
      </c>
      <c r="K657" s="9">
        <f>E657+F657+G657+H657+I657-J657</f>
        <v/>
      </c>
      <c r="L657" s="10">
        <f>Q656</f>
        <v/>
      </c>
      <c r="M657" s="10" t="n">
        <v>0</v>
      </c>
      <c r="N657" s="10" t="n">
        <v>11</v>
      </c>
      <c r="O657" s="10">
        <f>J657/160</f>
        <v/>
      </c>
      <c r="P657" s="10" t="n">
        <v>90</v>
      </c>
      <c r="Q657" s="10">
        <f>L657+M657+N657+O657-P657</f>
        <v/>
      </c>
      <c r="R657" s="11">
        <f>T656</f>
        <v/>
      </c>
      <c r="S657" s="11">
        <f>N(V657) + N(X657) + N(Z657)</f>
        <v/>
      </c>
      <c r="T657" s="11">
        <f>R657+P657-S657</f>
        <v/>
      </c>
      <c r="U657" s="11" t="inlineStr">
        <is>
          <t>是</t>
        </is>
      </c>
      <c r="V657" s="11" t="n">
        <v>46</v>
      </c>
      <c r="W657" s="11" t="inlineStr">
        <is>
          <t>是</t>
        </is>
      </c>
      <c r="X657" s="11" t="n">
        <v>49</v>
      </c>
      <c r="Y657" s="11" t="inlineStr">
        <is>
          <t>-</t>
        </is>
      </c>
      <c r="Z657" s="11" t="n">
        <v>0</v>
      </c>
      <c r="AA657" s="11" t="inlineStr">
        <is>
          <t>无</t>
        </is>
      </c>
      <c r="AB657" s="12">
        <f>AE656</f>
        <v/>
      </c>
      <c r="AC657" s="12" t="n">
        <v>0</v>
      </c>
      <c r="AD657" s="12" t="n">
        <v>0</v>
      </c>
      <c r="AE657" s="12">
        <f>AB657+AC657+AD657</f>
        <v/>
      </c>
      <c r="AF657" s="13">
        <f>AI656</f>
        <v/>
      </c>
      <c r="AG657" s="13" t="n">
        <v>0</v>
      </c>
      <c r="AH657" s="13" t="n">
        <v>0</v>
      </c>
      <c r="AI657" s="13">
        <f>AF657+AG657+AH657</f>
        <v/>
      </c>
      <c r="AJ657" s="14" t="n">
        <v>0</v>
      </c>
      <c r="AK657" s="14" t="n">
        <v>0</v>
      </c>
      <c r="AL657" s="14" t="n">
        <v>0</v>
      </c>
      <c r="AM657" s="14">
        <f>AJ657+AK657+AL657</f>
        <v/>
      </c>
      <c r="AN657" s="14">
        <f>AN656+AM657</f>
        <v/>
      </c>
    </row>
    <row r="658">
      <c r="A658" s="8" t="n">
        <v>26</v>
      </c>
      <c r="B658" s="8" t="n">
        <v>4</v>
      </c>
      <c r="C658" s="8" t="n">
        <v>1</v>
      </c>
      <c r="D658" s="8" t="inlineStr">
        <is>
          <t>版本免费+义相逢 + 月卡收益 [月卡续费-30元]</t>
        </is>
      </c>
      <c r="E658" s="9">
        <f>K657</f>
        <v/>
      </c>
      <c r="F658" s="9" t="n">
        <v>1540</v>
      </c>
      <c r="G658" s="9" t="n">
        <v>4800</v>
      </c>
      <c r="H658" s="9" t="n">
        <v>0</v>
      </c>
      <c r="I658" s="9" t="n">
        <v>0</v>
      </c>
      <c r="J658" s="9" t="n">
        <v>1440</v>
      </c>
      <c r="K658" s="9">
        <f>E658+F658+G658+H658+I658-J658</f>
        <v/>
      </c>
      <c r="L658" s="10">
        <f>Q657</f>
        <v/>
      </c>
      <c r="M658" s="10" t="n">
        <v>85</v>
      </c>
      <c r="N658" s="10" t="n">
        <v>11</v>
      </c>
      <c r="O658" s="10">
        <f>J658/160</f>
        <v/>
      </c>
      <c r="P658" s="10" t="n">
        <v>110</v>
      </c>
      <c r="Q658" s="10">
        <f>L658+M658+N658+O658-P658</f>
        <v/>
      </c>
      <c r="R658" s="11">
        <f>T657</f>
        <v/>
      </c>
      <c r="S658" s="11">
        <f>N(V658) + N(X658) + N(Z658)</f>
        <v/>
      </c>
      <c r="T658" s="11">
        <f>R658+P658-S658</f>
        <v/>
      </c>
      <c r="U658" s="11" t="inlineStr">
        <is>
          <t>是</t>
        </is>
      </c>
      <c r="V658" s="11" t="n">
        <v>51</v>
      </c>
      <c r="W658" s="11" t="inlineStr">
        <is>
          <t>是</t>
        </is>
      </c>
      <c r="X658" s="11" t="n">
        <v>54</v>
      </c>
      <c r="Y658" s="11" t="inlineStr">
        <is>
          <t>-</t>
        </is>
      </c>
      <c r="Z658" s="11" t="n">
        <v>0</v>
      </c>
      <c r="AA658" s="11" t="inlineStr">
        <is>
          <t>无</t>
        </is>
      </c>
      <c r="AB658" s="12">
        <f>AE657</f>
        <v/>
      </c>
      <c r="AC658" s="12" t="n">
        <v>4</v>
      </c>
      <c r="AD658" s="12" t="n">
        <v>0</v>
      </c>
      <c r="AE658" s="12">
        <f>AB658+AC658+AD658</f>
        <v/>
      </c>
      <c r="AF658" s="13">
        <f>AI657</f>
        <v/>
      </c>
      <c r="AG658" s="13" t="n">
        <v>0</v>
      </c>
      <c r="AH658" s="13" t="n">
        <v>0</v>
      </c>
      <c r="AI658" s="13">
        <f>AF658+AG658+AH658</f>
        <v/>
      </c>
      <c r="AJ658" s="14" t="n">
        <v>30</v>
      </c>
      <c r="AK658" s="14" t="n">
        <v>50</v>
      </c>
      <c r="AL658" s="14" t="n">
        <v>0</v>
      </c>
      <c r="AM658" s="14">
        <f>AJ658+AK658+AL658</f>
        <v/>
      </c>
      <c r="AN658" s="14">
        <f>AN657+AM658</f>
        <v/>
      </c>
    </row>
    <row r="659">
      <c r="A659" s="8" t="n">
        <v>26</v>
      </c>
      <c r="B659" s="8" t="n">
        <v>4</v>
      </c>
      <c r="C659" s="8" t="n">
        <v>2</v>
      </c>
      <c r="D659" s="8" t="inlineStr">
        <is>
          <t>月卡收益</t>
        </is>
      </c>
      <c r="E659" s="9">
        <f>K658</f>
        <v/>
      </c>
      <c r="F659" s="9" t="n">
        <v>1540</v>
      </c>
      <c r="G659" s="9" t="n">
        <v>0</v>
      </c>
      <c r="H659" s="9" t="n">
        <v>0</v>
      </c>
      <c r="I659" s="9" t="n">
        <v>0</v>
      </c>
      <c r="J659" s="9" t="n">
        <v>9120</v>
      </c>
      <c r="K659" s="9">
        <f>E659+F659+G659+H659+I659-J659</f>
        <v/>
      </c>
      <c r="L659" s="10">
        <f>Q658</f>
        <v/>
      </c>
      <c r="M659" s="10" t="n">
        <v>0</v>
      </c>
      <c r="N659" s="10" t="n">
        <v>6</v>
      </c>
      <c r="O659" s="10">
        <f>J659/160</f>
        <v/>
      </c>
      <c r="P659" s="10" t="n">
        <v>60</v>
      </c>
      <c r="Q659" s="10">
        <f>L659+M659+N659+O659-P659</f>
        <v/>
      </c>
      <c r="R659" s="11">
        <f>T658</f>
        <v/>
      </c>
      <c r="S659" s="11">
        <f>N(V659) + N(X659) + N(Z659)</f>
        <v/>
      </c>
      <c r="T659" s="11">
        <f>R659+P659-S659</f>
        <v/>
      </c>
      <c r="U659" s="11" t="inlineStr">
        <is>
          <t>是</t>
        </is>
      </c>
      <c r="V659" s="11" t="n">
        <v>51</v>
      </c>
      <c r="W659" s="11" t="inlineStr">
        <is>
          <t>否</t>
        </is>
      </c>
      <c r="X659" s="11" t="inlineStr">
        <is>
          <t>-</t>
        </is>
      </c>
      <c r="Y659" s="11" t="inlineStr">
        <is>
          <t>-</t>
        </is>
      </c>
      <c r="Z659" s="11" t="n">
        <v>0</v>
      </c>
      <c r="AA659" s="11" t="inlineStr">
        <is>
          <t>垫到60抽</t>
        </is>
      </c>
      <c r="AB659" s="12">
        <f>AE658</f>
        <v/>
      </c>
      <c r="AC659" s="12" t="n">
        <v>0</v>
      </c>
      <c r="AD659" s="12" t="n">
        <v>0</v>
      </c>
      <c r="AE659" s="12">
        <f>AB659+AC659+AD659</f>
        <v/>
      </c>
      <c r="AF659" s="13">
        <f>AI658</f>
        <v/>
      </c>
      <c r="AG659" s="13" t="n">
        <v>0</v>
      </c>
      <c r="AH659" s="13" t="n">
        <v>0</v>
      </c>
      <c r="AI659" s="13">
        <f>AF659+AG659+AH659</f>
        <v/>
      </c>
      <c r="AJ659" s="14" t="n">
        <v>0</v>
      </c>
      <c r="AK659" s="14" t="n">
        <v>0</v>
      </c>
      <c r="AL659" s="14" t="n">
        <v>0</v>
      </c>
      <c r="AM659" s="14">
        <f>AJ659+AK659+AL659</f>
        <v/>
      </c>
      <c r="AN659" s="14">
        <f>AN658+AM659</f>
        <v/>
      </c>
    </row>
    <row r="660">
      <c r="A660" s="8" t="n">
        <v>26</v>
      </c>
      <c r="B660" s="8" t="n">
        <v>5</v>
      </c>
      <c r="C660" s="8" t="n">
        <v>1</v>
      </c>
      <c r="D660" s="8" t="inlineStr">
        <is>
          <t>版本免费+义相逢 + 月卡收益 [月卡续费-30元]</t>
        </is>
      </c>
      <c r="E660" s="9">
        <f>K659</f>
        <v/>
      </c>
      <c r="F660" s="9" t="n">
        <v>1540</v>
      </c>
      <c r="G660" s="9" t="n">
        <v>4800</v>
      </c>
      <c r="H660" s="9" t="n">
        <v>0</v>
      </c>
      <c r="I660" s="9" t="n">
        <v>0</v>
      </c>
      <c r="J660" s="9" t="n">
        <v>0</v>
      </c>
      <c r="K660" s="9">
        <f>E660+F660+G660+H660+I660-J660</f>
        <v/>
      </c>
      <c r="L660" s="10">
        <f>Q659</f>
        <v/>
      </c>
      <c r="M660" s="10" t="n">
        <v>85</v>
      </c>
      <c r="N660" s="10" t="n">
        <v>3</v>
      </c>
      <c r="O660" s="10">
        <f>J660/160</f>
        <v/>
      </c>
      <c r="P660" s="10" t="n">
        <v>40</v>
      </c>
      <c r="Q660" s="10">
        <f>L660+M660+N660+O660-P660</f>
        <v/>
      </c>
      <c r="R660" s="11">
        <f>T659</f>
        <v/>
      </c>
      <c r="S660" s="11">
        <f>N(V660) + N(X660) + N(Z660)</f>
        <v/>
      </c>
      <c r="T660" s="11">
        <f>R660+P660-S660</f>
        <v/>
      </c>
      <c r="U660" s="11" t="inlineStr">
        <is>
          <t>是</t>
        </is>
      </c>
      <c r="V660" s="11" t="n">
        <v>51</v>
      </c>
      <c r="W660" s="11" t="inlineStr">
        <is>
          <t>否</t>
        </is>
      </c>
      <c r="X660" s="11" t="inlineStr">
        <is>
          <t>-</t>
        </is>
      </c>
      <c r="Y660" s="11" t="inlineStr">
        <is>
          <t>-</t>
        </is>
      </c>
      <c r="Z660" s="11" t="n">
        <v>0</v>
      </c>
      <c r="AA660" s="11" t="inlineStr">
        <is>
          <t>无</t>
        </is>
      </c>
      <c r="AB660" s="12">
        <f>AE659</f>
        <v/>
      </c>
      <c r="AC660" s="12" t="n">
        <v>4</v>
      </c>
      <c r="AD660" s="12" t="n">
        <v>0</v>
      </c>
      <c r="AE660" s="12">
        <f>AB660+AC660+AD660</f>
        <v/>
      </c>
      <c r="AF660" s="13">
        <f>AI659</f>
        <v/>
      </c>
      <c r="AG660" s="13" t="n">
        <v>0</v>
      </c>
      <c r="AH660" s="13" t="n">
        <v>0</v>
      </c>
      <c r="AI660" s="13">
        <f>AF660+AG660+AH660</f>
        <v/>
      </c>
      <c r="AJ660" s="14" t="n">
        <v>30</v>
      </c>
      <c r="AK660" s="14" t="n">
        <v>50</v>
      </c>
      <c r="AL660" s="14" t="n">
        <v>0</v>
      </c>
      <c r="AM660" s="14">
        <f>AJ660+AK660+AL660</f>
        <v/>
      </c>
      <c r="AN660" s="14">
        <f>AN659+AM660</f>
        <v/>
      </c>
    </row>
    <row r="661">
      <c r="A661" s="8" t="n">
        <v>26</v>
      </c>
      <c r="B661" s="8" t="n">
        <v>5</v>
      </c>
      <c r="C661" s="8" t="n">
        <v>2</v>
      </c>
      <c r="D661" s="8" t="inlineStr">
        <is>
          <t>月卡收益</t>
        </is>
      </c>
      <c r="E661" s="9">
        <f>K660</f>
        <v/>
      </c>
      <c r="F661" s="9" t="n">
        <v>1540</v>
      </c>
      <c r="G661" s="9" t="n">
        <v>0</v>
      </c>
      <c r="H661" s="9" t="n">
        <v>0</v>
      </c>
      <c r="I661" s="9" t="n">
        <v>0</v>
      </c>
      <c r="J661" s="9" t="n">
        <v>5280</v>
      </c>
      <c r="K661" s="9">
        <f>E661+F661+G661+H661+I661-J661</f>
        <v/>
      </c>
      <c r="L661" s="10">
        <f>Q660</f>
        <v/>
      </c>
      <c r="M661" s="10" t="n">
        <v>0</v>
      </c>
      <c r="N661" s="10" t="n">
        <v>11</v>
      </c>
      <c r="O661" s="10">
        <f>J661/160</f>
        <v/>
      </c>
      <c r="P661" s="10" t="n">
        <v>90</v>
      </c>
      <c r="Q661" s="10">
        <f>L661+M661+N661+O661-P661</f>
        <v/>
      </c>
      <c r="R661" s="11">
        <f>T660</f>
        <v/>
      </c>
      <c r="S661" s="11">
        <f>N(V661) + N(X661) + N(Z661)</f>
        <v/>
      </c>
      <c r="T661" s="11">
        <f>R661+P661-S661</f>
        <v/>
      </c>
      <c r="U661" s="11" t="inlineStr">
        <is>
          <t>是</t>
        </is>
      </c>
      <c r="V661" s="11" t="n">
        <v>46</v>
      </c>
      <c r="W661" s="11" t="inlineStr">
        <is>
          <t>是</t>
        </is>
      </c>
      <c r="X661" s="11" t="n">
        <v>46</v>
      </c>
      <c r="Y661" s="11" t="inlineStr">
        <is>
          <t>-</t>
        </is>
      </c>
      <c r="Z661" s="11" t="n">
        <v>0</v>
      </c>
      <c r="AA661" s="11" t="inlineStr">
        <is>
          <t>无</t>
        </is>
      </c>
      <c r="AB661" s="12">
        <f>AE660</f>
        <v/>
      </c>
      <c r="AC661" s="12" t="n">
        <v>0</v>
      </c>
      <c r="AD661" s="12" t="n">
        <v>0</v>
      </c>
      <c r="AE661" s="12">
        <f>AB661+AC661+AD661</f>
        <v/>
      </c>
      <c r="AF661" s="13">
        <f>AI660</f>
        <v/>
      </c>
      <c r="AG661" s="13" t="n">
        <v>0</v>
      </c>
      <c r="AH661" s="13" t="n">
        <v>0</v>
      </c>
      <c r="AI661" s="13">
        <f>AF661+AG661+AH661</f>
        <v/>
      </c>
      <c r="AJ661" s="14" t="n">
        <v>0</v>
      </c>
      <c r="AK661" s="14" t="n">
        <v>0</v>
      </c>
      <c r="AL661" s="14" t="n">
        <v>0</v>
      </c>
      <c r="AM661" s="14">
        <f>AJ661+AK661+AL661</f>
        <v/>
      </c>
      <c r="AN661" s="14">
        <f>AN660+AM661</f>
        <v/>
      </c>
    </row>
    <row r="662">
      <c r="A662" s="8" t="n">
        <v>26</v>
      </c>
      <c r="B662" s="8" t="n">
        <v>6</v>
      </c>
      <c r="C662" s="8" t="n">
        <v>1</v>
      </c>
      <c r="D662" s="8" t="inlineStr">
        <is>
          <t>版本免费+义相逢 + 月卡收益</t>
        </is>
      </c>
      <c r="E662" s="9">
        <f>K661</f>
        <v/>
      </c>
      <c r="F662" s="9" t="n">
        <v>1540</v>
      </c>
      <c r="G662" s="9" t="n">
        <v>4800</v>
      </c>
      <c r="H662" s="9" t="n">
        <v>0</v>
      </c>
      <c r="I662" s="9" t="n">
        <v>0</v>
      </c>
      <c r="J662" s="9" t="n">
        <v>0</v>
      </c>
      <c r="K662" s="9">
        <f>E662+F662+G662+H662+I662-J662</f>
        <v/>
      </c>
      <c r="L662" s="10">
        <f>Q661</f>
        <v/>
      </c>
      <c r="M662" s="10" t="n">
        <v>85</v>
      </c>
      <c r="N662" s="10" t="n">
        <v>6</v>
      </c>
      <c r="O662" s="10">
        <f>J662/160</f>
        <v/>
      </c>
      <c r="P662" s="10" t="n">
        <v>60</v>
      </c>
      <c r="Q662" s="10">
        <f>L662+M662+N662+O662-P662</f>
        <v/>
      </c>
      <c r="R662" s="11">
        <f>T661</f>
        <v/>
      </c>
      <c r="S662" s="11">
        <f>N(V662) + N(X662) + N(Z662)</f>
        <v/>
      </c>
      <c r="T662" s="11">
        <f>R662+P662-S662</f>
        <v/>
      </c>
      <c r="U662" s="11" t="inlineStr">
        <is>
          <t>是</t>
        </is>
      </c>
      <c r="V662" s="11" t="n">
        <v>51</v>
      </c>
      <c r="W662" s="11" t="inlineStr">
        <is>
          <t>否</t>
        </is>
      </c>
      <c r="X662" s="11" t="inlineStr">
        <is>
          <t>-</t>
        </is>
      </c>
      <c r="Y662" s="11" t="inlineStr">
        <is>
          <t>-</t>
        </is>
      </c>
      <c r="Z662" s="11" t="n">
        <v>0</v>
      </c>
      <c r="AA662" s="11" t="inlineStr">
        <is>
          <t>垫到60抽</t>
        </is>
      </c>
      <c r="AB662" s="12">
        <f>AE661</f>
        <v/>
      </c>
      <c r="AC662" s="12" t="n">
        <v>4</v>
      </c>
      <c r="AD662" s="12" t="n">
        <v>0</v>
      </c>
      <c r="AE662" s="12">
        <f>AB662+AC662+AD662</f>
        <v/>
      </c>
      <c r="AF662" s="13">
        <f>AI661</f>
        <v/>
      </c>
      <c r="AG662" s="13" t="n">
        <v>0</v>
      </c>
      <c r="AH662" s="13" t="n">
        <v>0</v>
      </c>
      <c r="AI662" s="13">
        <f>AF662+AG662+AH662</f>
        <v/>
      </c>
      <c r="AJ662" s="14" t="n">
        <v>0</v>
      </c>
      <c r="AK662" s="14" t="n">
        <v>50</v>
      </c>
      <c r="AL662" s="14" t="n">
        <v>0</v>
      </c>
      <c r="AM662" s="14">
        <f>AJ662+AK662+AL662</f>
        <v/>
      </c>
      <c r="AN662" s="14">
        <f>AN661+AM662</f>
        <v/>
      </c>
    </row>
    <row r="663">
      <c r="A663" s="8" t="n">
        <v>26</v>
      </c>
      <c r="B663" s="8" t="n">
        <v>6</v>
      </c>
      <c r="C663" s="8" t="n">
        <v>2</v>
      </c>
      <c r="D663" s="8" t="inlineStr">
        <is>
          <t>月卡收益 [月卡续费-30元]</t>
        </is>
      </c>
      <c r="E663" s="9">
        <f>K662</f>
        <v/>
      </c>
      <c r="F663" s="9" t="n">
        <v>1540</v>
      </c>
      <c r="G663" s="9" t="n">
        <v>0</v>
      </c>
      <c r="H663" s="9" t="n">
        <v>0</v>
      </c>
      <c r="I663" s="9" t="n">
        <v>0</v>
      </c>
      <c r="J663" s="9" t="n">
        <v>160</v>
      </c>
      <c r="K663" s="9">
        <f>E663+F663+G663+H663+I663-J663</f>
        <v/>
      </c>
      <c r="L663" s="10">
        <f>Q662</f>
        <v/>
      </c>
      <c r="M663" s="10" t="n">
        <v>0</v>
      </c>
      <c r="N663" s="10" t="n">
        <v>3</v>
      </c>
      <c r="O663" s="10">
        <f>J663/160</f>
        <v/>
      </c>
      <c r="P663" s="10" t="n">
        <v>40</v>
      </c>
      <c r="Q663" s="10">
        <f>L663+M663+N663+O663-P663</f>
        <v/>
      </c>
      <c r="R663" s="11">
        <f>T662</f>
        <v/>
      </c>
      <c r="S663" s="11">
        <f>N(V663) + N(X663) + N(Z663)</f>
        <v/>
      </c>
      <c r="T663" s="11">
        <f>R663+P663-S663</f>
        <v/>
      </c>
      <c r="U663" s="11" t="inlineStr">
        <is>
          <t>是</t>
        </is>
      </c>
      <c r="V663" s="11" t="n">
        <v>51</v>
      </c>
      <c r="W663" s="11" t="inlineStr">
        <is>
          <t>否</t>
        </is>
      </c>
      <c r="X663" s="11" t="inlineStr">
        <is>
          <t>-</t>
        </is>
      </c>
      <c r="Y663" s="11" t="inlineStr">
        <is>
          <t>-</t>
        </is>
      </c>
      <c r="Z663" s="11" t="n">
        <v>0</v>
      </c>
      <c r="AA663" s="11" t="inlineStr">
        <is>
          <t>无</t>
        </is>
      </c>
      <c r="AB663" s="12">
        <f>AE662</f>
        <v/>
      </c>
      <c r="AC663" s="12" t="n">
        <v>0</v>
      </c>
      <c r="AD663" s="12" t="n">
        <v>0</v>
      </c>
      <c r="AE663" s="12">
        <f>AB663+AC663+AD663</f>
        <v/>
      </c>
      <c r="AF663" s="13">
        <f>AI662</f>
        <v/>
      </c>
      <c r="AG663" s="13" t="n">
        <v>0</v>
      </c>
      <c r="AH663" s="13" t="n">
        <v>0</v>
      </c>
      <c r="AI663" s="13">
        <f>AF663+AG663+AH663</f>
        <v/>
      </c>
      <c r="AJ663" s="14" t="n">
        <v>30</v>
      </c>
      <c r="AK663" s="14" t="n">
        <v>0</v>
      </c>
      <c r="AL663" s="14" t="n">
        <v>0</v>
      </c>
      <c r="AM663" s="14">
        <f>AJ663+AK663+AL663</f>
        <v/>
      </c>
      <c r="AN663" s="14">
        <f>AN662+AM663</f>
        <v/>
      </c>
    </row>
    <row r="664">
      <c r="A664" s="8" t="n">
        <v>26</v>
      </c>
      <c r="B664" s="8" t="n">
        <v>7</v>
      </c>
      <c r="C664" s="8" t="n">
        <v>1</v>
      </c>
      <c r="D664" s="8" t="inlineStr">
        <is>
          <t>版本免费+义相逢 + 月卡收益</t>
        </is>
      </c>
      <c r="E664" s="9">
        <f>K663</f>
        <v/>
      </c>
      <c r="F664" s="9" t="n">
        <v>1540</v>
      </c>
      <c r="G664" s="9" t="n">
        <v>4800</v>
      </c>
      <c r="H664" s="9" t="n">
        <v>0</v>
      </c>
      <c r="I664" s="9" t="n">
        <v>0</v>
      </c>
      <c r="J664" s="9" t="n">
        <v>0</v>
      </c>
      <c r="K664" s="9">
        <f>E664+F664+G664+H664+I664-J664</f>
        <v/>
      </c>
      <c r="L664" s="10">
        <f>Q663</f>
        <v/>
      </c>
      <c r="M664" s="10" t="n">
        <v>85</v>
      </c>
      <c r="N664" s="10" t="n">
        <v>6</v>
      </c>
      <c r="O664" s="10">
        <f>J664/160</f>
        <v/>
      </c>
      <c r="P664" s="10" t="n">
        <v>60</v>
      </c>
      <c r="Q664" s="10">
        <f>L664+M664+N664+O664-P664</f>
        <v/>
      </c>
      <c r="R664" s="11">
        <f>T663</f>
        <v/>
      </c>
      <c r="S664" s="11">
        <f>N(V664) + N(X664) + N(Z664)</f>
        <v/>
      </c>
      <c r="T664" s="11">
        <f>R664+P664-S664</f>
        <v/>
      </c>
      <c r="U664" s="11" t="inlineStr">
        <is>
          <t>是</t>
        </is>
      </c>
      <c r="V664" s="11" t="n">
        <v>47</v>
      </c>
      <c r="W664" s="11" t="inlineStr">
        <is>
          <t>否</t>
        </is>
      </c>
      <c r="X664" s="11" t="inlineStr">
        <is>
          <t>-</t>
        </is>
      </c>
      <c r="Y664" s="11" t="inlineStr">
        <is>
          <t>-</t>
        </is>
      </c>
      <c r="Z664" s="11" t="n">
        <v>0</v>
      </c>
      <c r="AA664" s="11" t="inlineStr">
        <is>
          <t>垫到60抽</t>
        </is>
      </c>
      <c r="AB664" s="12">
        <f>AE663</f>
        <v/>
      </c>
      <c r="AC664" s="12" t="n">
        <v>4</v>
      </c>
      <c r="AD664" s="12" t="n">
        <v>0</v>
      </c>
      <c r="AE664" s="12">
        <f>AB664+AC664+AD664</f>
        <v/>
      </c>
      <c r="AF664" s="13">
        <f>AI663</f>
        <v/>
      </c>
      <c r="AG664" s="13" t="n">
        <v>0</v>
      </c>
      <c r="AH664" s="13" t="n">
        <v>0</v>
      </c>
      <c r="AI664" s="13">
        <f>AF664+AG664+AH664</f>
        <v/>
      </c>
      <c r="AJ664" s="14" t="n">
        <v>0</v>
      </c>
      <c r="AK664" s="14" t="n">
        <v>50</v>
      </c>
      <c r="AL664" s="14" t="n">
        <v>0</v>
      </c>
      <c r="AM664" s="14">
        <f>AJ664+AK664+AL664</f>
        <v/>
      </c>
      <c r="AN664" s="14">
        <f>AN663+AM664</f>
        <v/>
      </c>
    </row>
    <row r="665">
      <c r="A665" s="8" t="n">
        <v>26</v>
      </c>
      <c r="B665" s="8" t="n">
        <v>7</v>
      </c>
      <c r="C665" s="8" t="n">
        <v>2</v>
      </c>
      <c r="D665" s="8" t="inlineStr">
        <is>
          <t>月卡收益 [月卡续费-30元]</t>
        </is>
      </c>
      <c r="E665" s="9">
        <f>K664</f>
        <v/>
      </c>
      <c r="F665" s="9" t="n">
        <v>1540</v>
      </c>
      <c r="G665" s="9" t="n">
        <v>0</v>
      </c>
      <c r="H665" s="9" t="n">
        <v>0</v>
      </c>
      <c r="I665" s="9" t="n">
        <v>0</v>
      </c>
      <c r="J665" s="9" t="n">
        <v>960</v>
      </c>
      <c r="K665" s="9">
        <f>E665+F665+G665+H665+I665-J665</f>
        <v/>
      </c>
      <c r="L665" s="10">
        <f>Q664</f>
        <v/>
      </c>
      <c r="M665" s="10" t="n">
        <v>0</v>
      </c>
      <c r="N665" s="10" t="n">
        <v>3</v>
      </c>
      <c r="O665" s="10">
        <f>J665/160</f>
        <v/>
      </c>
      <c r="P665" s="10" t="n">
        <v>40</v>
      </c>
      <c r="Q665" s="10">
        <f>L665+M665+N665+O665-P665</f>
        <v/>
      </c>
      <c r="R665" s="11">
        <f>T664</f>
        <v/>
      </c>
      <c r="S665" s="11">
        <f>N(V665) + N(X665) + N(Z665)</f>
        <v/>
      </c>
      <c r="T665" s="11">
        <f>R665+P665-S665</f>
        <v/>
      </c>
      <c r="U665" s="11" t="inlineStr">
        <is>
          <t>是</t>
        </is>
      </c>
      <c r="V665" s="11" t="n">
        <v>48</v>
      </c>
      <c r="W665" s="11" t="inlineStr">
        <is>
          <t>否</t>
        </is>
      </c>
      <c r="X665" s="11" t="inlineStr">
        <is>
          <t>-</t>
        </is>
      </c>
      <c r="Y665" s="11" t="inlineStr">
        <is>
          <t>-</t>
        </is>
      </c>
      <c r="Z665" s="11" t="n">
        <v>0</v>
      </c>
      <c r="AA665" s="11" t="inlineStr">
        <is>
          <t>无</t>
        </is>
      </c>
      <c r="AB665" s="12">
        <f>AE664</f>
        <v/>
      </c>
      <c r="AC665" s="12" t="n">
        <v>0</v>
      </c>
      <c r="AD665" s="12" t="n">
        <v>0</v>
      </c>
      <c r="AE665" s="12">
        <f>AB665+AC665+AD665</f>
        <v/>
      </c>
      <c r="AF665" s="13">
        <f>AI664</f>
        <v/>
      </c>
      <c r="AG665" s="13" t="n">
        <v>0</v>
      </c>
      <c r="AH665" s="13" t="n">
        <v>0</v>
      </c>
      <c r="AI665" s="13">
        <f>AF665+AG665+AH665</f>
        <v/>
      </c>
      <c r="AJ665" s="14" t="n">
        <v>30</v>
      </c>
      <c r="AK665" s="14" t="n">
        <v>0</v>
      </c>
      <c r="AL665" s="14" t="n">
        <v>0</v>
      </c>
      <c r="AM665" s="14">
        <f>AJ665+AK665+AL665</f>
        <v/>
      </c>
      <c r="AN665" s="14">
        <f>AN664+AM665</f>
        <v/>
      </c>
    </row>
    <row r="666">
      <c r="A666" s="8" t="n">
        <v>26</v>
      </c>
      <c r="B666" s="8" t="n">
        <v>8</v>
      </c>
      <c r="C666" s="8" t="n">
        <v>1</v>
      </c>
      <c r="D666" s="8" t="inlineStr">
        <is>
          <t>版本免费+义相逢 + 月卡收益</t>
        </is>
      </c>
      <c r="E666" s="9">
        <f>K665</f>
        <v/>
      </c>
      <c r="F666" s="9" t="n">
        <v>1540</v>
      </c>
      <c r="G666" s="9" t="n">
        <v>4800</v>
      </c>
      <c r="H666" s="9" t="n">
        <v>0</v>
      </c>
      <c r="I666" s="9" t="n">
        <v>0</v>
      </c>
      <c r="J666" s="9" t="n">
        <v>15040</v>
      </c>
      <c r="K666" s="9">
        <f>E666+F666+G666+H666+I666-J666</f>
        <v/>
      </c>
      <c r="L666" s="10">
        <f>Q665</f>
        <v/>
      </c>
      <c r="M666" s="10" t="n">
        <v>85</v>
      </c>
      <c r="N666" s="10" t="n">
        <v>21</v>
      </c>
      <c r="O666" s="10">
        <f>J666/160</f>
        <v/>
      </c>
      <c r="P666" s="10" t="n">
        <v>200</v>
      </c>
      <c r="Q666" s="10">
        <f>L666+M666+N666+O666-P666</f>
        <v/>
      </c>
      <c r="R666" s="11">
        <f>T665</f>
        <v/>
      </c>
      <c r="S666" s="11">
        <f>N(V666) + N(X666) + N(Z666)</f>
        <v/>
      </c>
      <c r="T666" s="11">
        <f>R666+P666-S666</f>
        <v/>
      </c>
      <c r="U666" s="11" t="inlineStr">
        <is>
          <t>是</t>
        </is>
      </c>
      <c r="V666" s="11" t="n">
        <v>52</v>
      </c>
      <c r="W666" s="11" t="inlineStr">
        <is>
          <t>是</t>
        </is>
      </c>
      <c r="X666" s="11" t="n">
        <v>47</v>
      </c>
      <c r="Y666" s="11" t="inlineStr">
        <is>
          <t>UP(26), 歪(52)</t>
        </is>
      </c>
      <c r="Z666" s="11" t="n">
        <v>78</v>
      </c>
      <c r="AA666" s="11" t="inlineStr">
        <is>
          <t>冲刺200(动态100)</t>
        </is>
      </c>
      <c r="AB666" s="12">
        <f>AE665</f>
        <v/>
      </c>
      <c r="AC666" s="12" t="n">
        <v>4</v>
      </c>
      <c r="AD666" s="12" t="n">
        <v>1</v>
      </c>
      <c r="AE666" s="12">
        <f>AB666+AC666+AD666</f>
        <v/>
      </c>
      <c r="AF666" s="13">
        <f>AI665</f>
        <v/>
      </c>
      <c r="AG666" s="13" t="n">
        <v>0</v>
      </c>
      <c r="AH666" s="13" t="n">
        <v>5000</v>
      </c>
      <c r="AI666" s="13">
        <f>AF666+AG666+AH666</f>
        <v/>
      </c>
      <c r="AJ666" s="14" t="n">
        <v>0</v>
      </c>
      <c r="AK666" s="14" t="n">
        <v>50</v>
      </c>
      <c r="AL666" s="14" t="n">
        <v>0</v>
      </c>
      <c r="AM666" s="14">
        <f>AJ666+AK666+AL666</f>
        <v/>
      </c>
      <c r="AN666" s="14">
        <f>AN665+AM666</f>
        <v/>
      </c>
    </row>
    <row r="667">
      <c r="A667" s="8" t="n">
        <v>26</v>
      </c>
      <c r="B667" s="8" t="n">
        <v>8</v>
      </c>
      <c r="C667" s="8" t="n">
        <v>2</v>
      </c>
      <c r="D667" s="8" t="inlineStr">
        <is>
          <t>月卡收益 [月卡续费-30元]</t>
        </is>
      </c>
      <c r="E667" s="9">
        <f>K666</f>
        <v/>
      </c>
      <c r="F667" s="9" t="n">
        <v>1540</v>
      </c>
      <c r="G667" s="9" t="n">
        <v>0</v>
      </c>
      <c r="H667" s="9" t="n">
        <v>0</v>
      </c>
      <c r="I667" s="9" t="n">
        <v>0</v>
      </c>
      <c r="J667" s="9" t="n">
        <v>4640</v>
      </c>
      <c r="K667" s="9">
        <f>E667+F667+G667+H667+I667-J667</f>
        <v/>
      </c>
      <c r="L667" s="10">
        <f>Q666</f>
        <v/>
      </c>
      <c r="M667" s="10" t="n">
        <v>0</v>
      </c>
      <c r="N667" s="10" t="n">
        <v>3</v>
      </c>
      <c r="O667" s="10">
        <f>J667/160</f>
        <v/>
      </c>
      <c r="P667" s="10" t="n">
        <v>30</v>
      </c>
      <c r="Q667" s="10">
        <f>L667+M667+N667+O667-P667</f>
        <v/>
      </c>
      <c r="R667" s="11">
        <f>T666</f>
        <v/>
      </c>
      <c r="S667" s="11">
        <f>N(V667) + N(X667) + N(Z667)</f>
        <v/>
      </c>
      <c r="T667" s="11">
        <f>R667+P667-S667</f>
        <v/>
      </c>
      <c r="U667" s="11" t="inlineStr">
        <is>
          <t>是</t>
        </is>
      </c>
      <c r="V667" s="11" t="n">
        <v>49</v>
      </c>
      <c r="W667" s="11" t="inlineStr">
        <is>
          <t>否</t>
        </is>
      </c>
      <c r="X667" s="11" t="inlineStr">
        <is>
          <t>-</t>
        </is>
      </c>
      <c r="Y667" s="11" t="inlineStr">
        <is>
          <t>-</t>
        </is>
      </c>
      <c r="Z667" s="11" t="n">
        <v>0</v>
      </c>
      <c r="AA667" s="11" t="inlineStr">
        <is>
          <t>无</t>
        </is>
      </c>
      <c r="AB667" s="12">
        <f>AE666</f>
        <v/>
      </c>
      <c r="AC667" s="12" t="n">
        <v>0</v>
      </c>
      <c r="AD667" s="12" t="n">
        <v>0</v>
      </c>
      <c r="AE667" s="12">
        <f>AB667+AC667+AD667</f>
        <v/>
      </c>
      <c r="AF667" s="13">
        <f>AI666</f>
        <v/>
      </c>
      <c r="AG667" s="13" t="n">
        <v>0</v>
      </c>
      <c r="AH667" s="13" t="n">
        <v>0</v>
      </c>
      <c r="AI667" s="13">
        <f>AF667+AG667+AH667</f>
        <v/>
      </c>
      <c r="AJ667" s="14" t="n">
        <v>30</v>
      </c>
      <c r="AK667" s="14" t="n">
        <v>0</v>
      </c>
      <c r="AL667" s="14" t="n">
        <v>0</v>
      </c>
      <c r="AM667" s="14">
        <f>AJ667+AK667+AL667</f>
        <v/>
      </c>
      <c r="AN667" s="14">
        <f>AN666+AM667</f>
        <v/>
      </c>
    </row>
    <row r="668">
      <c r="A668" s="8" t="n">
        <v>26</v>
      </c>
      <c r="B668" s="8" t="n">
        <v>9</v>
      </c>
      <c r="C668" s="8" t="n">
        <v>1</v>
      </c>
      <c r="D668" s="8" t="inlineStr">
        <is>
          <t>版本免费+义相逢 + 月卡收益</t>
        </is>
      </c>
      <c r="E668" s="9">
        <f>K667</f>
        <v/>
      </c>
      <c r="F668" s="9" t="n">
        <v>1540</v>
      </c>
      <c r="G668" s="9" t="n">
        <v>4800</v>
      </c>
      <c r="H668" s="9" t="n">
        <v>0</v>
      </c>
      <c r="I668" s="9" t="n">
        <v>0</v>
      </c>
      <c r="J668" s="9" t="n">
        <v>0</v>
      </c>
      <c r="K668" s="9">
        <f>E668+F668+G668+H668+I668-J668</f>
        <v/>
      </c>
      <c r="L668" s="10">
        <f>Q667</f>
        <v/>
      </c>
      <c r="M668" s="10" t="n">
        <v>85</v>
      </c>
      <c r="N668" s="10" t="n">
        <v>11</v>
      </c>
      <c r="O668" s="10">
        <f>J668/160</f>
        <v/>
      </c>
      <c r="P668" s="10" t="n">
        <v>90</v>
      </c>
      <c r="Q668" s="10">
        <f>L668+M668+N668+O668-P668</f>
        <v/>
      </c>
      <c r="R668" s="11">
        <f>T667</f>
        <v/>
      </c>
      <c r="S668" s="11">
        <f>N(V668) + N(X668) + N(Z668)</f>
        <v/>
      </c>
      <c r="T668" s="11">
        <f>R668+P668-S668</f>
        <v/>
      </c>
      <c r="U668" s="11" t="inlineStr">
        <is>
          <t>是</t>
        </is>
      </c>
      <c r="V668" s="11" t="n">
        <v>47</v>
      </c>
      <c r="W668" s="11" t="inlineStr">
        <is>
          <t>是</t>
        </is>
      </c>
      <c r="X668" s="11" t="n">
        <v>49</v>
      </c>
      <c r="Y668" s="11" t="inlineStr">
        <is>
          <t>-</t>
        </is>
      </c>
      <c r="Z668" s="11" t="n">
        <v>0</v>
      </c>
      <c r="AA668" s="11" t="inlineStr">
        <is>
          <t>无</t>
        </is>
      </c>
      <c r="AB668" s="12">
        <f>AE667</f>
        <v/>
      </c>
      <c r="AC668" s="12" t="n">
        <v>4</v>
      </c>
      <c r="AD668" s="12" t="n">
        <v>0</v>
      </c>
      <c r="AE668" s="12">
        <f>AB668+AC668+AD668</f>
        <v/>
      </c>
      <c r="AF668" s="13">
        <f>AI667</f>
        <v/>
      </c>
      <c r="AG668" s="13" t="n">
        <v>0</v>
      </c>
      <c r="AH668" s="13" t="n">
        <v>0</v>
      </c>
      <c r="AI668" s="13">
        <f>AF668+AG668+AH668</f>
        <v/>
      </c>
      <c r="AJ668" s="14" t="n">
        <v>0</v>
      </c>
      <c r="AK668" s="14" t="n">
        <v>50</v>
      </c>
      <c r="AL668" s="14" t="n">
        <v>0</v>
      </c>
      <c r="AM668" s="14">
        <f>AJ668+AK668+AL668</f>
        <v/>
      </c>
      <c r="AN668" s="14">
        <f>AN667+AM668</f>
        <v/>
      </c>
    </row>
    <row r="669">
      <c r="A669" s="8" t="n">
        <v>26</v>
      </c>
      <c r="B669" s="8" t="n">
        <v>9</v>
      </c>
      <c r="C669" s="8" t="n">
        <v>2</v>
      </c>
      <c r="D669" s="8" t="inlineStr">
        <is>
          <t>月卡收益 [月卡续费-30元]</t>
        </is>
      </c>
      <c r="E669" s="9">
        <f>K668</f>
        <v/>
      </c>
      <c r="F669" s="9" t="n">
        <v>1540</v>
      </c>
      <c r="G669" s="9" t="n">
        <v>0</v>
      </c>
      <c r="H669" s="9" t="n">
        <v>0</v>
      </c>
      <c r="I669" s="9" t="n">
        <v>0</v>
      </c>
      <c r="J669" s="9" t="n">
        <v>12160</v>
      </c>
      <c r="K669" s="9">
        <f>E669+F669+G669+H669+I669-J669</f>
        <v/>
      </c>
      <c r="L669" s="10">
        <f>Q668</f>
        <v/>
      </c>
      <c r="M669" s="10" t="n">
        <v>0</v>
      </c>
      <c r="N669" s="10" t="n">
        <v>11</v>
      </c>
      <c r="O669" s="10">
        <f>J669/160</f>
        <v/>
      </c>
      <c r="P669" s="10" t="n">
        <v>90</v>
      </c>
      <c r="Q669" s="10">
        <f>L669+M669+N669+O669-P669</f>
        <v/>
      </c>
      <c r="R669" s="11">
        <f>T668</f>
        <v/>
      </c>
      <c r="S669" s="11">
        <f>N(V669) + N(X669) + N(Z669)</f>
        <v/>
      </c>
      <c r="T669" s="11">
        <f>R669+P669-S669</f>
        <v/>
      </c>
      <c r="U669" s="11" t="inlineStr">
        <is>
          <t>是</t>
        </is>
      </c>
      <c r="V669" s="11" t="n">
        <v>23</v>
      </c>
      <c r="W669" s="11" t="inlineStr">
        <is>
          <t>是</t>
        </is>
      </c>
      <c r="X669" s="11" t="n">
        <v>52</v>
      </c>
      <c r="Y669" s="11" t="inlineStr">
        <is>
          <t>-</t>
        </is>
      </c>
      <c r="Z669" s="11" t="n">
        <v>0</v>
      </c>
      <c r="AA669" s="11" t="inlineStr">
        <is>
          <t>垫到90抽</t>
        </is>
      </c>
      <c r="AB669" s="12">
        <f>AE668</f>
        <v/>
      </c>
      <c r="AC669" s="12" t="n">
        <v>0</v>
      </c>
      <c r="AD669" s="12" t="n">
        <v>0</v>
      </c>
      <c r="AE669" s="12">
        <f>AB669+AC669+AD669</f>
        <v/>
      </c>
      <c r="AF669" s="13">
        <f>AI668</f>
        <v/>
      </c>
      <c r="AG669" s="13" t="n">
        <v>0</v>
      </c>
      <c r="AH669" s="13" t="n">
        <v>0</v>
      </c>
      <c r="AI669" s="13">
        <f>AF669+AG669+AH669</f>
        <v/>
      </c>
      <c r="AJ669" s="14" t="n">
        <v>30</v>
      </c>
      <c r="AK669" s="14" t="n">
        <v>0</v>
      </c>
      <c r="AL669" s="14" t="n">
        <v>0</v>
      </c>
      <c r="AM669" s="14">
        <f>AJ669+AK669+AL669</f>
        <v/>
      </c>
      <c r="AN669" s="14">
        <f>AN668+AM669</f>
        <v/>
      </c>
    </row>
    <row r="670">
      <c r="A670" s="8" t="n">
        <v>26</v>
      </c>
      <c r="B670" s="8" t="n">
        <v>10</v>
      </c>
      <c r="C670" s="8" t="n">
        <v>1</v>
      </c>
      <c r="D670" s="8" t="inlineStr">
        <is>
          <t>版本免费+义相逢 + 月卡收益</t>
        </is>
      </c>
      <c r="E670" s="9">
        <f>K669</f>
        <v/>
      </c>
      <c r="F670" s="9" t="n">
        <v>1540</v>
      </c>
      <c r="G670" s="9" t="n">
        <v>4800</v>
      </c>
      <c r="H670" s="9" t="n">
        <v>0</v>
      </c>
      <c r="I670" s="9" t="n">
        <v>0</v>
      </c>
      <c r="J670" s="9" t="n">
        <v>0</v>
      </c>
      <c r="K670" s="9">
        <f>E670+F670+G670+H670+I670-J670</f>
        <v/>
      </c>
      <c r="L670" s="10">
        <f>Q669</f>
        <v/>
      </c>
      <c r="M670" s="10" t="n">
        <v>85</v>
      </c>
      <c r="N670" s="10" t="n">
        <v>11</v>
      </c>
      <c r="O670" s="10">
        <f>J670/160</f>
        <v/>
      </c>
      <c r="P670" s="10" t="n">
        <v>90</v>
      </c>
      <c r="Q670" s="10">
        <f>L670+M670+N670+O670-P670</f>
        <v/>
      </c>
      <c r="R670" s="11">
        <f>T669</f>
        <v/>
      </c>
      <c r="S670" s="11">
        <f>N(V670) + N(X670) + N(Z670)</f>
        <v/>
      </c>
      <c r="T670" s="11">
        <f>R670+P670-S670</f>
        <v/>
      </c>
      <c r="U670" s="11" t="inlineStr">
        <is>
          <t>是</t>
        </is>
      </c>
      <c r="V670" s="11" t="n">
        <v>49</v>
      </c>
      <c r="W670" s="11" t="inlineStr">
        <is>
          <t>是</t>
        </is>
      </c>
      <c r="X670" s="11" t="n">
        <v>51</v>
      </c>
      <c r="Y670" s="11" t="inlineStr">
        <is>
          <t>-</t>
        </is>
      </c>
      <c r="Z670" s="11" t="n">
        <v>0</v>
      </c>
      <c r="AA670" s="11" t="inlineStr">
        <is>
          <t>无</t>
        </is>
      </c>
      <c r="AB670" s="12">
        <f>AE669</f>
        <v/>
      </c>
      <c r="AC670" s="12" t="n">
        <v>4</v>
      </c>
      <c r="AD670" s="12" t="n">
        <v>0</v>
      </c>
      <c r="AE670" s="12">
        <f>AB670+AC670+AD670</f>
        <v/>
      </c>
      <c r="AF670" s="13">
        <f>AI669</f>
        <v/>
      </c>
      <c r="AG670" s="13" t="n">
        <v>0</v>
      </c>
      <c r="AH670" s="13" t="n">
        <v>0</v>
      </c>
      <c r="AI670" s="13">
        <f>AF670+AG670+AH670</f>
        <v/>
      </c>
      <c r="AJ670" s="14" t="n">
        <v>0</v>
      </c>
      <c r="AK670" s="14" t="n">
        <v>50</v>
      </c>
      <c r="AL670" s="14" t="n">
        <v>0</v>
      </c>
      <c r="AM670" s="14">
        <f>AJ670+AK670+AL670</f>
        <v/>
      </c>
      <c r="AN670" s="14">
        <f>AN669+AM670</f>
        <v/>
      </c>
    </row>
    <row r="671">
      <c r="A671" s="8" t="n">
        <v>26</v>
      </c>
      <c r="B671" s="8" t="n">
        <v>10</v>
      </c>
      <c r="C671" s="8" t="n">
        <v>2</v>
      </c>
      <c r="D671" s="8" t="inlineStr">
        <is>
          <t>月卡收益 [月卡续费-30元]</t>
        </is>
      </c>
      <c r="E671" s="9">
        <f>K670</f>
        <v/>
      </c>
      <c r="F671" s="9" t="n">
        <v>1540</v>
      </c>
      <c r="G671" s="9" t="n">
        <v>0</v>
      </c>
      <c r="H671" s="9" t="n">
        <v>0</v>
      </c>
      <c r="I671" s="9" t="n">
        <v>0</v>
      </c>
      <c r="J671" s="9" t="n">
        <v>7360</v>
      </c>
      <c r="K671" s="9">
        <f>E671+F671+G671+H671+I671-J671</f>
        <v/>
      </c>
      <c r="L671" s="10">
        <f>Q670</f>
        <v/>
      </c>
      <c r="M671" s="10" t="n">
        <v>0</v>
      </c>
      <c r="N671" s="10" t="n">
        <v>6</v>
      </c>
      <c r="O671" s="10">
        <f>J671/160</f>
        <v/>
      </c>
      <c r="P671" s="10" t="n">
        <v>60</v>
      </c>
      <c r="Q671" s="10">
        <f>L671+M671+N671+O671-P671</f>
        <v/>
      </c>
      <c r="R671" s="11">
        <f>T670</f>
        <v/>
      </c>
      <c r="S671" s="11">
        <f>N(V671) + N(X671) + N(Z671)</f>
        <v/>
      </c>
      <c r="T671" s="11">
        <f>R671+P671-S671</f>
        <v/>
      </c>
      <c r="U671" s="11" t="inlineStr">
        <is>
          <t>是</t>
        </is>
      </c>
      <c r="V671" s="11" t="n">
        <v>50</v>
      </c>
      <c r="W671" s="11" t="inlineStr">
        <is>
          <t>否</t>
        </is>
      </c>
      <c r="X671" s="11" t="inlineStr">
        <is>
          <t>-</t>
        </is>
      </c>
      <c r="Y671" s="11" t="inlineStr">
        <is>
          <t>-</t>
        </is>
      </c>
      <c r="Z671" s="11" t="n">
        <v>0</v>
      </c>
      <c r="AA671" s="11" t="inlineStr">
        <is>
          <t>垫到60抽</t>
        </is>
      </c>
      <c r="AB671" s="12">
        <f>AE670</f>
        <v/>
      </c>
      <c r="AC671" s="12" t="n">
        <v>0</v>
      </c>
      <c r="AD671" s="12" t="n">
        <v>0</v>
      </c>
      <c r="AE671" s="12">
        <f>AB671+AC671+AD671</f>
        <v/>
      </c>
      <c r="AF671" s="13">
        <f>AI670</f>
        <v/>
      </c>
      <c r="AG671" s="13" t="n">
        <v>0</v>
      </c>
      <c r="AH671" s="13" t="n">
        <v>0</v>
      </c>
      <c r="AI671" s="13">
        <f>AF671+AG671+AH671</f>
        <v/>
      </c>
      <c r="AJ671" s="14" t="n">
        <v>30</v>
      </c>
      <c r="AK671" s="14" t="n">
        <v>0</v>
      </c>
      <c r="AL671" s="14" t="n">
        <v>0</v>
      </c>
      <c r="AM671" s="14">
        <f>AJ671+AK671+AL671</f>
        <v/>
      </c>
      <c r="AN671" s="14">
        <f>AN670+AM671</f>
        <v/>
      </c>
    </row>
    <row r="672">
      <c r="A672" s="8" t="n">
        <v>26</v>
      </c>
      <c r="B672" s="8" t="n">
        <v>11</v>
      </c>
      <c r="C672" s="8" t="n">
        <v>1</v>
      </c>
      <c r="D672" s="8" t="inlineStr">
        <is>
          <t>版本免费+义相逢 + 月卡收益</t>
        </is>
      </c>
      <c r="E672" s="9">
        <f>K671</f>
        <v/>
      </c>
      <c r="F672" s="9" t="n">
        <v>1540</v>
      </c>
      <c r="G672" s="9" t="n">
        <v>4800</v>
      </c>
      <c r="H672" s="9" t="n">
        <v>0</v>
      </c>
      <c r="I672" s="9" t="n">
        <v>0</v>
      </c>
      <c r="J672" s="9" t="n">
        <v>0</v>
      </c>
      <c r="K672" s="9">
        <f>E672+F672+G672+H672+I672-J672</f>
        <v/>
      </c>
      <c r="L672" s="10">
        <f>Q671</f>
        <v/>
      </c>
      <c r="M672" s="10" t="n">
        <v>85</v>
      </c>
      <c r="N672" s="10" t="n">
        <v>3</v>
      </c>
      <c r="O672" s="10">
        <f>J672/160</f>
        <v/>
      </c>
      <c r="P672" s="10" t="n">
        <v>30</v>
      </c>
      <c r="Q672" s="10">
        <f>L672+M672+N672+O672-P672</f>
        <v/>
      </c>
      <c r="R672" s="11">
        <f>T671</f>
        <v/>
      </c>
      <c r="S672" s="11">
        <f>N(V672) + N(X672) + N(Z672)</f>
        <v/>
      </c>
      <c r="T672" s="11">
        <f>R672+P672-S672</f>
        <v/>
      </c>
      <c r="U672" s="11" t="inlineStr">
        <is>
          <t>是</t>
        </is>
      </c>
      <c r="V672" s="11" t="n">
        <v>47</v>
      </c>
      <c r="W672" s="11" t="inlineStr">
        <is>
          <t>否</t>
        </is>
      </c>
      <c r="X672" s="11" t="inlineStr">
        <is>
          <t>-</t>
        </is>
      </c>
      <c r="Y672" s="11" t="inlineStr">
        <is>
          <t>-</t>
        </is>
      </c>
      <c r="Z672" s="11" t="n">
        <v>0</v>
      </c>
      <c r="AA672" s="11" t="inlineStr">
        <is>
          <t>无</t>
        </is>
      </c>
      <c r="AB672" s="12">
        <f>AE671</f>
        <v/>
      </c>
      <c r="AC672" s="12" t="n">
        <v>4</v>
      </c>
      <c r="AD672" s="12" t="n">
        <v>0</v>
      </c>
      <c r="AE672" s="12">
        <f>AB672+AC672+AD672</f>
        <v/>
      </c>
      <c r="AF672" s="13">
        <f>AI671</f>
        <v/>
      </c>
      <c r="AG672" s="13" t="n">
        <v>0</v>
      </c>
      <c r="AH672" s="13" t="n">
        <v>0</v>
      </c>
      <c r="AI672" s="13">
        <f>AF672+AG672+AH672</f>
        <v/>
      </c>
      <c r="AJ672" s="14" t="n">
        <v>0</v>
      </c>
      <c r="AK672" s="14" t="n">
        <v>50</v>
      </c>
      <c r="AL672" s="14" t="n">
        <v>0</v>
      </c>
      <c r="AM672" s="14">
        <f>AJ672+AK672+AL672</f>
        <v/>
      </c>
      <c r="AN672" s="14">
        <f>AN671+AM672</f>
        <v/>
      </c>
    </row>
    <row r="673">
      <c r="A673" s="8" t="n">
        <v>26</v>
      </c>
      <c r="B673" s="8" t="n">
        <v>11</v>
      </c>
      <c r="C673" s="8" t="n">
        <v>2</v>
      </c>
      <c r="D673" s="8" t="inlineStr">
        <is>
          <t>月卡收益 [月卡续费-30元]</t>
        </is>
      </c>
      <c r="E673" s="9">
        <f>K672</f>
        <v/>
      </c>
      <c r="F673" s="9" t="n">
        <v>1540</v>
      </c>
      <c r="G673" s="9" t="n">
        <v>0</v>
      </c>
      <c r="H673" s="9" t="n">
        <v>0</v>
      </c>
      <c r="I673" s="9" t="n">
        <v>0</v>
      </c>
      <c r="J673" s="9" t="n">
        <v>0</v>
      </c>
      <c r="K673" s="9">
        <f>E673+F673+G673+H673+I673-J673</f>
        <v/>
      </c>
      <c r="L673" s="10">
        <f>Q672</f>
        <v/>
      </c>
      <c r="M673" s="10" t="n">
        <v>0</v>
      </c>
      <c r="N673" s="10" t="n">
        <v>6</v>
      </c>
      <c r="O673" s="10">
        <f>J673/160</f>
        <v/>
      </c>
      <c r="P673" s="10" t="n">
        <v>60</v>
      </c>
      <c r="Q673" s="10">
        <f>L673+M673+N673+O673-P673</f>
        <v/>
      </c>
      <c r="R673" s="11">
        <f>T672</f>
        <v/>
      </c>
      <c r="S673" s="11">
        <f>N(V673) + N(X673) + N(Z673)</f>
        <v/>
      </c>
      <c r="T673" s="11">
        <f>R673+P673-S673</f>
        <v/>
      </c>
      <c r="U673" s="11" t="inlineStr">
        <is>
          <t>是</t>
        </is>
      </c>
      <c r="V673" s="11" t="n">
        <v>52</v>
      </c>
      <c r="W673" s="11" t="inlineStr">
        <is>
          <t>否</t>
        </is>
      </c>
      <c r="X673" s="11" t="inlineStr">
        <is>
          <t>-</t>
        </is>
      </c>
      <c r="Y673" s="11" t="inlineStr">
        <is>
          <t>-</t>
        </is>
      </c>
      <c r="Z673" s="11" t="n">
        <v>0</v>
      </c>
      <c r="AA673" s="11" t="inlineStr">
        <is>
          <t>无</t>
        </is>
      </c>
      <c r="AB673" s="12">
        <f>AE672</f>
        <v/>
      </c>
      <c r="AC673" s="12" t="n">
        <v>0</v>
      </c>
      <c r="AD673" s="12" t="n">
        <v>0</v>
      </c>
      <c r="AE673" s="12">
        <f>AB673+AC673+AD673</f>
        <v/>
      </c>
      <c r="AF673" s="13">
        <f>AI672</f>
        <v/>
      </c>
      <c r="AG673" s="13" t="n">
        <v>0</v>
      </c>
      <c r="AH673" s="13" t="n">
        <v>0</v>
      </c>
      <c r="AI673" s="13">
        <f>AF673+AG673+AH673</f>
        <v/>
      </c>
      <c r="AJ673" s="14" t="n">
        <v>30</v>
      </c>
      <c r="AK673" s="14" t="n">
        <v>0</v>
      </c>
      <c r="AL673" s="14" t="n">
        <v>0</v>
      </c>
      <c r="AM673" s="14">
        <f>AJ673+AK673+AL673</f>
        <v/>
      </c>
      <c r="AN673" s="14">
        <f>AN672+AM673</f>
        <v/>
      </c>
    </row>
    <row r="674">
      <c r="A674" s="8" t="n">
        <v>26</v>
      </c>
      <c r="B674" s="8" t="n">
        <v>12</v>
      </c>
      <c r="C674" s="8" t="n">
        <v>1</v>
      </c>
      <c r="D674" s="8" t="inlineStr">
        <is>
          <t>版本免费+义相逢 + 月卡收益</t>
        </is>
      </c>
      <c r="E674" s="9">
        <f>K673</f>
        <v/>
      </c>
      <c r="F674" s="9" t="n">
        <v>1540</v>
      </c>
      <c r="G674" s="9" t="n">
        <v>4800</v>
      </c>
      <c r="H674" s="9" t="n">
        <v>0</v>
      </c>
      <c r="I674" s="9" t="n">
        <v>0</v>
      </c>
      <c r="J674" s="9" t="n">
        <v>0</v>
      </c>
      <c r="K674" s="9">
        <f>E674+F674+G674+H674+I674-J674</f>
        <v/>
      </c>
      <c r="L674" s="10">
        <f>Q673</f>
        <v/>
      </c>
      <c r="M674" s="10" t="n">
        <v>85</v>
      </c>
      <c r="N674" s="10" t="n">
        <v>3</v>
      </c>
      <c r="O674" s="10">
        <f>J674/160</f>
        <v/>
      </c>
      <c r="P674" s="10" t="n">
        <v>40</v>
      </c>
      <c r="Q674" s="10">
        <f>L674+M674+N674+O674-P674</f>
        <v/>
      </c>
      <c r="R674" s="11">
        <f>T673</f>
        <v/>
      </c>
      <c r="S674" s="11">
        <f>N(V674) + N(X674) + N(Z674)</f>
        <v/>
      </c>
      <c r="T674" s="11">
        <f>R674+P674-S674</f>
        <v/>
      </c>
      <c r="U674" s="11" t="inlineStr">
        <is>
          <t>是</t>
        </is>
      </c>
      <c r="V674" s="11" t="n">
        <v>47</v>
      </c>
      <c r="W674" s="11" t="inlineStr">
        <is>
          <t>否</t>
        </is>
      </c>
      <c r="X674" s="11" t="inlineStr">
        <is>
          <t>-</t>
        </is>
      </c>
      <c r="Y674" s="11" t="inlineStr">
        <is>
          <t>-</t>
        </is>
      </c>
      <c r="Z674" s="11" t="n">
        <v>0</v>
      </c>
      <c r="AA674" s="11" t="inlineStr">
        <is>
          <t>无</t>
        </is>
      </c>
      <c r="AB674" s="12">
        <f>AE673</f>
        <v/>
      </c>
      <c r="AC674" s="12" t="n">
        <v>4</v>
      </c>
      <c r="AD674" s="12" t="n">
        <v>0</v>
      </c>
      <c r="AE674" s="12">
        <f>AB674+AC674+AD674</f>
        <v/>
      </c>
      <c r="AF674" s="13">
        <f>AI673</f>
        <v/>
      </c>
      <c r="AG674" s="13" t="n">
        <v>0</v>
      </c>
      <c r="AH674" s="13" t="n">
        <v>0</v>
      </c>
      <c r="AI674" s="13">
        <f>AF674+AG674+AH674</f>
        <v/>
      </c>
      <c r="AJ674" s="14" t="n">
        <v>0</v>
      </c>
      <c r="AK674" s="14" t="n">
        <v>50</v>
      </c>
      <c r="AL674" s="14" t="n">
        <v>0</v>
      </c>
      <c r="AM674" s="14">
        <f>AJ674+AK674+AL674</f>
        <v/>
      </c>
      <c r="AN674" s="14">
        <f>AN673+AM674</f>
        <v/>
      </c>
    </row>
    <row r="675">
      <c r="A675" s="8" t="n">
        <v>26</v>
      </c>
      <c r="B675" s="8" t="n">
        <v>12</v>
      </c>
      <c r="C675" s="8" t="n">
        <v>2</v>
      </c>
      <c r="D675" s="8" t="inlineStr">
        <is>
          <t>月卡收益 [月卡续费-30元]</t>
        </is>
      </c>
      <c r="E675" s="9">
        <f>K674</f>
        <v/>
      </c>
      <c r="F675" s="9" t="n">
        <v>1540</v>
      </c>
      <c r="G675" s="9" t="n">
        <v>0</v>
      </c>
      <c r="H675" s="9" t="n">
        <v>0</v>
      </c>
      <c r="I675" s="9" t="n">
        <v>0</v>
      </c>
      <c r="J675" s="9" t="n">
        <v>5440</v>
      </c>
      <c r="K675" s="9">
        <f>E675+F675+G675+H675+I675-J675</f>
        <v/>
      </c>
      <c r="L675" s="10">
        <f>Q674</f>
        <v/>
      </c>
      <c r="M675" s="10" t="n">
        <v>0</v>
      </c>
      <c r="N675" s="10" t="n">
        <v>11</v>
      </c>
      <c r="O675" s="10">
        <f>J675/160</f>
        <v/>
      </c>
      <c r="P675" s="10" t="n">
        <v>100</v>
      </c>
      <c r="Q675" s="10">
        <f>L675+M675+N675+O675-P675</f>
        <v/>
      </c>
      <c r="R675" s="11">
        <f>T674</f>
        <v/>
      </c>
      <c r="S675" s="11">
        <f>N(V675) + N(X675) + N(Z675)</f>
        <v/>
      </c>
      <c r="T675" s="11">
        <f>R675+P675-S675</f>
        <v/>
      </c>
      <c r="U675" s="11" t="inlineStr">
        <is>
          <t>是</t>
        </is>
      </c>
      <c r="V675" s="11" t="n">
        <v>50</v>
      </c>
      <c r="W675" s="11" t="inlineStr">
        <is>
          <t>是</t>
        </is>
      </c>
      <c r="X675" s="11" t="n">
        <v>49</v>
      </c>
      <c r="Y675" s="11" t="inlineStr">
        <is>
          <t>-</t>
        </is>
      </c>
      <c r="Z675" s="11" t="n">
        <v>0</v>
      </c>
      <c r="AA675" s="11" t="inlineStr">
        <is>
          <t>无</t>
        </is>
      </c>
      <c r="AB675" s="12">
        <f>AE674</f>
        <v/>
      </c>
      <c r="AC675" s="12" t="n">
        <v>0</v>
      </c>
      <c r="AD675" s="12" t="n">
        <v>0</v>
      </c>
      <c r="AE675" s="12">
        <f>AB675+AC675+AD675</f>
        <v/>
      </c>
      <c r="AF675" s="13">
        <f>AI674</f>
        <v/>
      </c>
      <c r="AG675" s="13" t="n">
        <v>0</v>
      </c>
      <c r="AH675" s="13" t="n">
        <v>0</v>
      </c>
      <c r="AI675" s="13">
        <f>AF675+AG675+AH675</f>
        <v/>
      </c>
      <c r="AJ675" s="14" t="n">
        <v>30</v>
      </c>
      <c r="AK675" s="14" t="n">
        <v>0</v>
      </c>
      <c r="AL675" s="14" t="n">
        <v>0</v>
      </c>
      <c r="AM675" s="14">
        <f>AJ675+AK675+AL675</f>
        <v/>
      </c>
      <c r="AN675" s="14">
        <f>AN674+AM675</f>
        <v/>
      </c>
    </row>
    <row r="676">
      <c r="A676" s="8" t="n">
        <v>26</v>
      </c>
      <c r="B676" s="8" t="n">
        <v>13</v>
      </c>
      <c r="C676" s="8" t="n">
        <v>1</v>
      </c>
      <c r="D676" s="8" t="inlineStr">
        <is>
          <t>版本免费+义相逢 + 月卡收益</t>
        </is>
      </c>
      <c r="E676" s="9">
        <f>K675</f>
        <v/>
      </c>
      <c r="F676" s="9" t="n">
        <v>1540</v>
      </c>
      <c r="G676" s="9" t="n">
        <v>4800</v>
      </c>
      <c r="H676" s="9" t="n">
        <v>0</v>
      </c>
      <c r="I676" s="9" t="n">
        <v>0</v>
      </c>
      <c r="J676" s="9" t="n">
        <v>640</v>
      </c>
      <c r="K676" s="9">
        <f>E676+F676+G676+H676+I676-J676</f>
        <v/>
      </c>
      <c r="L676" s="10">
        <f>Q675</f>
        <v/>
      </c>
      <c r="M676" s="10" t="n">
        <v>85</v>
      </c>
      <c r="N676" s="10" t="n">
        <v>11</v>
      </c>
      <c r="O676" s="10">
        <f>J676/160</f>
        <v/>
      </c>
      <c r="P676" s="10" t="n">
        <v>100</v>
      </c>
      <c r="Q676" s="10">
        <f>L676+M676+N676+O676-P676</f>
        <v/>
      </c>
      <c r="R676" s="11">
        <f>T675</f>
        <v/>
      </c>
      <c r="S676" s="11">
        <f>N(V676) + N(X676) + N(Z676)</f>
        <v/>
      </c>
      <c r="T676" s="11">
        <f>R676+P676-S676</f>
        <v/>
      </c>
      <c r="U676" s="11" t="inlineStr">
        <is>
          <t>是</t>
        </is>
      </c>
      <c r="V676" s="11" t="n">
        <v>51</v>
      </c>
      <c r="W676" s="11" t="inlineStr">
        <is>
          <t>是</t>
        </is>
      </c>
      <c r="X676" s="11" t="n">
        <v>50</v>
      </c>
      <c r="Y676" s="11" t="inlineStr">
        <is>
          <t>-</t>
        </is>
      </c>
      <c r="Z676" s="11" t="n">
        <v>0</v>
      </c>
      <c r="AA676" s="11" t="inlineStr">
        <is>
          <t>无</t>
        </is>
      </c>
      <c r="AB676" s="12">
        <f>AE675</f>
        <v/>
      </c>
      <c r="AC676" s="12" t="n">
        <v>4</v>
      </c>
      <c r="AD676" s="12" t="n">
        <v>0</v>
      </c>
      <c r="AE676" s="12">
        <f>AB676+AC676+AD676</f>
        <v/>
      </c>
      <c r="AF676" s="13">
        <f>AI675</f>
        <v/>
      </c>
      <c r="AG676" s="13" t="n">
        <v>0</v>
      </c>
      <c r="AH676" s="13" t="n">
        <v>0</v>
      </c>
      <c r="AI676" s="13">
        <f>AF676+AG676+AH676</f>
        <v/>
      </c>
      <c r="AJ676" s="14" t="n">
        <v>0</v>
      </c>
      <c r="AK676" s="14" t="n">
        <v>50</v>
      </c>
      <c r="AL676" s="14" t="n">
        <v>0</v>
      </c>
      <c r="AM676" s="14">
        <f>AJ676+AK676+AL676</f>
        <v/>
      </c>
      <c r="AN676" s="14">
        <f>AN675+AM676</f>
        <v/>
      </c>
    </row>
    <row r="677">
      <c r="A677" s="8" t="n">
        <v>26</v>
      </c>
      <c r="B677" s="8" t="n">
        <v>13</v>
      </c>
      <c r="C677" s="8" t="n">
        <v>2</v>
      </c>
      <c r="D677" s="8" t="inlineStr">
        <is>
          <t>月卡收益</t>
        </is>
      </c>
      <c r="E677" s="9">
        <f>K676</f>
        <v/>
      </c>
      <c r="F677" s="9" t="n">
        <v>1540</v>
      </c>
      <c r="G677" s="9" t="n">
        <v>0</v>
      </c>
      <c r="H677" s="9" t="n">
        <v>0</v>
      </c>
      <c r="I677" s="9" t="n">
        <v>0</v>
      </c>
      <c r="J677" s="9" t="n">
        <v>9120</v>
      </c>
      <c r="K677" s="9">
        <f>E677+F677+G677+H677+I677-J677</f>
        <v/>
      </c>
      <c r="L677" s="10">
        <f>Q676</f>
        <v/>
      </c>
      <c r="M677" s="10" t="n">
        <v>0</v>
      </c>
      <c r="N677" s="10" t="n">
        <v>6</v>
      </c>
      <c r="O677" s="10">
        <f>J677/160</f>
        <v/>
      </c>
      <c r="P677" s="10" t="n">
        <v>60</v>
      </c>
      <c r="Q677" s="10">
        <f>L677+M677+N677+O677-P677</f>
        <v/>
      </c>
      <c r="R677" s="11">
        <f>T676</f>
        <v/>
      </c>
      <c r="S677" s="11">
        <f>N(V677) + N(X677) + N(Z677)</f>
        <v/>
      </c>
      <c r="T677" s="11">
        <f>R677+P677-S677</f>
        <v/>
      </c>
      <c r="U677" s="11" t="inlineStr">
        <is>
          <t>是</t>
        </is>
      </c>
      <c r="V677" s="11" t="n">
        <v>50</v>
      </c>
      <c r="W677" s="11" t="inlineStr">
        <is>
          <t>否</t>
        </is>
      </c>
      <c r="X677" s="11" t="inlineStr">
        <is>
          <t>-</t>
        </is>
      </c>
      <c r="Y677" s="11" t="inlineStr">
        <is>
          <t>UP(11)</t>
        </is>
      </c>
      <c r="Z677" s="11" t="n">
        <v>11</v>
      </c>
      <c r="AA677" s="11" t="inlineStr">
        <is>
          <t>垫到60抽</t>
        </is>
      </c>
      <c r="AB677" s="12">
        <f>AE676</f>
        <v/>
      </c>
      <c r="AC677" s="12" t="n">
        <v>0</v>
      </c>
      <c r="AD677" s="12" t="n">
        <v>0</v>
      </c>
      <c r="AE677" s="12">
        <f>AB677+AC677+AD677</f>
        <v/>
      </c>
      <c r="AF677" s="13">
        <f>AI676</f>
        <v/>
      </c>
      <c r="AG677" s="13" t="n">
        <v>0</v>
      </c>
      <c r="AH677" s="13" t="n">
        <v>0</v>
      </c>
      <c r="AI677" s="13">
        <f>AF677+AG677+AH677</f>
        <v/>
      </c>
      <c r="AJ677" s="14" t="n">
        <v>0</v>
      </c>
      <c r="AK677" s="14" t="n">
        <v>0</v>
      </c>
      <c r="AL677" s="14" t="n">
        <v>0</v>
      </c>
      <c r="AM677" s="14">
        <f>AJ677+AK677+AL677</f>
        <v/>
      </c>
      <c r="AN677" s="14">
        <f>AN676+AM677</f>
        <v/>
      </c>
    </row>
    <row r="678">
      <c r="A678" s="8" t="n">
        <v>27</v>
      </c>
      <c r="B678" s="8" t="n">
        <v>1</v>
      </c>
      <c r="C678" s="8" t="n">
        <v>1</v>
      </c>
      <c r="D678" s="8" t="inlineStr">
        <is>
          <t>版本免费+义相逢 + 月卡收益 [月卡续费-30元]</t>
        </is>
      </c>
      <c r="E678" s="9" t="n">
        <v>19440</v>
      </c>
      <c r="F678" s="9" t="n">
        <v>1540</v>
      </c>
      <c r="G678" s="9" t="n">
        <v>4800</v>
      </c>
      <c r="H678" s="9" t="n">
        <v>0</v>
      </c>
      <c r="I678" s="9" t="n">
        <v>0</v>
      </c>
      <c r="J678" s="9" t="n">
        <v>160</v>
      </c>
      <c r="K678" s="9">
        <f>E678+F678+G678+H678+I678-J678</f>
        <v/>
      </c>
      <c r="L678" s="10" t="n">
        <v>3</v>
      </c>
      <c r="M678" s="10" t="n">
        <v>85</v>
      </c>
      <c r="N678" s="10" t="n">
        <v>11</v>
      </c>
      <c r="O678" s="10">
        <f>J678/160</f>
        <v/>
      </c>
      <c r="P678" s="10" t="n">
        <v>100</v>
      </c>
      <c r="Q678" s="10">
        <f>L678+M678+N678+O678-P678</f>
        <v/>
      </c>
      <c r="R678" s="11" t="n">
        <v>1</v>
      </c>
      <c r="S678" s="11">
        <f>N(V678) + N(X678) + N(Z678)</f>
        <v/>
      </c>
      <c r="T678" s="11">
        <f>R678+P678-S678</f>
        <v/>
      </c>
      <c r="U678" s="11" t="inlineStr">
        <is>
          <t>是</t>
        </is>
      </c>
      <c r="V678" s="11" t="n">
        <v>50</v>
      </c>
      <c r="W678" s="11" t="inlineStr">
        <is>
          <t>是</t>
        </is>
      </c>
      <c r="X678" s="11" t="n">
        <v>49</v>
      </c>
      <c r="Y678" s="11" t="inlineStr">
        <is>
          <t>-</t>
        </is>
      </c>
      <c r="Z678" s="11" t="n">
        <v>0</v>
      </c>
      <c r="AA678" s="11" t="inlineStr">
        <is>
          <t>无</t>
        </is>
      </c>
      <c r="AB678" s="12" t="n">
        <v>1393</v>
      </c>
      <c r="AC678" s="12" t="n">
        <v>4</v>
      </c>
      <c r="AD678" s="12" t="n">
        <v>0</v>
      </c>
      <c r="AE678" s="12">
        <f>AB678+AC678+AD678</f>
        <v/>
      </c>
      <c r="AF678" s="13" t="n">
        <v>205000</v>
      </c>
      <c r="AG678" s="13" t="n">
        <v>0</v>
      </c>
      <c r="AH678" s="13" t="n">
        <v>0</v>
      </c>
      <c r="AI678" s="13">
        <f>AF678+AG678+AH678</f>
        <v/>
      </c>
      <c r="AJ678" s="14" t="n">
        <v>30</v>
      </c>
      <c r="AK678" s="14" t="n">
        <v>50</v>
      </c>
      <c r="AL678" s="14" t="n">
        <v>0</v>
      </c>
      <c r="AM678" s="14">
        <f>AJ678+AK678+AL678</f>
        <v/>
      </c>
      <c r="AN678" s="14">
        <f>AM678</f>
        <v/>
      </c>
    </row>
    <row r="679">
      <c r="A679" s="8" t="n">
        <v>27</v>
      </c>
      <c r="B679" s="8" t="n">
        <v>1</v>
      </c>
      <c r="C679" s="8" t="n">
        <v>2</v>
      </c>
      <c r="D679" s="8" t="inlineStr">
        <is>
          <t>月卡收益</t>
        </is>
      </c>
      <c r="E679" s="9">
        <f>K678</f>
        <v/>
      </c>
      <c r="F679" s="9" t="n">
        <v>1540</v>
      </c>
      <c r="G679" s="9" t="n">
        <v>0</v>
      </c>
      <c r="H679" s="9" t="n">
        <v>0</v>
      </c>
      <c r="I679" s="9" t="n">
        <v>0</v>
      </c>
      <c r="J679" s="9" t="n">
        <v>9120</v>
      </c>
      <c r="K679" s="9">
        <f>E679+F679+G679+H679+I679-J679</f>
        <v/>
      </c>
      <c r="L679" s="10">
        <f>Q678</f>
        <v/>
      </c>
      <c r="M679" s="10" t="n">
        <v>0</v>
      </c>
      <c r="N679" s="10" t="n">
        <v>6</v>
      </c>
      <c r="O679" s="10">
        <f>J679/160</f>
        <v/>
      </c>
      <c r="P679" s="10" t="n">
        <v>60</v>
      </c>
      <c r="Q679" s="10">
        <f>L679+M679+N679+O679-P679</f>
        <v/>
      </c>
      <c r="R679" s="11">
        <f>T678</f>
        <v/>
      </c>
      <c r="S679" s="11">
        <f>N(V679) + N(X679) + N(Z679)</f>
        <v/>
      </c>
      <c r="T679" s="11">
        <f>R679+P679-S679</f>
        <v/>
      </c>
      <c r="U679" s="11" t="inlineStr">
        <is>
          <t>是</t>
        </is>
      </c>
      <c r="V679" s="11" t="n">
        <v>52</v>
      </c>
      <c r="W679" s="11" t="inlineStr">
        <is>
          <t>否</t>
        </is>
      </c>
      <c r="X679" s="11" t="inlineStr">
        <is>
          <t>-</t>
        </is>
      </c>
      <c r="Y679" s="11" t="inlineStr">
        <is>
          <t>-</t>
        </is>
      </c>
      <c r="Z679" s="11" t="n">
        <v>0</v>
      </c>
      <c r="AA679" s="11" t="inlineStr">
        <is>
          <t>垫到60抽</t>
        </is>
      </c>
      <c r="AB679" s="12">
        <f>AE678</f>
        <v/>
      </c>
      <c r="AC679" s="12" t="n">
        <v>0</v>
      </c>
      <c r="AD679" s="12" t="n">
        <v>0</v>
      </c>
      <c r="AE679" s="12">
        <f>AB679+AC679+AD679</f>
        <v/>
      </c>
      <c r="AF679" s="13">
        <f>AI678</f>
        <v/>
      </c>
      <c r="AG679" s="13" t="n">
        <v>0</v>
      </c>
      <c r="AH679" s="13" t="n">
        <v>0</v>
      </c>
      <c r="AI679" s="13">
        <f>AF679+AG679+AH679</f>
        <v/>
      </c>
      <c r="AJ679" s="14" t="n">
        <v>0</v>
      </c>
      <c r="AK679" s="14" t="n">
        <v>0</v>
      </c>
      <c r="AL679" s="14" t="n">
        <v>0</v>
      </c>
      <c r="AM679" s="14">
        <f>AJ679+AK679+AL679</f>
        <v/>
      </c>
      <c r="AN679" s="14">
        <f>AN678+AM679</f>
        <v/>
      </c>
    </row>
    <row r="680">
      <c r="A680" s="8" t="n">
        <v>27</v>
      </c>
      <c r="B680" s="8" t="n">
        <v>2</v>
      </c>
      <c r="C680" s="8" t="n">
        <v>1</v>
      </c>
      <c r="D680" s="8" t="inlineStr">
        <is>
          <t>版本免费+义相逢 + 月卡收益 [月卡续费-30元]</t>
        </is>
      </c>
      <c r="E680" s="9">
        <f>K679</f>
        <v/>
      </c>
      <c r="F680" s="9" t="n">
        <v>1540</v>
      </c>
      <c r="G680" s="9" t="n">
        <v>4800</v>
      </c>
      <c r="H680" s="9" t="n">
        <v>0</v>
      </c>
      <c r="I680" s="9" t="n">
        <v>0</v>
      </c>
      <c r="J680" s="9" t="n">
        <v>0</v>
      </c>
      <c r="K680" s="9">
        <f>E680+F680+G680+H680+I680-J680</f>
        <v/>
      </c>
      <c r="L680" s="10">
        <f>Q679</f>
        <v/>
      </c>
      <c r="M680" s="10" t="n">
        <v>85</v>
      </c>
      <c r="N680" s="10" t="n">
        <v>6</v>
      </c>
      <c r="O680" s="10">
        <f>J680/160</f>
        <v/>
      </c>
      <c r="P680" s="10" t="n">
        <v>60</v>
      </c>
      <c r="Q680" s="10">
        <f>L680+M680+N680+O680-P680</f>
        <v/>
      </c>
      <c r="R680" s="11">
        <f>T679</f>
        <v/>
      </c>
      <c r="S680" s="11">
        <f>N(V680) + N(X680) + N(Z680)</f>
        <v/>
      </c>
      <c r="T680" s="11">
        <f>R680+P680-S680</f>
        <v/>
      </c>
      <c r="U680" s="11" t="inlineStr">
        <is>
          <t>是</t>
        </is>
      </c>
      <c r="V680" s="11" t="n">
        <v>51</v>
      </c>
      <c r="W680" s="11" t="inlineStr">
        <is>
          <t>否</t>
        </is>
      </c>
      <c r="X680" s="11" t="inlineStr">
        <is>
          <t>-</t>
        </is>
      </c>
      <c r="Y680" s="11" t="inlineStr">
        <is>
          <t>-</t>
        </is>
      </c>
      <c r="Z680" s="11" t="n">
        <v>0</v>
      </c>
      <c r="AA680" s="11" t="inlineStr">
        <is>
          <t>垫到60抽</t>
        </is>
      </c>
      <c r="AB680" s="12">
        <f>AE679</f>
        <v/>
      </c>
      <c r="AC680" s="12" t="n">
        <v>4</v>
      </c>
      <c r="AD680" s="12" t="n">
        <v>0</v>
      </c>
      <c r="AE680" s="12">
        <f>AB680+AC680+AD680</f>
        <v/>
      </c>
      <c r="AF680" s="13">
        <f>AI679</f>
        <v/>
      </c>
      <c r="AG680" s="13" t="n">
        <v>0</v>
      </c>
      <c r="AH680" s="13" t="n">
        <v>0</v>
      </c>
      <c r="AI680" s="13">
        <f>AF680+AG680+AH680</f>
        <v/>
      </c>
      <c r="AJ680" s="14" t="n">
        <v>30</v>
      </c>
      <c r="AK680" s="14" t="n">
        <v>50</v>
      </c>
      <c r="AL680" s="14" t="n">
        <v>0</v>
      </c>
      <c r="AM680" s="14">
        <f>AJ680+AK680+AL680</f>
        <v/>
      </c>
      <c r="AN680" s="14">
        <f>AN679+AM680</f>
        <v/>
      </c>
    </row>
    <row r="681">
      <c r="A681" s="8" t="n">
        <v>27</v>
      </c>
      <c r="B681" s="8" t="n">
        <v>2</v>
      </c>
      <c r="C681" s="8" t="n">
        <v>2</v>
      </c>
      <c r="D681" s="8" t="inlineStr">
        <is>
          <t>月卡收益</t>
        </is>
      </c>
      <c r="E681" s="9">
        <f>K680</f>
        <v/>
      </c>
      <c r="F681" s="9" t="n">
        <v>1540</v>
      </c>
      <c r="G681" s="9" t="n">
        <v>0</v>
      </c>
      <c r="H681" s="9" t="n">
        <v>0</v>
      </c>
      <c r="I681" s="9" t="n">
        <v>0</v>
      </c>
      <c r="J681" s="9" t="n">
        <v>0</v>
      </c>
      <c r="K681" s="9">
        <f>E681+F681+G681+H681+I681-J681</f>
        <v/>
      </c>
      <c r="L681" s="10">
        <f>Q680</f>
        <v/>
      </c>
      <c r="M681" s="10" t="n">
        <v>0</v>
      </c>
      <c r="N681" s="10" t="n">
        <v>3</v>
      </c>
      <c r="O681" s="10">
        <f>J681/160</f>
        <v/>
      </c>
      <c r="P681" s="10" t="n">
        <v>30</v>
      </c>
      <c r="Q681" s="10">
        <f>L681+M681+N681+O681-P681</f>
        <v/>
      </c>
      <c r="R681" s="11">
        <f>T680</f>
        <v/>
      </c>
      <c r="S681" s="11">
        <f>N(V681) + N(X681) + N(Z681)</f>
        <v/>
      </c>
      <c r="T681" s="11">
        <f>R681+P681-S681</f>
        <v/>
      </c>
      <c r="U681" s="11" t="inlineStr">
        <is>
          <t>是</t>
        </is>
      </c>
      <c r="V681" s="11" t="n">
        <v>49</v>
      </c>
      <c r="W681" s="11" t="inlineStr">
        <is>
          <t>否</t>
        </is>
      </c>
      <c r="X681" s="11" t="inlineStr">
        <is>
          <t>-</t>
        </is>
      </c>
      <c r="Y681" s="11" t="inlineStr">
        <is>
          <t>-</t>
        </is>
      </c>
      <c r="Z681" s="11" t="n">
        <v>0</v>
      </c>
      <c r="AA681" s="11" t="inlineStr">
        <is>
          <t>无</t>
        </is>
      </c>
      <c r="AB681" s="12">
        <f>AE680</f>
        <v/>
      </c>
      <c r="AC681" s="12" t="n">
        <v>0</v>
      </c>
      <c r="AD681" s="12" t="n">
        <v>0</v>
      </c>
      <c r="AE681" s="12">
        <f>AB681+AC681+AD681</f>
        <v/>
      </c>
      <c r="AF681" s="13">
        <f>AI680</f>
        <v/>
      </c>
      <c r="AG681" s="13" t="n">
        <v>0</v>
      </c>
      <c r="AH681" s="13" t="n">
        <v>0</v>
      </c>
      <c r="AI681" s="13">
        <f>AF681+AG681+AH681</f>
        <v/>
      </c>
      <c r="AJ681" s="14" t="n">
        <v>0</v>
      </c>
      <c r="AK681" s="14" t="n">
        <v>0</v>
      </c>
      <c r="AL681" s="14" t="n">
        <v>0</v>
      </c>
      <c r="AM681" s="14">
        <f>AJ681+AK681+AL681</f>
        <v/>
      </c>
      <c r="AN681" s="14">
        <f>AN680+AM681</f>
        <v/>
      </c>
    </row>
    <row r="682">
      <c r="A682" s="8" t="n">
        <v>27</v>
      </c>
      <c r="B682" s="8" t="n">
        <v>3</v>
      </c>
      <c r="C682" s="8" t="n">
        <v>1</v>
      </c>
      <c r="D682" s="8" t="inlineStr">
        <is>
          <t>版本免费+义相逢 + 月卡收益 [月卡续费-30元]</t>
        </is>
      </c>
      <c r="E682" s="9">
        <f>K681</f>
        <v/>
      </c>
      <c r="F682" s="9" t="n">
        <v>1540</v>
      </c>
      <c r="G682" s="9" t="n">
        <v>4800</v>
      </c>
      <c r="H682" s="9" t="n">
        <v>0</v>
      </c>
      <c r="I682" s="9" t="n">
        <v>0</v>
      </c>
      <c r="J682" s="9" t="n">
        <v>0</v>
      </c>
      <c r="K682" s="9">
        <f>E682+F682+G682+H682+I682-J682</f>
        <v/>
      </c>
      <c r="L682" s="10">
        <f>Q681</f>
        <v/>
      </c>
      <c r="M682" s="10" t="n">
        <v>85</v>
      </c>
      <c r="N682" s="10" t="n">
        <v>11</v>
      </c>
      <c r="O682" s="10">
        <f>J682/160</f>
        <v/>
      </c>
      <c r="P682" s="10" t="n">
        <v>90</v>
      </c>
      <c r="Q682" s="10">
        <f>L682+M682+N682+O682-P682</f>
        <v/>
      </c>
      <c r="R682" s="11">
        <f>T681</f>
        <v/>
      </c>
      <c r="S682" s="11">
        <f>N(V682) + N(X682) + N(Z682)</f>
        <v/>
      </c>
      <c r="T682" s="11">
        <f>R682+P682-S682</f>
        <v/>
      </c>
      <c r="U682" s="11" t="inlineStr">
        <is>
          <t>是</t>
        </is>
      </c>
      <c r="V682" s="11" t="n">
        <v>28</v>
      </c>
      <c r="W682" s="11" t="inlineStr">
        <is>
          <t>是</t>
        </is>
      </c>
      <c r="X682" s="11" t="n">
        <v>48</v>
      </c>
      <c r="Y682" s="11" t="inlineStr">
        <is>
          <t>-</t>
        </is>
      </c>
      <c r="Z682" s="11" t="n">
        <v>0</v>
      </c>
      <c r="AA682" s="11" t="inlineStr">
        <is>
          <t>垫到90抽</t>
        </is>
      </c>
      <c r="AB682" s="12">
        <f>AE681</f>
        <v/>
      </c>
      <c r="AC682" s="12" t="n">
        <v>4</v>
      </c>
      <c r="AD682" s="12" t="n">
        <v>0</v>
      </c>
      <c r="AE682" s="12">
        <f>AB682+AC682+AD682</f>
        <v/>
      </c>
      <c r="AF682" s="13">
        <f>AI681</f>
        <v/>
      </c>
      <c r="AG682" s="13" t="n">
        <v>0</v>
      </c>
      <c r="AH682" s="13" t="n">
        <v>0</v>
      </c>
      <c r="AI682" s="13">
        <f>AF682+AG682+AH682</f>
        <v/>
      </c>
      <c r="AJ682" s="14" t="n">
        <v>30</v>
      </c>
      <c r="AK682" s="14" t="n">
        <v>50</v>
      </c>
      <c r="AL682" s="14" t="n">
        <v>0</v>
      </c>
      <c r="AM682" s="14">
        <f>AJ682+AK682+AL682</f>
        <v/>
      </c>
      <c r="AN682" s="14">
        <f>AN681+AM682</f>
        <v/>
      </c>
    </row>
    <row r="683">
      <c r="A683" s="8" t="n">
        <v>27</v>
      </c>
      <c r="B683" s="8" t="n">
        <v>3</v>
      </c>
      <c r="C683" s="8" t="n">
        <v>2</v>
      </c>
      <c r="D683" s="8" t="inlineStr">
        <is>
          <t>月卡收益</t>
        </is>
      </c>
      <c r="E683" s="9">
        <f>K682</f>
        <v/>
      </c>
      <c r="F683" s="9" t="n">
        <v>1540</v>
      </c>
      <c r="G683" s="9" t="n">
        <v>0</v>
      </c>
      <c r="H683" s="9" t="n">
        <v>0</v>
      </c>
      <c r="I683" s="9" t="n">
        <v>0</v>
      </c>
      <c r="J683" s="9" t="n">
        <v>11360</v>
      </c>
      <c r="K683" s="9">
        <f>E683+F683+G683+H683+I683-J683</f>
        <v/>
      </c>
      <c r="L683" s="10">
        <f>Q682</f>
        <v/>
      </c>
      <c r="M683" s="10" t="n">
        <v>0</v>
      </c>
      <c r="N683" s="10" t="n">
        <v>11</v>
      </c>
      <c r="O683" s="10">
        <f>J683/160</f>
        <v/>
      </c>
      <c r="P683" s="10" t="n">
        <v>90</v>
      </c>
      <c r="Q683" s="10">
        <f>L683+M683+N683+O683-P683</f>
        <v/>
      </c>
      <c r="R683" s="11">
        <f>T682</f>
        <v/>
      </c>
      <c r="S683" s="11">
        <f>N(V683) + N(X683) + N(Z683)</f>
        <v/>
      </c>
      <c r="T683" s="11">
        <f>R683+P683-S683</f>
        <v/>
      </c>
      <c r="U683" s="11" t="inlineStr">
        <is>
          <t>是</t>
        </is>
      </c>
      <c r="V683" s="11" t="n">
        <v>47</v>
      </c>
      <c r="W683" s="11" t="inlineStr">
        <is>
          <t>是</t>
        </is>
      </c>
      <c r="X683" s="11" t="n">
        <v>50</v>
      </c>
      <c r="Y683" s="11" t="inlineStr">
        <is>
          <t>-</t>
        </is>
      </c>
      <c r="Z683" s="11" t="n">
        <v>0</v>
      </c>
      <c r="AA683" s="11" t="inlineStr">
        <is>
          <t>无</t>
        </is>
      </c>
      <c r="AB683" s="12">
        <f>AE682</f>
        <v/>
      </c>
      <c r="AC683" s="12" t="n">
        <v>0</v>
      </c>
      <c r="AD683" s="12" t="n">
        <v>0</v>
      </c>
      <c r="AE683" s="12">
        <f>AB683+AC683+AD683</f>
        <v/>
      </c>
      <c r="AF683" s="13">
        <f>AI682</f>
        <v/>
      </c>
      <c r="AG683" s="13" t="n">
        <v>0</v>
      </c>
      <c r="AH683" s="13" t="n">
        <v>0</v>
      </c>
      <c r="AI683" s="13">
        <f>AF683+AG683+AH683</f>
        <v/>
      </c>
      <c r="AJ683" s="14" t="n">
        <v>0</v>
      </c>
      <c r="AK683" s="14" t="n">
        <v>0</v>
      </c>
      <c r="AL683" s="14" t="n">
        <v>0</v>
      </c>
      <c r="AM683" s="14">
        <f>AJ683+AK683+AL683</f>
        <v/>
      </c>
      <c r="AN683" s="14">
        <f>AN682+AM683</f>
        <v/>
      </c>
    </row>
    <row r="684">
      <c r="A684" s="8" t="n">
        <v>27</v>
      </c>
      <c r="B684" s="8" t="n">
        <v>4</v>
      </c>
      <c r="C684" s="8" t="n">
        <v>1</v>
      </c>
      <c r="D684" s="8" t="inlineStr">
        <is>
          <t>版本免费+义相逢 + 月卡收益 [月卡续费-30元]</t>
        </is>
      </c>
      <c r="E684" s="9">
        <f>K683</f>
        <v/>
      </c>
      <c r="F684" s="9" t="n">
        <v>1540</v>
      </c>
      <c r="G684" s="9" t="n">
        <v>4800</v>
      </c>
      <c r="H684" s="9" t="n">
        <v>0</v>
      </c>
      <c r="I684" s="9" t="n">
        <v>0</v>
      </c>
      <c r="J684" s="9" t="n">
        <v>0</v>
      </c>
      <c r="K684" s="9">
        <f>E684+F684+G684+H684+I684-J684</f>
        <v/>
      </c>
      <c r="L684" s="10">
        <f>Q683</f>
        <v/>
      </c>
      <c r="M684" s="10" t="n">
        <v>85</v>
      </c>
      <c r="N684" s="10" t="n">
        <v>11</v>
      </c>
      <c r="O684" s="10">
        <f>J684/160</f>
        <v/>
      </c>
      <c r="P684" s="10" t="n">
        <v>100</v>
      </c>
      <c r="Q684" s="10">
        <f>L684+M684+N684+O684-P684</f>
        <v/>
      </c>
      <c r="R684" s="11">
        <f>T683</f>
        <v/>
      </c>
      <c r="S684" s="11">
        <f>N(V684) + N(X684) + N(Z684)</f>
        <v/>
      </c>
      <c r="T684" s="11">
        <f>R684+P684-S684</f>
        <v/>
      </c>
      <c r="U684" s="11" t="inlineStr">
        <is>
          <t>是</t>
        </is>
      </c>
      <c r="V684" s="11" t="n">
        <v>51</v>
      </c>
      <c r="W684" s="11" t="inlineStr">
        <is>
          <t>是</t>
        </is>
      </c>
      <c r="X684" s="11" t="n">
        <v>51</v>
      </c>
      <c r="Y684" s="11" t="inlineStr">
        <is>
          <t>-</t>
        </is>
      </c>
      <c r="Z684" s="11" t="n">
        <v>0</v>
      </c>
      <c r="AA684" s="11" t="inlineStr">
        <is>
          <t>无</t>
        </is>
      </c>
      <c r="AB684" s="12">
        <f>AE683</f>
        <v/>
      </c>
      <c r="AC684" s="12" t="n">
        <v>4</v>
      </c>
      <c r="AD684" s="12" t="n">
        <v>0</v>
      </c>
      <c r="AE684" s="12">
        <f>AB684+AC684+AD684</f>
        <v/>
      </c>
      <c r="AF684" s="13">
        <f>AI683</f>
        <v/>
      </c>
      <c r="AG684" s="13" t="n">
        <v>0</v>
      </c>
      <c r="AH684" s="13" t="n">
        <v>0</v>
      </c>
      <c r="AI684" s="13">
        <f>AF684+AG684+AH684</f>
        <v/>
      </c>
      <c r="AJ684" s="14" t="n">
        <v>30</v>
      </c>
      <c r="AK684" s="14" t="n">
        <v>50</v>
      </c>
      <c r="AL684" s="14" t="n">
        <v>0</v>
      </c>
      <c r="AM684" s="14">
        <f>AJ684+AK684+AL684</f>
        <v/>
      </c>
      <c r="AN684" s="14">
        <f>AN683+AM684</f>
        <v/>
      </c>
    </row>
    <row r="685">
      <c r="A685" s="8" t="n">
        <v>27</v>
      </c>
      <c r="B685" s="8" t="n">
        <v>4</v>
      </c>
      <c r="C685" s="8" t="n">
        <v>2</v>
      </c>
      <c r="D685" s="8" t="inlineStr">
        <is>
          <t>月卡收益</t>
        </is>
      </c>
      <c r="E685" s="9">
        <f>K684</f>
        <v/>
      </c>
      <c r="F685" s="9" t="n">
        <v>1540</v>
      </c>
      <c r="G685" s="9" t="n">
        <v>0</v>
      </c>
      <c r="H685" s="9" t="n">
        <v>0</v>
      </c>
      <c r="I685" s="9" t="n">
        <v>0</v>
      </c>
      <c r="J685" s="9" t="n">
        <v>13280</v>
      </c>
      <c r="K685" s="9">
        <f>E685+F685+G685+H685+I685-J685</f>
        <v/>
      </c>
      <c r="L685" s="10">
        <f>Q684</f>
        <v/>
      </c>
      <c r="M685" s="10" t="n">
        <v>0</v>
      </c>
      <c r="N685" s="10" t="n">
        <v>11</v>
      </c>
      <c r="O685" s="10">
        <f>J685/160</f>
        <v/>
      </c>
      <c r="P685" s="10" t="n">
        <v>90</v>
      </c>
      <c r="Q685" s="10">
        <f>L685+M685+N685+O685-P685</f>
        <v/>
      </c>
      <c r="R685" s="11">
        <f>T684</f>
        <v/>
      </c>
      <c r="S685" s="11">
        <f>N(V685) + N(X685) + N(Z685)</f>
        <v/>
      </c>
      <c r="T685" s="11">
        <f>R685+P685-S685</f>
        <v/>
      </c>
      <c r="U685" s="11" t="inlineStr">
        <is>
          <t>是</t>
        </is>
      </c>
      <c r="V685" s="11" t="n">
        <v>25</v>
      </c>
      <c r="W685" s="11" t="inlineStr">
        <is>
          <t>是</t>
        </is>
      </c>
      <c r="X685" s="11" t="n">
        <v>52</v>
      </c>
      <c r="Y685" s="11" t="inlineStr">
        <is>
          <t>-</t>
        </is>
      </c>
      <c r="Z685" s="11" t="n">
        <v>0</v>
      </c>
      <c r="AA685" s="11" t="inlineStr">
        <is>
          <t>垫到90抽</t>
        </is>
      </c>
      <c r="AB685" s="12">
        <f>AE684</f>
        <v/>
      </c>
      <c r="AC685" s="12" t="n">
        <v>0</v>
      </c>
      <c r="AD685" s="12" t="n">
        <v>0</v>
      </c>
      <c r="AE685" s="12">
        <f>AB685+AC685+AD685</f>
        <v/>
      </c>
      <c r="AF685" s="13">
        <f>AI684</f>
        <v/>
      </c>
      <c r="AG685" s="13" t="n">
        <v>0</v>
      </c>
      <c r="AH685" s="13" t="n">
        <v>0</v>
      </c>
      <c r="AI685" s="13">
        <f>AF685+AG685+AH685</f>
        <v/>
      </c>
      <c r="AJ685" s="14" t="n">
        <v>0</v>
      </c>
      <c r="AK685" s="14" t="n">
        <v>0</v>
      </c>
      <c r="AL685" s="14" t="n">
        <v>0</v>
      </c>
      <c r="AM685" s="14">
        <f>AJ685+AK685+AL685</f>
        <v/>
      </c>
      <c r="AN685" s="14">
        <f>AN684+AM685</f>
        <v/>
      </c>
    </row>
    <row r="686">
      <c r="A686" s="8" t="n">
        <v>27</v>
      </c>
      <c r="B686" s="8" t="n">
        <v>5</v>
      </c>
      <c r="C686" s="8" t="n">
        <v>1</v>
      </c>
      <c r="D686" s="8" t="inlineStr">
        <is>
          <t>版本免费+义相逢 + 月卡收益 [月卡续费-30元]</t>
        </is>
      </c>
      <c r="E686" s="9">
        <f>K685</f>
        <v/>
      </c>
      <c r="F686" s="9" t="n">
        <v>1540</v>
      </c>
      <c r="G686" s="9" t="n">
        <v>4800</v>
      </c>
      <c r="H686" s="9" t="n">
        <v>0</v>
      </c>
      <c r="I686" s="9" t="n">
        <v>0</v>
      </c>
      <c r="J686" s="9" t="n">
        <v>0</v>
      </c>
      <c r="K686" s="9">
        <f>E686+F686+G686+H686+I686-J686</f>
        <v/>
      </c>
      <c r="L686" s="10">
        <f>Q685</f>
        <v/>
      </c>
      <c r="M686" s="10" t="n">
        <v>85</v>
      </c>
      <c r="N686" s="10" t="n">
        <v>3</v>
      </c>
      <c r="O686" s="10">
        <f>J686/160</f>
        <v/>
      </c>
      <c r="P686" s="10" t="n">
        <v>40</v>
      </c>
      <c r="Q686" s="10">
        <f>L686+M686+N686+O686-P686</f>
        <v/>
      </c>
      <c r="R686" s="11">
        <f>T685</f>
        <v/>
      </c>
      <c r="S686" s="11">
        <f>N(V686) + N(X686) + N(Z686)</f>
        <v/>
      </c>
      <c r="T686" s="11">
        <f>R686+P686-S686</f>
        <v/>
      </c>
      <c r="U686" s="11" t="inlineStr">
        <is>
          <t>是</t>
        </is>
      </c>
      <c r="V686" s="11" t="n">
        <v>56</v>
      </c>
      <c r="W686" s="11" t="inlineStr">
        <is>
          <t>否</t>
        </is>
      </c>
      <c r="X686" s="11" t="inlineStr">
        <is>
          <t>-</t>
        </is>
      </c>
      <c r="Y686" s="11" t="inlineStr">
        <is>
          <t>-</t>
        </is>
      </c>
      <c r="Z686" s="11" t="n">
        <v>0</v>
      </c>
      <c r="AA686" s="11" t="inlineStr">
        <is>
          <t>无</t>
        </is>
      </c>
      <c r="AB686" s="12">
        <f>AE685</f>
        <v/>
      </c>
      <c r="AC686" s="12" t="n">
        <v>4</v>
      </c>
      <c r="AD686" s="12" t="n">
        <v>0</v>
      </c>
      <c r="AE686" s="12">
        <f>AB686+AC686+AD686</f>
        <v/>
      </c>
      <c r="AF686" s="13">
        <f>AI685</f>
        <v/>
      </c>
      <c r="AG686" s="13" t="n">
        <v>0</v>
      </c>
      <c r="AH686" s="13" t="n">
        <v>0</v>
      </c>
      <c r="AI686" s="13">
        <f>AF686+AG686+AH686</f>
        <v/>
      </c>
      <c r="AJ686" s="14" t="n">
        <v>30</v>
      </c>
      <c r="AK686" s="14" t="n">
        <v>50</v>
      </c>
      <c r="AL686" s="14" t="n">
        <v>0</v>
      </c>
      <c r="AM686" s="14">
        <f>AJ686+AK686+AL686</f>
        <v/>
      </c>
      <c r="AN686" s="14">
        <f>AN685+AM686</f>
        <v/>
      </c>
    </row>
    <row r="687">
      <c r="A687" s="8" t="n">
        <v>27</v>
      </c>
      <c r="B687" s="8" t="n">
        <v>5</v>
      </c>
      <c r="C687" s="8" t="n">
        <v>2</v>
      </c>
      <c r="D687" s="8" t="inlineStr">
        <is>
          <t>月卡收益</t>
        </is>
      </c>
      <c r="E687" s="9">
        <f>K686</f>
        <v/>
      </c>
      <c r="F687" s="9" t="n">
        <v>1540</v>
      </c>
      <c r="G687" s="9" t="n">
        <v>0</v>
      </c>
      <c r="H687" s="9" t="n">
        <v>0</v>
      </c>
      <c r="I687" s="9" t="n">
        <v>0</v>
      </c>
      <c r="J687" s="9" t="n">
        <v>5760</v>
      </c>
      <c r="K687" s="9">
        <f>E687+F687+G687+H687+I687-J687</f>
        <v/>
      </c>
      <c r="L687" s="10">
        <f>Q686</f>
        <v/>
      </c>
      <c r="M687" s="10" t="n">
        <v>0</v>
      </c>
      <c r="N687" s="10" t="n">
        <v>11</v>
      </c>
      <c r="O687" s="10">
        <f>J687/160</f>
        <v/>
      </c>
      <c r="P687" s="10" t="n">
        <v>100</v>
      </c>
      <c r="Q687" s="10">
        <f>L687+M687+N687+O687-P687</f>
        <v/>
      </c>
      <c r="R687" s="11">
        <f>T686</f>
        <v/>
      </c>
      <c r="S687" s="11">
        <f>N(V687) + N(X687) + N(Z687)</f>
        <v/>
      </c>
      <c r="T687" s="11">
        <f>R687+P687-S687</f>
        <v/>
      </c>
      <c r="U687" s="11" t="inlineStr">
        <is>
          <t>是</t>
        </is>
      </c>
      <c r="V687" s="11" t="n">
        <v>47</v>
      </c>
      <c r="W687" s="11" t="inlineStr">
        <is>
          <t>是</t>
        </is>
      </c>
      <c r="X687" s="11" t="n">
        <v>52</v>
      </c>
      <c r="Y687" s="11" t="inlineStr">
        <is>
          <t>-</t>
        </is>
      </c>
      <c r="Z687" s="11" t="n">
        <v>0</v>
      </c>
      <c r="AA687" s="11" t="inlineStr">
        <is>
          <t>无</t>
        </is>
      </c>
      <c r="AB687" s="12">
        <f>AE686</f>
        <v/>
      </c>
      <c r="AC687" s="12" t="n">
        <v>0</v>
      </c>
      <c r="AD687" s="12" t="n">
        <v>0</v>
      </c>
      <c r="AE687" s="12">
        <f>AB687+AC687+AD687</f>
        <v/>
      </c>
      <c r="AF687" s="13">
        <f>AI686</f>
        <v/>
      </c>
      <c r="AG687" s="13" t="n">
        <v>0</v>
      </c>
      <c r="AH687" s="13" t="n">
        <v>0</v>
      </c>
      <c r="AI687" s="13">
        <f>AF687+AG687+AH687</f>
        <v/>
      </c>
      <c r="AJ687" s="14" t="n">
        <v>0</v>
      </c>
      <c r="AK687" s="14" t="n">
        <v>0</v>
      </c>
      <c r="AL687" s="14" t="n">
        <v>0</v>
      </c>
      <c r="AM687" s="14">
        <f>AJ687+AK687+AL687</f>
        <v/>
      </c>
      <c r="AN687" s="14">
        <f>AN686+AM687</f>
        <v/>
      </c>
    </row>
    <row r="688">
      <c r="A688" s="8" t="n">
        <v>27</v>
      </c>
      <c r="B688" s="8" t="n">
        <v>6</v>
      </c>
      <c r="C688" s="8" t="n">
        <v>1</v>
      </c>
      <c r="D688" s="8" t="inlineStr">
        <is>
          <t>版本免费+义相逢 + 月卡收益 [月卡续费-30元]</t>
        </is>
      </c>
      <c r="E688" s="9">
        <f>K687</f>
        <v/>
      </c>
      <c r="F688" s="9" t="n">
        <v>1540</v>
      </c>
      <c r="G688" s="9" t="n">
        <v>4800</v>
      </c>
      <c r="H688" s="9" t="n">
        <v>0</v>
      </c>
      <c r="I688" s="9" t="n">
        <v>0</v>
      </c>
      <c r="J688" s="9" t="n">
        <v>0</v>
      </c>
      <c r="K688" s="9">
        <f>E688+F688+G688+H688+I688-J688</f>
        <v/>
      </c>
      <c r="L688" s="10">
        <f>Q687</f>
        <v/>
      </c>
      <c r="M688" s="10" t="n">
        <v>85</v>
      </c>
      <c r="N688" s="10" t="n">
        <v>6</v>
      </c>
      <c r="O688" s="10">
        <f>J688/160</f>
        <v/>
      </c>
      <c r="P688" s="10" t="n">
        <v>60</v>
      </c>
      <c r="Q688" s="10">
        <f>L688+M688+N688+O688-P688</f>
        <v/>
      </c>
      <c r="R688" s="11">
        <f>T687</f>
        <v/>
      </c>
      <c r="S688" s="11">
        <f>N(V688) + N(X688) + N(Z688)</f>
        <v/>
      </c>
      <c r="T688" s="11">
        <f>R688+P688-S688</f>
        <v/>
      </c>
      <c r="U688" s="11" t="inlineStr">
        <is>
          <t>是</t>
        </is>
      </c>
      <c r="V688" s="11" t="n">
        <v>50</v>
      </c>
      <c r="W688" s="11" t="inlineStr">
        <is>
          <t>否</t>
        </is>
      </c>
      <c r="X688" s="11" t="inlineStr">
        <is>
          <t>-</t>
        </is>
      </c>
      <c r="Y688" s="11" t="inlineStr">
        <is>
          <t>-</t>
        </is>
      </c>
      <c r="Z688" s="11" t="n">
        <v>0</v>
      </c>
      <c r="AA688" s="11" t="inlineStr">
        <is>
          <t>垫到60抽</t>
        </is>
      </c>
      <c r="AB688" s="12">
        <f>AE687</f>
        <v/>
      </c>
      <c r="AC688" s="12" t="n">
        <v>4</v>
      </c>
      <c r="AD688" s="12" t="n">
        <v>0</v>
      </c>
      <c r="AE688" s="12">
        <f>AB688+AC688+AD688</f>
        <v/>
      </c>
      <c r="AF688" s="13">
        <f>AI687</f>
        <v/>
      </c>
      <c r="AG688" s="13" t="n">
        <v>0</v>
      </c>
      <c r="AH688" s="13" t="n">
        <v>0</v>
      </c>
      <c r="AI688" s="13">
        <f>AF688+AG688+AH688</f>
        <v/>
      </c>
      <c r="AJ688" s="14" t="n">
        <v>30</v>
      </c>
      <c r="AK688" s="14" t="n">
        <v>50</v>
      </c>
      <c r="AL688" s="14" t="n">
        <v>0</v>
      </c>
      <c r="AM688" s="14">
        <f>AJ688+AK688+AL688</f>
        <v/>
      </c>
      <c r="AN688" s="14">
        <f>AN687+AM688</f>
        <v/>
      </c>
    </row>
    <row r="689">
      <c r="A689" s="8" t="n">
        <v>27</v>
      </c>
      <c r="B689" s="8" t="n">
        <v>6</v>
      </c>
      <c r="C689" s="8" t="n">
        <v>2</v>
      </c>
      <c r="D689" s="8" t="inlineStr">
        <is>
          <t>月卡收益</t>
        </is>
      </c>
      <c r="E689" s="9">
        <f>K688</f>
        <v/>
      </c>
      <c r="F689" s="9" t="n">
        <v>1540</v>
      </c>
      <c r="G689" s="9" t="n">
        <v>0</v>
      </c>
      <c r="H689" s="9" t="n">
        <v>0</v>
      </c>
      <c r="I689" s="9" t="n">
        <v>0</v>
      </c>
      <c r="J689" s="9" t="n">
        <v>960</v>
      </c>
      <c r="K689" s="9">
        <f>E689+F689+G689+H689+I689-J689</f>
        <v/>
      </c>
      <c r="L689" s="10">
        <f>Q688</f>
        <v/>
      </c>
      <c r="M689" s="10" t="n">
        <v>0</v>
      </c>
      <c r="N689" s="10" t="n">
        <v>3</v>
      </c>
      <c r="O689" s="10">
        <f>J689/160</f>
        <v/>
      </c>
      <c r="P689" s="10" t="n">
        <v>40</v>
      </c>
      <c r="Q689" s="10">
        <f>L689+M689+N689+O689-P689</f>
        <v/>
      </c>
      <c r="R689" s="11">
        <f>T688</f>
        <v/>
      </c>
      <c r="S689" s="11">
        <f>N(V689) + N(X689) + N(Z689)</f>
        <v/>
      </c>
      <c r="T689" s="11">
        <f>R689+P689-S689</f>
        <v/>
      </c>
      <c r="U689" s="11" t="inlineStr">
        <is>
          <t>是</t>
        </is>
      </c>
      <c r="V689" s="11" t="n">
        <v>50</v>
      </c>
      <c r="W689" s="11" t="inlineStr">
        <is>
          <t>否</t>
        </is>
      </c>
      <c r="X689" s="11" t="inlineStr">
        <is>
          <t>-</t>
        </is>
      </c>
      <c r="Y689" s="11" t="inlineStr">
        <is>
          <t>-</t>
        </is>
      </c>
      <c r="Z689" s="11" t="n">
        <v>0</v>
      </c>
      <c r="AA689" s="11" t="inlineStr">
        <is>
          <t>无</t>
        </is>
      </c>
      <c r="AB689" s="12">
        <f>AE688</f>
        <v/>
      </c>
      <c r="AC689" s="12" t="n">
        <v>0</v>
      </c>
      <c r="AD689" s="12" t="n">
        <v>0</v>
      </c>
      <c r="AE689" s="12">
        <f>AB689+AC689+AD689</f>
        <v/>
      </c>
      <c r="AF689" s="13">
        <f>AI688</f>
        <v/>
      </c>
      <c r="AG689" s="13" t="n">
        <v>0</v>
      </c>
      <c r="AH689" s="13" t="n">
        <v>0</v>
      </c>
      <c r="AI689" s="13">
        <f>AF689+AG689+AH689</f>
        <v/>
      </c>
      <c r="AJ689" s="14" t="n">
        <v>0</v>
      </c>
      <c r="AK689" s="14" t="n">
        <v>0</v>
      </c>
      <c r="AL689" s="14" t="n">
        <v>0</v>
      </c>
      <c r="AM689" s="14">
        <f>AJ689+AK689+AL689</f>
        <v/>
      </c>
      <c r="AN689" s="14">
        <f>AN688+AM689</f>
        <v/>
      </c>
    </row>
    <row r="690">
      <c r="A690" s="8" t="n">
        <v>27</v>
      </c>
      <c r="B690" s="8" t="n">
        <v>7</v>
      </c>
      <c r="C690" s="8" t="n">
        <v>1</v>
      </c>
      <c r="D690" s="8" t="inlineStr">
        <is>
          <t>版本免费+义相逢 + 月卡收益 [月卡续费-30元]</t>
        </is>
      </c>
      <c r="E690" s="9">
        <f>K689</f>
        <v/>
      </c>
      <c r="F690" s="9" t="n">
        <v>1540</v>
      </c>
      <c r="G690" s="9" t="n">
        <v>4800</v>
      </c>
      <c r="H690" s="9" t="n">
        <v>0</v>
      </c>
      <c r="I690" s="9" t="n">
        <v>0</v>
      </c>
      <c r="J690" s="9" t="n">
        <v>15040</v>
      </c>
      <c r="K690" s="9">
        <f>E690+F690+G690+H690+I690-J690</f>
        <v/>
      </c>
      <c r="L690" s="10">
        <f>Q689</f>
        <v/>
      </c>
      <c r="M690" s="10" t="n">
        <v>85</v>
      </c>
      <c r="N690" s="10" t="n">
        <v>21</v>
      </c>
      <c r="O690" s="10">
        <f>J690/160</f>
        <v/>
      </c>
      <c r="P690" s="10" t="n">
        <v>200</v>
      </c>
      <c r="Q690" s="10">
        <f>L690+M690+N690+O690-P690</f>
        <v/>
      </c>
      <c r="R690" s="11">
        <f>T689</f>
        <v/>
      </c>
      <c r="S690" s="11">
        <f>N(V690) + N(X690) + N(Z690)</f>
        <v/>
      </c>
      <c r="T690" s="11">
        <f>R690+P690-S690</f>
        <v/>
      </c>
      <c r="U690" s="11" t="inlineStr">
        <is>
          <t>是</t>
        </is>
      </c>
      <c r="V690" s="11" t="n">
        <v>49</v>
      </c>
      <c r="W690" s="11" t="inlineStr">
        <is>
          <t>是</t>
        </is>
      </c>
      <c r="X690" s="11" t="n">
        <v>52</v>
      </c>
      <c r="Y690" s="11" t="inlineStr">
        <is>
          <t>UP(51), 歪(47)</t>
        </is>
      </c>
      <c r="Z690" s="11" t="n">
        <v>98</v>
      </c>
      <c r="AA690" s="11" t="inlineStr">
        <is>
          <t>冲刺200(动态100)</t>
        </is>
      </c>
      <c r="AB690" s="12">
        <f>AE689</f>
        <v/>
      </c>
      <c r="AC690" s="12" t="n">
        <v>4</v>
      </c>
      <c r="AD690" s="12" t="n">
        <v>1</v>
      </c>
      <c r="AE690" s="12">
        <f>AB690+AC690+AD690</f>
        <v/>
      </c>
      <c r="AF690" s="13">
        <f>AI689</f>
        <v/>
      </c>
      <c r="AG690" s="13" t="n">
        <v>0</v>
      </c>
      <c r="AH690" s="13" t="n">
        <v>5000</v>
      </c>
      <c r="AI690" s="13">
        <f>AF690+AG690+AH690</f>
        <v/>
      </c>
      <c r="AJ690" s="14" t="n">
        <v>30</v>
      </c>
      <c r="AK690" s="14" t="n">
        <v>50</v>
      </c>
      <c r="AL690" s="14" t="n">
        <v>0</v>
      </c>
      <c r="AM690" s="14">
        <f>AJ690+AK690+AL690</f>
        <v/>
      </c>
      <c r="AN690" s="14">
        <f>AN689+AM690</f>
        <v/>
      </c>
    </row>
    <row r="691">
      <c r="A691" s="8" t="n">
        <v>27</v>
      </c>
      <c r="B691" s="8" t="n">
        <v>7</v>
      </c>
      <c r="C691" s="8" t="n">
        <v>2</v>
      </c>
      <c r="D691" s="8" t="inlineStr">
        <is>
          <t>月卡收益</t>
        </is>
      </c>
      <c r="E691" s="9">
        <f>K690</f>
        <v/>
      </c>
      <c r="F691" s="9" t="n">
        <v>1540</v>
      </c>
      <c r="G691" s="9" t="n">
        <v>0</v>
      </c>
      <c r="H691" s="9" t="n">
        <v>0</v>
      </c>
      <c r="I691" s="9" t="n">
        <v>0</v>
      </c>
      <c r="J691" s="9" t="n">
        <v>9120</v>
      </c>
      <c r="K691" s="9">
        <f>E691+F691+G691+H691+I691-J691</f>
        <v/>
      </c>
      <c r="L691" s="10">
        <f>Q690</f>
        <v/>
      </c>
      <c r="M691" s="10" t="n">
        <v>0</v>
      </c>
      <c r="N691" s="10" t="n">
        <v>6</v>
      </c>
      <c r="O691" s="10">
        <f>J691/160</f>
        <v/>
      </c>
      <c r="P691" s="10" t="n">
        <v>60</v>
      </c>
      <c r="Q691" s="10">
        <f>L691+M691+N691+O691-P691</f>
        <v/>
      </c>
      <c r="R691" s="11">
        <f>T690</f>
        <v/>
      </c>
      <c r="S691" s="11">
        <f>N(V691) + N(X691) + N(Z691)</f>
        <v/>
      </c>
      <c r="T691" s="11">
        <f>R691+P691-S691</f>
        <v/>
      </c>
      <c r="U691" s="11" t="inlineStr">
        <is>
          <t>是</t>
        </is>
      </c>
      <c r="V691" s="11" t="n">
        <v>50</v>
      </c>
      <c r="W691" s="11" t="inlineStr">
        <is>
          <t>否</t>
        </is>
      </c>
      <c r="X691" s="11" t="inlineStr">
        <is>
          <t>-</t>
        </is>
      </c>
      <c r="Y691" s="11" t="inlineStr">
        <is>
          <t>-</t>
        </is>
      </c>
      <c r="Z691" s="11" t="n">
        <v>0</v>
      </c>
      <c r="AA691" s="11" t="inlineStr">
        <is>
          <t>垫到60抽</t>
        </is>
      </c>
      <c r="AB691" s="12">
        <f>AE690</f>
        <v/>
      </c>
      <c r="AC691" s="12" t="n">
        <v>0</v>
      </c>
      <c r="AD691" s="12" t="n">
        <v>0</v>
      </c>
      <c r="AE691" s="12">
        <f>AB691+AC691+AD691</f>
        <v/>
      </c>
      <c r="AF691" s="13">
        <f>AI690</f>
        <v/>
      </c>
      <c r="AG691" s="13" t="n">
        <v>0</v>
      </c>
      <c r="AH691" s="13" t="n">
        <v>0</v>
      </c>
      <c r="AI691" s="13">
        <f>AF691+AG691+AH691</f>
        <v/>
      </c>
      <c r="AJ691" s="14" t="n">
        <v>0</v>
      </c>
      <c r="AK691" s="14" t="n">
        <v>0</v>
      </c>
      <c r="AL691" s="14" t="n">
        <v>0</v>
      </c>
      <c r="AM691" s="14">
        <f>AJ691+AK691+AL691</f>
        <v/>
      </c>
      <c r="AN691" s="14">
        <f>AN690+AM691</f>
        <v/>
      </c>
    </row>
    <row r="692">
      <c r="A692" s="8" t="n">
        <v>27</v>
      </c>
      <c r="B692" s="8" t="n">
        <v>8</v>
      </c>
      <c r="C692" s="8" t="n">
        <v>1</v>
      </c>
      <c r="D692" s="8" t="inlineStr">
        <is>
          <t>版本免费+义相逢 + 月卡收益</t>
        </is>
      </c>
      <c r="E692" s="9">
        <f>K691</f>
        <v/>
      </c>
      <c r="F692" s="9" t="n">
        <v>1540</v>
      </c>
      <c r="G692" s="9" t="n">
        <v>4800</v>
      </c>
      <c r="H692" s="9" t="n">
        <v>0</v>
      </c>
      <c r="I692" s="9" t="n">
        <v>0</v>
      </c>
      <c r="J692" s="9" t="n">
        <v>0</v>
      </c>
      <c r="K692" s="9">
        <f>E692+F692+G692+H692+I692-J692</f>
        <v/>
      </c>
      <c r="L692" s="10">
        <f>Q691</f>
        <v/>
      </c>
      <c r="M692" s="10" t="n">
        <v>85</v>
      </c>
      <c r="N692" s="10" t="n">
        <v>3</v>
      </c>
      <c r="O692" s="10">
        <f>J692/160</f>
        <v/>
      </c>
      <c r="P692" s="10" t="n">
        <v>40</v>
      </c>
      <c r="Q692" s="10">
        <f>L692+M692+N692+O692-P692</f>
        <v/>
      </c>
      <c r="R692" s="11">
        <f>T691</f>
        <v/>
      </c>
      <c r="S692" s="11">
        <f>N(V692) + N(X692) + N(Z692)</f>
        <v/>
      </c>
      <c r="T692" s="11">
        <f>R692+P692-S692</f>
        <v/>
      </c>
      <c r="U692" s="11" t="inlineStr">
        <is>
          <t>是</t>
        </is>
      </c>
      <c r="V692" s="11" t="n">
        <v>48</v>
      </c>
      <c r="W692" s="11" t="inlineStr">
        <is>
          <t>是</t>
        </is>
      </c>
      <c r="X692" s="11" t="n">
        <v>5</v>
      </c>
      <c r="Y692" s="11" t="inlineStr">
        <is>
          <t>-</t>
        </is>
      </c>
      <c r="Z692" s="11" t="n">
        <v>0</v>
      </c>
      <c r="AA692" s="11" t="inlineStr">
        <is>
          <t>无</t>
        </is>
      </c>
      <c r="AB692" s="12">
        <f>AE691</f>
        <v/>
      </c>
      <c r="AC692" s="12" t="n">
        <v>4</v>
      </c>
      <c r="AD692" s="12" t="n">
        <v>0</v>
      </c>
      <c r="AE692" s="12">
        <f>AB692+AC692+AD692</f>
        <v/>
      </c>
      <c r="AF692" s="13">
        <f>AI691</f>
        <v/>
      </c>
      <c r="AG692" s="13" t="n">
        <v>0</v>
      </c>
      <c r="AH692" s="13" t="n">
        <v>0</v>
      </c>
      <c r="AI692" s="13">
        <f>AF692+AG692+AH692</f>
        <v/>
      </c>
      <c r="AJ692" s="14" t="n">
        <v>0</v>
      </c>
      <c r="AK692" s="14" t="n">
        <v>50</v>
      </c>
      <c r="AL692" s="14" t="n">
        <v>0</v>
      </c>
      <c r="AM692" s="14">
        <f>AJ692+AK692+AL692</f>
        <v/>
      </c>
      <c r="AN692" s="14">
        <f>AN691+AM692</f>
        <v/>
      </c>
    </row>
    <row r="693">
      <c r="A693" s="8" t="n">
        <v>27</v>
      </c>
      <c r="B693" s="8" t="n">
        <v>8</v>
      </c>
      <c r="C693" s="8" t="n">
        <v>2</v>
      </c>
      <c r="D693" s="8" t="inlineStr">
        <is>
          <t>月卡收益 [月卡续费-30元]</t>
        </is>
      </c>
      <c r="E693" s="9">
        <f>K692</f>
        <v/>
      </c>
      <c r="F693" s="9" t="n">
        <v>1540</v>
      </c>
      <c r="G693" s="9" t="n">
        <v>0</v>
      </c>
      <c r="H693" s="9" t="n">
        <v>0</v>
      </c>
      <c r="I693" s="9" t="n">
        <v>0</v>
      </c>
      <c r="J693" s="9" t="n">
        <v>960</v>
      </c>
      <c r="K693" s="9">
        <f>E693+F693+G693+H693+I693-J693</f>
        <v/>
      </c>
      <c r="L693" s="10">
        <f>Q692</f>
        <v/>
      </c>
      <c r="M693" s="10" t="n">
        <v>0</v>
      </c>
      <c r="N693" s="10" t="n">
        <v>6</v>
      </c>
      <c r="O693" s="10">
        <f>J693/160</f>
        <v/>
      </c>
      <c r="P693" s="10" t="n">
        <v>60</v>
      </c>
      <c r="Q693" s="10">
        <f>L693+M693+N693+O693-P693</f>
        <v/>
      </c>
      <c r="R693" s="11">
        <f>T692</f>
        <v/>
      </c>
      <c r="S693" s="11">
        <f>N(V693) + N(X693) + N(Z693)</f>
        <v/>
      </c>
      <c r="T693" s="11">
        <f>R693+P693-S693</f>
        <v/>
      </c>
      <c r="U693" s="11" t="inlineStr">
        <is>
          <t>是</t>
        </is>
      </c>
      <c r="V693" s="11" t="n">
        <v>51</v>
      </c>
      <c r="W693" s="11" t="inlineStr">
        <is>
          <t>否</t>
        </is>
      </c>
      <c r="X693" s="11" t="inlineStr">
        <is>
          <t>-</t>
        </is>
      </c>
      <c r="Y693" s="11" t="inlineStr">
        <is>
          <t>-</t>
        </is>
      </c>
      <c r="Z693" s="11" t="n">
        <v>0</v>
      </c>
      <c r="AA693" s="11" t="inlineStr">
        <is>
          <t>垫到60抽</t>
        </is>
      </c>
      <c r="AB693" s="12">
        <f>AE692</f>
        <v/>
      </c>
      <c r="AC693" s="12" t="n">
        <v>0</v>
      </c>
      <c r="AD693" s="12" t="n">
        <v>0</v>
      </c>
      <c r="AE693" s="12">
        <f>AB693+AC693+AD693</f>
        <v/>
      </c>
      <c r="AF693" s="13">
        <f>AI692</f>
        <v/>
      </c>
      <c r="AG693" s="13" t="n">
        <v>0</v>
      </c>
      <c r="AH693" s="13" t="n">
        <v>0</v>
      </c>
      <c r="AI693" s="13">
        <f>AF693+AG693+AH693</f>
        <v/>
      </c>
      <c r="AJ693" s="14" t="n">
        <v>30</v>
      </c>
      <c r="AK693" s="14" t="n">
        <v>0</v>
      </c>
      <c r="AL693" s="14" t="n">
        <v>0</v>
      </c>
      <c r="AM693" s="14">
        <f>AJ693+AK693+AL693</f>
        <v/>
      </c>
      <c r="AN693" s="14">
        <f>AN692+AM693</f>
        <v/>
      </c>
    </row>
    <row r="694">
      <c r="A694" s="8" t="n">
        <v>27</v>
      </c>
      <c r="B694" s="8" t="n">
        <v>9</v>
      </c>
      <c r="C694" s="8" t="n">
        <v>1</v>
      </c>
      <c r="D694" s="8" t="inlineStr">
        <is>
          <t>版本免费+义相逢 + 月卡收益</t>
        </is>
      </c>
      <c r="E694" s="9">
        <f>K693</f>
        <v/>
      </c>
      <c r="F694" s="9" t="n">
        <v>1540</v>
      </c>
      <c r="G694" s="9" t="n">
        <v>4800</v>
      </c>
      <c r="H694" s="9" t="n">
        <v>0</v>
      </c>
      <c r="I694" s="9" t="n">
        <v>0</v>
      </c>
      <c r="J694" s="9" t="n">
        <v>0</v>
      </c>
      <c r="K694" s="9">
        <f>E694+F694+G694+H694+I694-J694</f>
        <v/>
      </c>
      <c r="L694" s="10">
        <f>Q693</f>
        <v/>
      </c>
      <c r="M694" s="10" t="n">
        <v>85</v>
      </c>
      <c r="N694" s="10" t="n">
        <v>3</v>
      </c>
      <c r="O694" s="10">
        <f>J694/160</f>
        <v/>
      </c>
      <c r="P694" s="10" t="n">
        <v>40</v>
      </c>
      <c r="Q694" s="10">
        <f>L694+M694+N694+O694-P694</f>
        <v/>
      </c>
      <c r="R694" s="11">
        <f>T693</f>
        <v/>
      </c>
      <c r="S694" s="11">
        <f>N(V694) + N(X694) + N(Z694)</f>
        <v/>
      </c>
      <c r="T694" s="11">
        <f>R694+P694-S694</f>
        <v/>
      </c>
      <c r="U694" s="11" t="inlineStr">
        <is>
          <t>是</t>
        </is>
      </c>
      <c r="V694" s="11" t="n">
        <v>50</v>
      </c>
      <c r="W694" s="11" t="inlineStr">
        <is>
          <t>否</t>
        </is>
      </c>
      <c r="X694" s="11" t="inlineStr">
        <is>
          <t>-</t>
        </is>
      </c>
      <c r="Y694" s="11" t="inlineStr">
        <is>
          <t>-</t>
        </is>
      </c>
      <c r="Z694" s="11" t="n">
        <v>0</v>
      </c>
      <c r="AA694" s="11" t="inlineStr">
        <is>
          <t>无</t>
        </is>
      </c>
      <c r="AB694" s="12">
        <f>AE693</f>
        <v/>
      </c>
      <c r="AC694" s="12" t="n">
        <v>4</v>
      </c>
      <c r="AD694" s="12" t="n">
        <v>0</v>
      </c>
      <c r="AE694" s="12">
        <f>AB694+AC694+AD694</f>
        <v/>
      </c>
      <c r="AF694" s="13">
        <f>AI693</f>
        <v/>
      </c>
      <c r="AG694" s="13" t="n">
        <v>0</v>
      </c>
      <c r="AH694" s="13" t="n">
        <v>0</v>
      </c>
      <c r="AI694" s="13">
        <f>AF694+AG694+AH694</f>
        <v/>
      </c>
      <c r="AJ694" s="14" t="n">
        <v>0</v>
      </c>
      <c r="AK694" s="14" t="n">
        <v>50</v>
      </c>
      <c r="AL694" s="14" t="n">
        <v>0</v>
      </c>
      <c r="AM694" s="14">
        <f>AJ694+AK694+AL694</f>
        <v/>
      </c>
      <c r="AN694" s="14">
        <f>AN693+AM694</f>
        <v/>
      </c>
    </row>
    <row r="695">
      <c r="A695" s="8" t="n">
        <v>27</v>
      </c>
      <c r="B695" s="8" t="n">
        <v>9</v>
      </c>
      <c r="C695" s="8" t="n">
        <v>2</v>
      </c>
      <c r="D695" s="8" t="inlineStr">
        <is>
          <t>月卡收益 [月卡续费-30元]</t>
        </is>
      </c>
      <c r="E695" s="9">
        <f>K694</f>
        <v/>
      </c>
      <c r="F695" s="9" t="n">
        <v>1540</v>
      </c>
      <c r="G695" s="9" t="n">
        <v>0</v>
      </c>
      <c r="H695" s="9" t="n">
        <v>0</v>
      </c>
      <c r="I695" s="9" t="n">
        <v>0</v>
      </c>
      <c r="J695" s="9" t="n">
        <v>0</v>
      </c>
      <c r="K695" s="9">
        <f>E695+F695+G695+H695+I695-J695</f>
        <v/>
      </c>
      <c r="L695" s="10">
        <f>Q694</f>
        <v/>
      </c>
      <c r="M695" s="10" t="n">
        <v>0</v>
      </c>
      <c r="N695" s="10" t="n">
        <v>3</v>
      </c>
      <c r="O695" s="10">
        <f>J695/160</f>
        <v/>
      </c>
      <c r="P695" s="10" t="n">
        <v>40</v>
      </c>
      <c r="Q695" s="10">
        <f>L695+M695+N695+O695-P695</f>
        <v/>
      </c>
      <c r="R695" s="11">
        <f>T694</f>
        <v/>
      </c>
      <c r="S695" s="11">
        <f>N(V695) + N(X695) + N(Z695)</f>
        <v/>
      </c>
      <c r="T695" s="11">
        <f>R695+P695-S695</f>
        <v/>
      </c>
      <c r="U695" s="11" t="inlineStr">
        <is>
          <t>是</t>
        </is>
      </c>
      <c r="V695" s="11" t="n">
        <v>37</v>
      </c>
      <c r="W695" s="11" t="inlineStr">
        <is>
          <t>否</t>
        </is>
      </c>
      <c r="X695" s="11" t="inlineStr">
        <is>
          <t>-</t>
        </is>
      </c>
      <c r="Y695" s="11" t="inlineStr">
        <is>
          <t>-</t>
        </is>
      </c>
      <c r="Z695" s="11" t="n">
        <v>0</v>
      </c>
      <c r="AA695" s="11" t="inlineStr">
        <is>
          <t>无</t>
        </is>
      </c>
      <c r="AB695" s="12">
        <f>AE694</f>
        <v/>
      </c>
      <c r="AC695" s="12" t="n">
        <v>0</v>
      </c>
      <c r="AD695" s="12" t="n">
        <v>0</v>
      </c>
      <c r="AE695" s="12">
        <f>AB695+AC695+AD695</f>
        <v/>
      </c>
      <c r="AF695" s="13">
        <f>AI694</f>
        <v/>
      </c>
      <c r="AG695" s="13" t="n">
        <v>0</v>
      </c>
      <c r="AH695" s="13" t="n">
        <v>0</v>
      </c>
      <c r="AI695" s="13">
        <f>AF695+AG695+AH695</f>
        <v/>
      </c>
      <c r="AJ695" s="14" t="n">
        <v>30</v>
      </c>
      <c r="AK695" s="14" t="n">
        <v>0</v>
      </c>
      <c r="AL695" s="14" t="n">
        <v>0</v>
      </c>
      <c r="AM695" s="14">
        <f>AJ695+AK695+AL695</f>
        <v/>
      </c>
      <c r="AN695" s="14">
        <f>AN694+AM695</f>
        <v/>
      </c>
    </row>
    <row r="696">
      <c r="A696" s="8" t="n">
        <v>27</v>
      </c>
      <c r="B696" s="8" t="n">
        <v>10</v>
      </c>
      <c r="C696" s="8" t="n">
        <v>1</v>
      </c>
      <c r="D696" s="8" t="inlineStr">
        <is>
          <t>版本免费+义相逢 + 月卡收益</t>
        </is>
      </c>
      <c r="E696" s="9">
        <f>K695</f>
        <v/>
      </c>
      <c r="F696" s="9" t="n">
        <v>1540</v>
      </c>
      <c r="G696" s="9" t="n">
        <v>4800</v>
      </c>
      <c r="H696" s="9" t="n">
        <v>0</v>
      </c>
      <c r="I696" s="9" t="n">
        <v>0</v>
      </c>
      <c r="J696" s="9" t="n">
        <v>12800</v>
      </c>
      <c r="K696" s="9">
        <f>E696+F696+G696+H696+I696-J696</f>
        <v/>
      </c>
      <c r="L696" s="10">
        <f>Q695</f>
        <v/>
      </c>
      <c r="M696" s="10" t="n">
        <v>85</v>
      </c>
      <c r="N696" s="10" t="n">
        <v>21</v>
      </c>
      <c r="O696" s="10">
        <f>J696/160</f>
        <v/>
      </c>
      <c r="P696" s="10" t="n">
        <v>200</v>
      </c>
      <c r="Q696" s="10">
        <f>L696+M696+N696+O696-P696</f>
        <v/>
      </c>
      <c r="R696" s="11">
        <f>T695</f>
        <v/>
      </c>
      <c r="S696" s="11">
        <f>N(V696) + N(X696) + N(Z696)</f>
        <v/>
      </c>
      <c r="T696" s="11">
        <f>R696+P696-S696</f>
        <v/>
      </c>
      <c r="U696" s="11" t="inlineStr">
        <is>
          <t>是</t>
        </is>
      </c>
      <c r="V696" s="11" t="n">
        <v>46</v>
      </c>
      <c r="W696" s="11" t="inlineStr">
        <is>
          <t>是</t>
        </is>
      </c>
      <c r="X696" s="11" t="n">
        <v>48</v>
      </c>
      <c r="Y696" s="11" t="inlineStr">
        <is>
          <t>UP(48), UP(43)</t>
        </is>
      </c>
      <c r="Z696" s="11" t="n">
        <v>91</v>
      </c>
      <c r="AA696" s="11" t="inlineStr">
        <is>
          <t>冲刺200(动态100)</t>
        </is>
      </c>
      <c r="AB696" s="12">
        <f>AE695</f>
        <v/>
      </c>
      <c r="AC696" s="12" t="n">
        <v>4</v>
      </c>
      <c r="AD696" s="12" t="n">
        <v>1</v>
      </c>
      <c r="AE696" s="12">
        <f>AB696+AC696+AD696</f>
        <v/>
      </c>
      <c r="AF696" s="13">
        <f>AI695</f>
        <v/>
      </c>
      <c r="AG696" s="13" t="n">
        <v>0</v>
      </c>
      <c r="AH696" s="13" t="n">
        <v>5000</v>
      </c>
      <c r="AI696" s="13">
        <f>AF696+AG696+AH696</f>
        <v/>
      </c>
      <c r="AJ696" s="14" t="n">
        <v>0</v>
      </c>
      <c r="AK696" s="14" t="n">
        <v>50</v>
      </c>
      <c r="AL696" s="14" t="n">
        <v>0</v>
      </c>
      <c r="AM696" s="14">
        <f>AJ696+AK696+AL696</f>
        <v/>
      </c>
      <c r="AN696" s="14">
        <f>AN695+AM696</f>
        <v/>
      </c>
    </row>
    <row r="697">
      <c r="A697" s="8" t="n">
        <v>27</v>
      </c>
      <c r="B697" s="8" t="n">
        <v>10</v>
      </c>
      <c r="C697" s="8" t="n">
        <v>2</v>
      </c>
      <c r="D697" s="8" t="inlineStr">
        <is>
          <t>月卡收益 [月卡续费-30元]</t>
        </is>
      </c>
      <c r="E697" s="9">
        <f>K696</f>
        <v/>
      </c>
      <c r="F697" s="9" t="n">
        <v>1540</v>
      </c>
      <c r="G697" s="9" t="n">
        <v>0</v>
      </c>
      <c r="H697" s="9" t="n">
        <v>0</v>
      </c>
      <c r="I697" s="9" t="n">
        <v>0</v>
      </c>
      <c r="J697" s="9" t="n">
        <v>4640</v>
      </c>
      <c r="K697" s="9">
        <f>E697+F697+G697+H697+I697-J697</f>
        <v/>
      </c>
      <c r="L697" s="10">
        <f>Q696</f>
        <v/>
      </c>
      <c r="M697" s="10" t="n">
        <v>0</v>
      </c>
      <c r="N697" s="10" t="n">
        <v>3</v>
      </c>
      <c r="O697" s="10">
        <f>J697/160</f>
        <v/>
      </c>
      <c r="P697" s="10" t="n">
        <v>30</v>
      </c>
      <c r="Q697" s="10">
        <f>L697+M697+N697+O697-P697</f>
        <v/>
      </c>
      <c r="R697" s="11">
        <f>T696</f>
        <v/>
      </c>
      <c r="S697" s="11">
        <f>N(V697) + N(X697) + N(Z697)</f>
        <v/>
      </c>
      <c r="T697" s="11">
        <f>R697+P697-S697</f>
        <v/>
      </c>
      <c r="U697" s="11" t="inlineStr">
        <is>
          <t>是</t>
        </is>
      </c>
      <c r="V697" s="11" t="n">
        <v>48</v>
      </c>
      <c r="W697" s="11" t="inlineStr">
        <is>
          <t>否</t>
        </is>
      </c>
      <c r="X697" s="11" t="inlineStr">
        <is>
          <t>-</t>
        </is>
      </c>
      <c r="Y697" s="11" t="inlineStr">
        <is>
          <t>-</t>
        </is>
      </c>
      <c r="Z697" s="11" t="n">
        <v>0</v>
      </c>
      <c r="AA697" s="11" t="inlineStr">
        <is>
          <t>无</t>
        </is>
      </c>
      <c r="AB697" s="12">
        <f>AE696</f>
        <v/>
      </c>
      <c r="AC697" s="12" t="n">
        <v>0</v>
      </c>
      <c r="AD697" s="12" t="n">
        <v>0</v>
      </c>
      <c r="AE697" s="12">
        <f>AB697+AC697+AD697</f>
        <v/>
      </c>
      <c r="AF697" s="13">
        <f>AI696</f>
        <v/>
      </c>
      <c r="AG697" s="13" t="n">
        <v>0</v>
      </c>
      <c r="AH697" s="13" t="n">
        <v>0</v>
      </c>
      <c r="AI697" s="13">
        <f>AF697+AG697+AH697</f>
        <v/>
      </c>
      <c r="AJ697" s="14" t="n">
        <v>30</v>
      </c>
      <c r="AK697" s="14" t="n">
        <v>0</v>
      </c>
      <c r="AL697" s="14" t="n">
        <v>0</v>
      </c>
      <c r="AM697" s="14">
        <f>AJ697+AK697+AL697</f>
        <v/>
      </c>
      <c r="AN697" s="14">
        <f>AN696+AM697</f>
        <v/>
      </c>
    </row>
    <row r="698">
      <c r="A698" s="8" t="n">
        <v>27</v>
      </c>
      <c r="B698" s="8" t="n">
        <v>11</v>
      </c>
      <c r="C698" s="8" t="n">
        <v>1</v>
      </c>
      <c r="D698" s="8" t="inlineStr">
        <is>
          <t>版本免费+义相逢 + 月卡收益</t>
        </is>
      </c>
      <c r="E698" s="9">
        <f>K697</f>
        <v/>
      </c>
      <c r="F698" s="9" t="n">
        <v>1540</v>
      </c>
      <c r="G698" s="9" t="n">
        <v>4800</v>
      </c>
      <c r="H698" s="9" t="n">
        <v>0</v>
      </c>
      <c r="I698" s="9" t="n">
        <v>0</v>
      </c>
      <c r="J698" s="9" t="n">
        <v>0</v>
      </c>
      <c r="K698" s="9">
        <f>E698+F698+G698+H698+I698-J698</f>
        <v/>
      </c>
      <c r="L698" s="10">
        <f>Q697</f>
        <v/>
      </c>
      <c r="M698" s="10" t="n">
        <v>85</v>
      </c>
      <c r="N698" s="10" t="n">
        <v>3</v>
      </c>
      <c r="O698" s="10">
        <f>J698/160</f>
        <v/>
      </c>
      <c r="P698" s="10" t="n">
        <v>30</v>
      </c>
      <c r="Q698" s="10">
        <f>L698+M698+N698+O698-P698</f>
        <v/>
      </c>
      <c r="R698" s="11">
        <f>T697</f>
        <v/>
      </c>
      <c r="S698" s="11">
        <f>N(V698) + N(X698) + N(Z698)</f>
        <v/>
      </c>
      <c r="T698" s="11">
        <f>R698+P698-S698</f>
        <v/>
      </c>
      <c r="U698" s="11" t="inlineStr">
        <is>
          <t>是</t>
        </is>
      </c>
      <c r="V698" s="11" t="n">
        <v>21</v>
      </c>
      <c r="W698" s="11" t="inlineStr">
        <is>
          <t>否</t>
        </is>
      </c>
      <c r="X698" s="11" t="inlineStr">
        <is>
          <t>-</t>
        </is>
      </c>
      <c r="Y698" s="11" t="inlineStr">
        <is>
          <t>-</t>
        </is>
      </c>
      <c r="Z698" s="11" t="n">
        <v>0</v>
      </c>
      <c r="AA698" s="11" t="inlineStr">
        <is>
          <t>无</t>
        </is>
      </c>
      <c r="AB698" s="12">
        <f>AE697</f>
        <v/>
      </c>
      <c r="AC698" s="12" t="n">
        <v>4</v>
      </c>
      <c r="AD698" s="12" t="n">
        <v>0</v>
      </c>
      <c r="AE698" s="12">
        <f>AB698+AC698+AD698</f>
        <v/>
      </c>
      <c r="AF698" s="13">
        <f>AI697</f>
        <v/>
      </c>
      <c r="AG698" s="13" t="n">
        <v>0</v>
      </c>
      <c r="AH698" s="13" t="n">
        <v>0</v>
      </c>
      <c r="AI698" s="13">
        <f>AF698+AG698+AH698</f>
        <v/>
      </c>
      <c r="AJ698" s="14" t="n">
        <v>0</v>
      </c>
      <c r="AK698" s="14" t="n">
        <v>50</v>
      </c>
      <c r="AL698" s="14" t="n">
        <v>0</v>
      </c>
      <c r="AM698" s="14">
        <f>AJ698+AK698+AL698</f>
        <v/>
      </c>
      <c r="AN698" s="14">
        <f>AN697+AM698</f>
        <v/>
      </c>
    </row>
    <row r="699">
      <c r="A699" s="8" t="n">
        <v>27</v>
      </c>
      <c r="B699" s="8" t="n">
        <v>11</v>
      </c>
      <c r="C699" s="8" t="n">
        <v>2</v>
      </c>
      <c r="D699" s="8" t="inlineStr">
        <is>
          <t>月卡收益 [月卡续费-30元]</t>
        </is>
      </c>
      <c r="E699" s="9">
        <f>K698</f>
        <v/>
      </c>
      <c r="F699" s="9" t="n">
        <v>1540</v>
      </c>
      <c r="G699" s="9" t="n">
        <v>0</v>
      </c>
      <c r="H699" s="9" t="n">
        <v>0</v>
      </c>
      <c r="I699" s="9" t="n">
        <v>0</v>
      </c>
      <c r="J699" s="9" t="n">
        <v>4640</v>
      </c>
      <c r="K699" s="9">
        <f>E699+F699+G699+H699+I699-J699</f>
        <v/>
      </c>
      <c r="L699" s="10">
        <f>Q698</f>
        <v/>
      </c>
      <c r="M699" s="10" t="n">
        <v>0</v>
      </c>
      <c r="N699" s="10" t="n">
        <v>11</v>
      </c>
      <c r="O699" s="10">
        <f>J699/160</f>
        <v/>
      </c>
      <c r="P699" s="10" t="n">
        <v>100</v>
      </c>
      <c r="Q699" s="10">
        <f>L699+M699+N699+O699-P699</f>
        <v/>
      </c>
      <c r="R699" s="11">
        <f>T698</f>
        <v/>
      </c>
      <c r="S699" s="11">
        <f>N(V699) + N(X699) + N(Z699)</f>
        <v/>
      </c>
      <c r="T699" s="11">
        <f>R699+P699-S699</f>
        <v/>
      </c>
      <c r="U699" s="11" t="inlineStr">
        <is>
          <t>是</t>
        </is>
      </c>
      <c r="V699" s="11" t="n">
        <v>50</v>
      </c>
      <c r="W699" s="11" t="inlineStr">
        <is>
          <t>是</t>
        </is>
      </c>
      <c r="X699" s="11" t="n">
        <v>52</v>
      </c>
      <c r="Y699" s="11" t="inlineStr">
        <is>
          <t>-</t>
        </is>
      </c>
      <c r="Z699" s="11" t="n">
        <v>0</v>
      </c>
      <c r="AA699" s="11" t="inlineStr">
        <is>
          <t>无</t>
        </is>
      </c>
      <c r="AB699" s="12">
        <f>AE698</f>
        <v/>
      </c>
      <c r="AC699" s="12" t="n">
        <v>0</v>
      </c>
      <c r="AD699" s="12" t="n">
        <v>0</v>
      </c>
      <c r="AE699" s="12">
        <f>AB699+AC699+AD699</f>
        <v/>
      </c>
      <c r="AF699" s="13">
        <f>AI698</f>
        <v/>
      </c>
      <c r="AG699" s="13" t="n">
        <v>0</v>
      </c>
      <c r="AH699" s="13" t="n">
        <v>0</v>
      </c>
      <c r="AI699" s="13">
        <f>AF699+AG699+AH699</f>
        <v/>
      </c>
      <c r="AJ699" s="14" t="n">
        <v>30</v>
      </c>
      <c r="AK699" s="14" t="n">
        <v>0</v>
      </c>
      <c r="AL699" s="14" t="n">
        <v>0</v>
      </c>
      <c r="AM699" s="14">
        <f>AJ699+AK699+AL699</f>
        <v/>
      </c>
      <c r="AN699" s="14">
        <f>AN698+AM699</f>
        <v/>
      </c>
    </row>
    <row r="700">
      <c r="A700" s="8" t="n">
        <v>27</v>
      </c>
      <c r="B700" s="8" t="n">
        <v>12</v>
      </c>
      <c r="C700" s="8" t="n">
        <v>1</v>
      </c>
      <c r="D700" s="8" t="inlineStr">
        <is>
          <t>版本免费+义相逢 + 月卡收益</t>
        </is>
      </c>
      <c r="E700" s="9">
        <f>K699</f>
        <v/>
      </c>
      <c r="F700" s="9" t="n">
        <v>1540</v>
      </c>
      <c r="G700" s="9" t="n">
        <v>4800</v>
      </c>
      <c r="H700" s="9" t="n">
        <v>0</v>
      </c>
      <c r="I700" s="9" t="n">
        <v>0</v>
      </c>
      <c r="J700" s="9" t="n">
        <v>0</v>
      </c>
      <c r="K700" s="9">
        <f>E700+F700+G700+H700+I700-J700</f>
        <v/>
      </c>
      <c r="L700" s="10">
        <f>Q699</f>
        <v/>
      </c>
      <c r="M700" s="10" t="n">
        <v>85</v>
      </c>
      <c r="N700" s="10" t="n">
        <v>11</v>
      </c>
      <c r="O700" s="10">
        <f>J700/160</f>
        <v/>
      </c>
      <c r="P700" s="10" t="n">
        <v>90</v>
      </c>
      <c r="Q700" s="10">
        <f>L700+M700+N700+O700-P700</f>
        <v/>
      </c>
      <c r="R700" s="11">
        <f>T699</f>
        <v/>
      </c>
      <c r="S700" s="11">
        <f>N(V700) + N(X700) + N(Z700)</f>
        <v/>
      </c>
      <c r="T700" s="11">
        <f>R700+P700-S700</f>
        <v/>
      </c>
      <c r="U700" s="11" t="inlineStr">
        <is>
          <t>是</t>
        </is>
      </c>
      <c r="V700" s="11" t="n">
        <v>48</v>
      </c>
      <c r="W700" s="11" t="inlineStr">
        <is>
          <t>是</t>
        </is>
      </c>
      <c r="X700" s="11" t="n">
        <v>49</v>
      </c>
      <c r="Y700" s="11" t="inlineStr">
        <is>
          <t>-</t>
        </is>
      </c>
      <c r="Z700" s="11" t="n">
        <v>0</v>
      </c>
      <c r="AA700" s="11" t="inlineStr">
        <is>
          <t>无</t>
        </is>
      </c>
      <c r="AB700" s="12">
        <f>AE699</f>
        <v/>
      </c>
      <c r="AC700" s="12" t="n">
        <v>4</v>
      </c>
      <c r="AD700" s="12" t="n">
        <v>0</v>
      </c>
      <c r="AE700" s="12">
        <f>AB700+AC700+AD700</f>
        <v/>
      </c>
      <c r="AF700" s="13">
        <f>AI699</f>
        <v/>
      </c>
      <c r="AG700" s="13" t="n">
        <v>0</v>
      </c>
      <c r="AH700" s="13" t="n">
        <v>0</v>
      </c>
      <c r="AI700" s="13">
        <f>AF700+AG700+AH700</f>
        <v/>
      </c>
      <c r="AJ700" s="14" t="n">
        <v>0</v>
      </c>
      <c r="AK700" s="14" t="n">
        <v>50</v>
      </c>
      <c r="AL700" s="14" t="n">
        <v>0</v>
      </c>
      <c r="AM700" s="14">
        <f>AJ700+AK700+AL700</f>
        <v/>
      </c>
      <c r="AN700" s="14">
        <f>AN699+AM700</f>
        <v/>
      </c>
    </row>
    <row r="701">
      <c r="A701" s="8" t="n">
        <v>27</v>
      </c>
      <c r="B701" s="8" t="n">
        <v>12</v>
      </c>
      <c r="C701" s="8" t="n">
        <v>2</v>
      </c>
      <c r="D701" s="8" t="inlineStr">
        <is>
          <t>月卡收益 [月卡续费-30元]</t>
        </is>
      </c>
      <c r="E701" s="9">
        <f>K700</f>
        <v/>
      </c>
      <c r="F701" s="9" t="n">
        <v>1540</v>
      </c>
      <c r="G701" s="9" t="n">
        <v>0</v>
      </c>
      <c r="H701" s="9" t="n">
        <v>0</v>
      </c>
      <c r="I701" s="9" t="n">
        <v>0</v>
      </c>
      <c r="J701" s="9" t="n">
        <v>14880</v>
      </c>
      <c r="K701" s="9">
        <f>E701+F701+G701+H701+I701-J701</f>
        <v/>
      </c>
      <c r="L701" s="10">
        <f>Q700</f>
        <v/>
      </c>
      <c r="M701" s="10" t="n">
        <v>0</v>
      </c>
      <c r="N701" s="10" t="n">
        <v>11</v>
      </c>
      <c r="O701" s="10">
        <f>J701/160</f>
        <v/>
      </c>
      <c r="P701" s="10" t="n">
        <v>110</v>
      </c>
      <c r="Q701" s="10">
        <f>L701+M701+N701+O701-P701</f>
        <v/>
      </c>
      <c r="R701" s="11">
        <f>T700</f>
        <v/>
      </c>
      <c r="S701" s="11">
        <f>N(V701) + N(X701) + N(Z701)</f>
        <v/>
      </c>
      <c r="T701" s="11">
        <f>R701+P701-S701</f>
        <v/>
      </c>
      <c r="U701" s="11" t="inlineStr">
        <is>
          <t>是</t>
        </is>
      </c>
      <c r="V701" s="11" t="n">
        <v>51</v>
      </c>
      <c r="W701" s="11" t="inlineStr">
        <is>
          <t>是</t>
        </is>
      </c>
      <c r="X701" s="11" t="n">
        <v>51</v>
      </c>
      <c r="Y701" s="11" t="inlineStr">
        <is>
          <t>-</t>
        </is>
      </c>
      <c r="Z701" s="11" t="n">
        <v>0</v>
      </c>
      <c r="AA701" s="11" t="inlineStr">
        <is>
          <t>无</t>
        </is>
      </c>
      <c r="AB701" s="12">
        <f>AE700</f>
        <v/>
      </c>
      <c r="AC701" s="12" t="n">
        <v>0</v>
      </c>
      <c r="AD701" s="12" t="n">
        <v>0</v>
      </c>
      <c r="AE701" s="12">
        <f>AB701+AC701+AD701</f>
        <v/>
      </c>
      <c r="AF701" s="13">
        <f>AI700</f>
        <v/>
      </c>
      <c r="AG701" s="13" t="n">
        <v>0</v>
      </c>
      <c r="AH701" s="13" t="n">
        <v>0</v>
      </c>
      <c r="AI701" s="13">
        <f>AF701+AG701+AH701</f>
        <v/>
      </c>
      <c r="AJ701" s="14" t="n">
        <v>30</v>
      </c>
      <c r="AK701" s="14" t="n">
        <v>0</v>
      </c>
      <c r="AL701" s="14" t="n">
        <v>0</v>
      </c>
      <c r="AM701" s="14">
        <f>AJ701+AK701+AL701</f>
        <v/>
      </c>
      <c r="AN701" s="14">
        <f>AN700+AM701</f>
        <v/>
      </c>
    </row>
    <row r="702">
      <c r="A702" s="8" t="n">
        <v>27</v>
      </c>
      <c r="B702" s="8" t="n">
        <v>13</v>
      </c>
      <c r="C702" s="8" t="n">
        <v>1</v>
      </c>
      <c r="D702" s="8" t="inlineStr">
        <is>
          <t>版本免费+义相逢 + 月卡收益</t>
        </is>
      </c>
      <c r="E702" s="9">
        <f>K701</f>
        <v/>
      </c>
      <c r="F702" s="9" t="n">
        <v>1540</v>
      </c>
      <c r="G702" s="9" t="n">
        <v>4800</v>
      </c>
      <c r="H702" s="9" t="n">
        <v>0</v>
      </c>
      <c r="I702" s="9" t="n">
        <v>0</v>
      </c>
      <c r="J702" s="9" t="n">
        <v>640</v>
      </c>
      <c r="K702" s="9">
        <f>E702+F702+G702+H702+I702-J702</f>
        <v/>
      </c>
      <c r="L702" s="10">
        <f>Q701</f>
        <v/>
      </c>
      <c r="M702" s="10" t="n">
        <v>85</v>
      </c>
      <c r="N702" s="10" t="n">
        <v>11</v>
      </c>
      <c r="O702" s="10">
        <f>J702/160</f>
        <v/>
      </c>
      <c r="P702" s="10" t="n">
        <v>100</v>
      </c>
      <c r="Q702" s="10">
        <f>L702+M702+N702+O702-P702</f>
        <v/>
      </c>
      <c r="R702" s="11">
        <f>T701</f>
        <v/>
      </c>
      <c r="S702" s="11">
        <f>N(V702) + N(X702) + N(Z702)</f>
        <v/>
      </c>
      <c r="T702" s="11">
        <f>R702+P702-S702</f>
        <v/>
      </c>
      <c r="U702" s="11" t="inlineStr">
        <is>
          <t>是</t>
        </is>
      </c>
      <c r="V702" s="11" t="n">
        <v>51</v>
      </c>
      <c r="W702" s="11" t="inlineStr">
        <is>
          <t>是</t>
        </is>
      </c>
      <c r="X702" s="11" t="n">
        <v>50</v>
      </c>
      <c r="Y702" s="11" t="inlineStr">
        <is>
          <t>-</t>
        </is>
      </c>
      <c r="Z702" s="11" t="n">
        <v>0</v>
      </c>
      <c r="AA702" s="11" t="inlineStr">
        <is>
          <t>无</t>
        </is>
      </c>
      <c r="AB702" s="12">
        <f>AE701</f>
        <v/>
      </c>
      <c r="AC702" s="12" t="n">
        <v>4</v>
      </c>
      <c r="AD702" s="12" t="n">
        <v>0</v>
      </c>
      <c r="AE702" s="12">
        <f>AB702+AC702+AD702</f>
        <v/>
      </c>
      <c r="AF702" s="13">
        <f>AI701</f>
        <v/>
      </c>
      <c r="AG702" s="13" t="n">
        <v>0</v>
      </c>
      <c r="AH702" s="13" t="n">
        <v>0</v>
      </c>
      <c r="AI702" s="13">
        <f>AF702+AG702+AH702</f>
        <v/>
      </c>
      <c r="AJ702" s="14" t="n">
        <v>0</v>
      </c>
      <c r="AK702" s="14" t="n">
        <v>50</v>
      </c>
      <c r="AL702" s="14" t="n">
        <v>0</v>
      </c>
      <c r="AM702" s="14">
        <f>AJ702+AK702+AL702</f>
        <v/>
      </c>
      <c r="AN702" s="14">
        <f>AN701+AM702</f>
        <v/>
      </c>
    </row>
    <row r="703">
      <c r="A703" s="8" t="n">
        <v>27</v>
      </c>
      <c r="B703" s="8" t="n">
        <v>13</v>
      </c>
      <c r="C703" s="8" t="n">
        <v>2</v>
      </c>
      <c r="D703" s="8" t="inlineStr">
        <is>
          <t>月卡收益 [月卡续费-30元]</t>
        </is>
      </c>
      <c r="E703" s="9">
        <f>K702</f>
        <v/>
      </c>
      <c r="F703" s="9" t="n">
        <v>1540</v>
      </c>
      <c r="G703" s="9" t="n">
        <v>0</v>
      </c>
      <c r="H703" s="9" t="n">
        <v>0</v>
      </c>
      <c r="I703" s="9" t="n">
        <v>0</v>
      </c>
      <c r="J703" s="9" t="n">
        <v>13440</v>
      </c>
      <c r="K703" s="9">
        <f>E703+F703+G703+H703+I703-J703</f>
        <v/>
      </c>
      <c r="L703" s="10">
        <f>Q702</f>
        <v/>
      </c>
      <c r="M703" s="10" t="n">
        <v>0</v>
      </c>
      <c r="N703" s="10" t="n">
        <v>11</v>
      </c>
      <c r="O703" s="10">
        <f>J703/160</f>
        <v/>
      </c>
      <c r="P703" s="10" t="n">
        <v>90</v>
      </c>
      <c r="Q703" s="10">
        <f>L703+M703+N703+O703-P703</f>
        <v/>
      </c>
      <c r="R703" s="11">
        <f>T702</f>
        <v/>
      </c>
      <c r="S703" s="11">
        <f>N(V703) + N(X703) + N(Z703)</f>
        <v/>
      </c>
      <c r="T703" s="11">
        <f>R703+P703-S703</f>
        <v/>
      </c>
      <c r="U703" s="11" t="inlineStr">
        <is>
          <t>是</t>
        </is>
      </c>
      <c r="V703" s="11" t="n">
        <v>48</v>
      </c>
      <c r="W703" s="11" t="inlineStr">
        <is>
          <t>是</t>
        </is>
      </c>
      <c r="X703" s="11" t="n">
        <v>48</v>
      </c>
      <c r="Y703" s="11" t="inlineStr">
        <is>
          <t>-</t>
        </is>
      </c>
      <c r="Z703" s="11" t="n">
        <v>0</v>
      </c>
      <c r="AA703" s="11" t="inlineStr">
        <is>
          <t>无</t>
        </is>
      </c>
      <c r="AB703" s="12">
        <f>AE702</f>
        <v/>
      </c>
      <c r="AC703" s="12" t="n">
        <v>0</v>
      </c>
      <c r="AD703" s="12" t="n">
        <v>0</v>
      </c>
      <c r="AE703" s="12">
        <f>AB703+AC703+AD703</f>
        <v/>
      </c>
      <c r="AF703" s="13">
        <f>AI702</f>
        <v/>
      </c>
      <c r="AG703" s="13" t="n">
        <v>0</v>
      </c>
      <c r="AH703" s="13" t="n">
        <v>0</v>
      </c>
      <c r="AI703" s="13">
        <f>AF703+AG703+AH703</f>
        <v/>
      </c>
      <c r="AJ703" s="14" t="n">
        <v>30</v>
      </c>
      <c r="AK703" s="14" t="n">
        <v>0</v>
      </c>
      <c r="AL703" s="14" t="n">
        <v>0</v>
      </c>
      <c r="AM703" s="14">
        <f>AJ703+AK703+AL703</f>
        <v/>
      </c>
      <c r="AN703" s="14">
        <f>AN702+AM703</f>
        <v/>
      </c>
    </row>
    <row r="704">
      <c r="A704" s="8" t="n">
        <v>28</v>
      </c>
      <c r="B704" s="8" t="n">
        <v>1</v>
      </c>
      <c r="C704" s="8" t="n">
        <v>1</v>
      </c>
      <c r="D704" s="8" t="inlineStr">
        <is>
          <t>版本免费+义相逢 + 月卡收益</t>
        </is>
      </c>
      <c r="E704" s="9" t="n">
        <v>5080</v>
      </c>
      <c r="F704" s="9" t="n">
        <v>1540</v>
      </c>
      <c r="G704" s="9" t="n">
        <v>4800</v>
      </c>
      <c r="H704" s="9" t="n">
        <v>0</v>
      </c>
      <c r="I704" s="9" t="n">
        <v>0</v>
      </c>
      <c r="J704" s="9" t="n">
        <v>0</v>
      </c>
      <c r="K704" s="9">
        <f>E704+F704+G704+H704+I704-J704</f>
        <v/>
      </c>
      <c r="L704" s="10" t="n">
        <v>5</v>
      </c>
      <c r="M704" s="10" t="n">
        <v>85</v>
      </c>
      <c r="N704" s="10" t="n">
        <v>11</v>
      </c>
      <c r="O704" s="10">
        <f>J704/160</f>
        <v/>
      </c>
      <c r="P704" s="10" t="n">
        <v>100</v>
      </c>
      <c r="Q704" s="10">
        <f>L704+M704+N704+O704-P704</f>
        <v/>
      </c>
      <c r="R704" s="11" t="n">
        <v>1</v>
      </c>
      <c r="S704" s="11">
        <f>N(V704) + N(X704) + N(Z704)</f>
        <v/>
      </c>
      <c r="T704" s="11">
        <f>R704+P704-S704</f>
        <v/>
      </c>
      <c r="U704" s="11" t="inlineStr">
        <is>
          <t>是</t>
        </is>
      </c>
      <c r="V704" s="11" t="n">
        <v>48</v>
      </c>
      <c r="W704" s="11" t="inlineStr">
        <is>
          <t>是</t>
        </is>
      </c>
      <c r="X704" s="11" t="n">
        <v>47</v>
      </c>
      <c r="Y704" s="11" t="inlineStr">
        <is>
          <t>-</t>
        </is>
      </c>
      <c r="Z704" s="11" t="n">
        <v>0</v>
      </c>
      <c r="AA704" s="11" t="inlineStr">
        <is>
          <t>无</t>
        </is>
      </c>
      <c r="AB704" s="12" t="n">
        <v>1447</v>
      </c>
      <c r="AC704" s="12" t="n">
        <v>4</v>
      </c>
      <c r="AD704" s="12" t="n">
        <v>0</v>
      </c>
      <c r="AE704" s="12">
        <f>AB704+AC704+AD704</f>
        <v/>
      </c>
      <c r="AF704" s="13" t="n">
        <v>215000</v>
      </c>
      <c r="AG704" s="13" t="n">
        <v>0</v>
      </c>
      <c r="AH704" s="13" t="n">
        <v>0</v>
      </c>
      <c r="AI704" s="13">
        <f>AF704+AG704+AH704</f>
        <v/>
      </c>
      <c r="AJ704" s="14" t="n">
        <v>0</v>
      </c>
      <c r="AK704" s="14" t="n">
        <v>50</v>
      </c>
      <c r="AL704" s="14" t="n">
        <v>0</v>
      </c>
      <c r="AM704" s="14">
        <f>AJ704+AK704+AL704</f>
        <v/>
      </c>
      <c r="AN704" s="14">
        <f>AM704</f>
        <v/>
      </c>
    </row>
    <row r="705">
      <c r="A705" s="8" t="n">
        <v>28</v>
      </c>
      <c r="B705" s="8" t="n">
        <v>1</v>
      </c>
      <c r="C705" s="8" t="n">
        <v>2</v>
      </c>
      <c r="D705" s="8" t="inlineStr">
        <is>
          <t>月卡收益 [月卡续费-30元]</t>
        </is>
      </c>
      <c r="E705" s="9">
        <f>K704</f>
        <v/>
      </c>
      <c r="F705" s="9" t="n">
        <v>1540</v>
      </c>
      <c r="G705" s="9" t="n">
        <v>0</v>
      </c>
      <c r="H705" s="9" t="n">
        <v>0</v>
      </c>
      <c r="I705" s="9" t="n">
        <v>0</v>
      </c>
      <c r="J705" s="9" t="n">
        <v>11680</v>
      </c>
      <c r="K705" s="9">
        <f>E705+F705+G705+H705+I705-J705</f>
        <v/>
      </c>
      <c r="L705" s="10">
        <f>Q704</f>
        <v/>
      </c>
      <c r="M705" s="10" t="n">
        <v>0</v>
      </c>
      <c r="N705" s="10" t="n">
        <v>6</v>
      </c>
      <c r="O705" s="10">
        <f>J705/160</f>
        <v/>
      </c>
      <c r="P705" s="10" t="n">
        <v>80</v>
      </c>
      <c r="Q705" s="10">
        <f>L705+M705+N705+O705-P705</f>
        <v/>
      </c>
      <c r="R705" s="11">
        <f>T704</f>
        <v/>
      </c>
      <c r="S705" s="11">
        <f>N(V705) + N(X705) + N(Z705)</f>
        <v/>
      </c>
      <c r="T705" s="11">
        <f>R705+P705-S705</f>
        <v/>
      </c>
      <c r="U705" s="11" t="inlineStr">
        <is>
          <t>否</t>
        </is>
      </c>
      <c r="V705" s="11" t="inlineStr">
        <is>
          <t>-</t>
        </is>
      </c>
      <c r="W705" s="11" t="inlineStr">
        <is>
          <t>是</t>
        </is>
      </c>
      <c r="X705" s="11" t="n">
        <v>48</v>
      </c>
      <c r="Y705" s="11" t="inlineStr">
        <is>
          <t>-</t>
        </is>
      </c>
      <c r="Z705" s="11" t="n">
        <v>0</v>
      </c>
      <c r="AA705" s="11" t="inlineStr">
        <is>
          <t>无</t>
        </is>
      </c>
      <c r="AB705" s="12">
        <f>AE704</f>
        <v/>
      </c>
      <c r="AC705" s="12" t="n">
        <v>0</v>
      </c>
      <c r="AD705" s="12" t="n">
        <v>0</v>
      </c>
      <c r="AE705" s="12">
        <f>AB705+AC705+AD705</f>
        <v/>
      </c>
      <c r="AF705" s="13">
        <f>AI704</f>
        <v/>
      </c>
      <c r="AG705" s="13" t="n">
        <v>0</v>
      </c>
      <c r="AH705" s="13" t="n">
        <v>0</v>
      </c>
      <c r="AI705" s="13">
        <f>AF705+AG705+AH705</f>
        <v/>
      </c>
      <c r="AJ705" s="14" t="n">
        <v>30</v>
      </c>
      <c r="AK705" s="14" t="n">
        <v>0</v>
      </c>
      <c r="AL705" s="14" t="n">
        <v>0</v>
      </c>
      <c r="AM705" s="14">
        <f>AJ705+AK705+AL705</f>
        <v/>
      </c>
      <c r="AN705" s="14">
        <f>AN704+AM705</f>
        <v/>
      </c>
    </row>
    <row r="706">
      <c r="A706" s="8" t="n">
        <v>28</v>
      </c>
      <c r="B706" s="8" t="n">
        <v>2</v>
      </c>
      <c r="C706" s="8" t="n">
        <v>1</v>
      </c>
      <c r="D706" s="8" t="inlineStr">
        <is>
          <t>版本免费+义相逢 + 月卡收益</t>
        </is>
      </c>
      <c r="E706" s="9">
        <f>K705</f>
        <v/>
      </c>
      <c r="F706" s="9" t="n">
        <v>1540</v>
      </c>
      <c r="G706" s="9" t="n">
        <v>4800</v>
      </c>
      <c r="H706" s="9" t="n">
        <v>0</v>
      </c>
      <c r="I706" s="9" t="n">
        <v>0</v>
      </c>
      <c r="J706" s="9" t="n">
        <v>0</v>
      </c>
      <c r="K706" s="9">
        <f>E706+F706+G706+H706+I706-J706</f>
        <v/>
      </c>
      <c r="L706" s="10">
        <f>Q705</f>
        <v/>
      </c>
      <c r="M706" s="10" t="n">
        <v>85</v>
      </c>
      <c r="N706" s="10" t="n">
        <v>1</v>
      </c>
      <c r="O706" s="10">
        <f>J706/160</f>
        <v/>
      </c>
      <c r="P706" s="10" t="n">
        <v>20</v>
      </c>
      <c r="Q706" s="10">
        <f>L706+M706+N706+O706-P706</f>
        <v/>
      </c>
      <c r="R706" s="11">
        <f>T705</f>
        <v/>
      </c>
      <c r="S706" s="11">
        <f>N(V706) + N(X706) + N(Z706)</f>
        <v/>
      </c>
      <c r="T706" s="11">
        <f>R706+P706-S706</f>
        <v/>
      </c>
      <c r="U706" s="11" t="inlineStr">
        <is>
          <t>是</t>
        </is>
      </c>
      <c r="V706" s="11" t="n">
        <v>50</v>
      </c>
      <c r="W706" s="11" t="inlineStr">
        <is>
          <t>否</t>
        </is>
      </c>
      <c r="X706" s="11" t="inlineStr">
        <is>
          <t>-</t>
        </is>
      </c>
      <c r="Y706" s="11" t="inlineStr">
        <is>
          <t>-</t>
        </is>
      </c>
      <c r="Z706" s="11" t="n">
        <v>0</v>
      </c>
      <c r="AA706" s="11" t="inlineStr">
        <is>
          <t>无</t>
        </is>
      </c>
      <c r="AB706" s="12">
        <f>AE705</f>
        <v/>
      </c>
      <c r="AC706" s="12" t="n">
        <v>4</v>
      </c>
      <c r="AD706" s="12" t="n">
        <v>0</v>
      </c>
      <c r="AE706" s="12">
        <f>AB706+AC706+AD706</f>
        <v/>
      </c>
      <c r="AF706" s="13">
        <f>AI705</f>
        <v/>
      </c>
      <c r="AG706" s="13" t="n">
        <v>0</v>
      </c>
      <c r="AH706" s="13" t="n">
        <v>0</v>
      </c>
      <c r="AI706" s="13">
        <f>AF706+AG706+AH706</f>
        <v/>
      </c>
      <c r="AJ706" s="14" t="n">
        <v>0</v>
      </c>
      <c r="AK706" s="14" t="n">
        <v>50</v>
      </c>
      <c r="AL706" s="14" t="n">
        <v>0</v>
      </c>
      <c r="AM706" s="14">
        <f>AJ706+AK706+AL706</f>
        <v/>
      </c>
      <c r="AN706" s="14">
        <f>AN705+AM706</f>
        <v/>
      </c>
    </row>
    <row r="707">
      <c r="A707" s="8" t="n">
        <v>28</v>
      </c>
      <c r="B707" s="8" t="n">
        <v>2</v>
      </c>
      <c r="C707" s="8" t="n">
        <v>2</v>
      </c>
      <c r="D707" s="8" t="inlineStr">
        <is>
          <t>月卡收益</t>
        </is>
      </c>
      <c r="E707" s="9">
        <f>K706</f>
        <v/>
      </c>
      <c r="F707" s="9" t="n">
        <v>1540</v>
      </c>
      <c r="G707" s="9" t="n">
        <v>0</v>
      </c>
      <c r="H707" s="9" t="n">
        <v>0</v>
      </c>
      <c r="I707" s="9" t="n">
        <v>0</v>
      </c>
      <c r="J707" s="9" t="n">
        <v>0</v>
      </c>
      <c r="K707" s="9">
        <f>E707+F707+G707+H707+I707-J707</f>
        <v/>
      </c>
      <c r="L707" s="10">
        <f>Q706</f>
        <v/>
      </c>
      <c r="M707" s="10" t="n">
        <v>0</v>
      </c>
      <c r="N707" s="10" t="n">
        <v>6</v>
      </c>
      <c r="O707" s="10">
        <f>J707/160</f>
        <v/>
      </c>
      <c r="P707" s="10" t="n">
        <v>60</v>
      </c>
      <c r="Q707" s="10">
        <f>L707+M707+N707+O707-P707</f>
        <v/>
      </c>
      <c r="R707" s="11">
        <f>T706</f>
        <v/>
      </c>
      <c r="S707" s="11">
        <f>N(V707) + N(X707) + N(Z707)</f>
        <v/>
      </c>
      <c r="T707" s="11">
        <f>R707+P707-S707</f>
        <v/>
      </c>
      <c r="U707" s="11" t="inlineStr">
        <is>
          <t>是</t>
        </is>
      </c>
      <c r="V707" s="11" t="n">
        <v>49</v>
      </c>
      <c r="W707" s="11" t="inlineStr">
        <is>
          <t>否</t>
        </is>
      </c>
      <c r="X707" s="11" t="inlineStr">
        <is>
          <t>-</t>
        </is>
      </c>
      <c r="Y707" s="11" t="inlineStr">
        <is>
          <t>-</t>
        </is>
      </c>
      <c r="Z707" s="11" t="n">
        <v>0</v>
      </c>
      <c r="AA707" s="11" t="inlineStr">
        <is>
          <t>垫到60抽</t>
        </is>
      </c>
      <c r="AB707" s="12">
        <f>AE706</f>
        <v/>
      </c>
      <c r="AC707" s="12" t="n">
        <v>0</v>
      </c>
      <c r="AD707" s="12" t="n">
        <v>0</v>
      </c>
      <c r="AE707" s="12">
        <f>AB707+AC707+AD707</f>
        <v/>
      </c>
      <c r="AF707" s="13">
        <f>AI706</f>
        <v/>
      </c>
      <c r="AG707" s="13" t="n">
        <v>0</v>
      </c>
      <c r="AH707" s="13" t="n">
        <v>0</v>
      </c>
      <c r="AI707" s="13">
        <f>AF707+AG707+AH707</f>
        <v/>
      </c>
      <c r="AJ707" s="14" t="n">
        <v>0</v>
      </c>
      <c r="AK707" s="14" t="n">
        <v>0</v>
      </c>
      <c r="AL707" s="14" t="n">
        <v>0</v>
      </c>
      <c r="AM707" s="14">
        <f>AJ707+AK707+AL707</f>
        <v/>
      </c>
      <c r="AN707" s="14">
        <f>AN706+AM707</f>
        <v/>
      </c>
    </row>
    <row r="708">
      <c r="A708" s="8" t="n">
        <v>28</v>
      </c>
      <c r="B708" s="8" t="n">
        <v>3</v>
      </c>
      <c r="C708" s="8" t="n">
        <v>1</v>
      </c>
      <c r="D708" s="8" t="inlineStr">
        <is>
          <t>版本免费+义相逢 + 月卡收益 [月卡续费-30元]</t>
        </is>
      </c>
      <c r="E708" s="9">
        <f>K707</f>
        <v/>
      </c>
      <c r="F708" s="9" t="n">
        <v>1540</v>
      </c>
      <c r="G708" s="9" t="n">
        <v>4800</v>
      </c>
      <c r="H708" s="9" t="n">
        <v>0</v>
      </c>
      <c r="I708" s="9" t="n">
        <v>0</v>
      </c>
      <c r="J708" s="9" t="n">
        <v>0</v>
      </c>
      <c r="K708" s="9">
        <f>E708+F708+G708+H708+I708-J708</f>
        <v/>
      </c>
      <c r="L708" s="10">
        <f>Q707</f>
        <v/>
      </c>
      <c r="M708" s="10" t="n">
        <v>85</v>
      </c>
      <c r="N708" s="10" t="n">
        <v>3</v>
      </c>
      <c r="O708" s="10">
        <f>J708/160</f>
        <v/>
      </c>
      <c r="P708" s="10" t="n">
        <v>30</v>
      </c>
      <c r="Q708" s="10">
        <f>L708+M708+N708+O708-P708</f>
        <v/>
      </c>
      <c r="R708" s="11">
        <f>T707</f>
        <v/>
      </c>
      <c r="S708" s="11">
        <f>N(V708) + N(X708) + N(Z708)</f>
        <v/>
      </c>
      <c r="T708" s="11">
        <f>R708+P708-S708</f>
        <v/>
      </c>
      <c r="U708" s="11" t="inlineStr">
        <is>
          <t>是</t>
        </is>
      </c>
      <c r="V708" s="11" t="n">
        <v>48</v>
      </c>
      <c r="W708" s="11" t="inlineStr">
        <is>
          <t>否</t>
        </is>
      </c>
      <c r="X708" s="11" t="inlineStr">
        <is>
          <t>-</t>
        </is>
      </c>
      <c r="Y708" s="11" t="inlineStr">
        <is>
          <t>-</t>
        </is>
      </c>
      <c r="Z708" s="11" t="n">
        <v>0</v>
      </c>
      <c r="AA708" s="11" t="inlineStr">
        <is>
          <t>无</t>
        </is>
      </c>
      <c r="AB708" s="12">
        <f>AE707</f>
        <v/>
      </c>
      <c r="AC708" s="12" t="n">
        <v>4</v>
      </c>
      <c r="AD708" s="12" t="n">
        <v>0</v>
      </c>
      <c r="AE708" s="12">
        <f>AB708+AC708+AD708</f>
        <v/>
      </c>
      <c r="AF708" s="13">
        <f>AI707</f>
        <v/>
      </c>
      <c r="AG708" s="13" t="n">
        <v>0</v>
      </c>
      <c r="AH708" s="13" t="n">
        <v>0</v>
      </c>
      <c r="AI708" s="13">
        <f>AF708+AG708+AH708</f>
        <v/>
      </c>
      <c r="AJ708" s="14" t="n">
        <v>30</v>
      </c>
      <c r="AK708" s="14" t="n">
        <v>50</v>
      </c>
      <c r="AL708" s="14" t="n">
        <v>0</v>
      </c>
      <c r="AM708" s="14">
        <f>AJ708+AK708+AL708</f>
        <v/>
      </c>
      <c r="AN708" s="14">
        <f>AN707+AM708</f>
        <v/>
      </c>
    </row>
    <row r="709">
      <c r="A709" s="8" t="n">
        <v>28</v>
      </c>
      <c r="B709" s="8" t="n">
        <v>3</v>
      </c>
      <c r="C709" s="8" t="n">
        <v>2</v>
      </c>
      <c r="D709" s="8" t="inlineStr">
        <is>
          <t>月卡收益</t>
        </is>
      </c>
      <c r="E709" s="9">
        <f>K708</f>
        <v/>
      </c>
      <c r="F709" s="9" t="n">
        <v>1540</v>
      </c>
      <c r="G709" s="9" t="n">
        <v>0</v>
      </c>
      <c r="H709" s="9" t="n">
        <v>0</v>
      </c>
      <c r="I709" s="9" t="n">
        <v>0</v>
      </c>
      <c r="J709" s="9" t="n">
        <v>0</v>
      </c>
      <c r="K709" s="9">
        <f>E709+F709+G709+H709+I709-J709</f>
        <v/>
      </c>
      <c r="L709" s="10">
        <f>Q708</f>
        <v/>
      </c>
      <c r="M709" s="10" t="n">
        <v>0</v>
      </c>
      <c r="N709" s="10" t="n">
        <v>6</v>
      </c>
      <c r="O709" s="10">
        <f>J709/160</f>
        <v/>
      </c>
      <c r="P709" s="10" t="n">
        <v>60</v>
      </c>
      <c r="Q709" s="10">
        <f>L709+M709+N709+O709-P709</f>
        <v/>
      </c>
      <c r="R709" s="11">
        <f>T708</f>
        <v/>
      </c>
      <c r="S709" s="11">
        <f>N(V709) + N(X709) + N(Z709)</f>
        <v/>
      </c>
      <c r="T709" s="11">
        <f>R709+P709-S709</f>
        <v/>
      </c>
      <c r="U709" s="11" t="inlineStr">
        <is>
          <t>是</t>
        </is>
      </c>
      <c r="V709" s="11" t="n">
        <v>51</v>
      </c>
      <c r="W709" s="11" t="inlineStr">
        <is>
          <t>否</t>
        </is>
      </c>
      <c r="X709" s="11" t="inlineStr">
        <is>
          <t>-</t>
        </is>
      </c>
      <c r="Y709" s="11" t="inlineStr">
        <is>
          <t>-</t>
        </is>
      </c>
      <c r="Z709" s="11" t="n">
        <v>0</v>
      </c>
      <c r="AA709" s="11" t="inlineStr">
        <is>
          <t>垫到60抽</t>
        </is>
      </c>
      <c r="AB709" s="12">
        <f>AE708</f>
        <v/>
      </c>
      <c r="AC709" s="12" t="n">
        <v>0</v>
      </c>
      <c r="AD709" s="12" t="n">
        <v>0</v>
      </c>
      <c r="AE709" s="12">
        <f>AB709+AC709+AD709</f>
        <v/>
      </c>
      <c r="AF709" s="13">
        <f>AI708</f>
        <v/>
      </c>
      <c r="AG709" s="13" t="n">
        <v>0</v>
      </c>
      <c r="AH709" s="13" t="n">
        <v>0</v>
      </c>
      <c r="AI709" s="13">
        <f>AF709+AG709+AH709</f>
        <v/>
      </c>
      <c r="AJ709" s="14" t="n">
        <v>0</v>
      </c>
      <c r="AK709" s="14" t="n">
        <v>0</v>
      </c>
      <c r="AL709" s="14" t="n">
        <v>0</v>
      </c>
      <c r="AM709" s="14">
        <f>AJ709+AK709+AL709</f>
        <v/>
      </c>
      <c r="AN709" s="14">
        <f>AN708+AM709</f>
        <v/>
      </c>
    </row>
    <row r="710">
      <c r="A710" s="8" t="n">
        <v>28</v>
      </c>
      <c r="B710" s="8" t="n">
        <v>4</v>
      </c>
      <c r="C710" s="8" t="n">
        <v>1</v>
      </c>
      <c r="D710" s="8" t="inlineStr">
        <is>
          <t>版本免费+义相逢 + 月卡收益 [月卡续费-30元]</t>
        </is>
      </c>
      <c r="E710" s="9">
        <f>K709</f>
        <v/>
      </c>
      <c r="F710" s="9" t="n">
        <v>1540</v>
      </c>
      <c r="G710" s="9" t="n">
        <v>4800</v>
      </c>
      <c r="H710" s="9" t="n">
        <v>0</v>
      </c>
      <c r="I710" s="9" t="n">
        <v>0</v>
      </c>
      <c r="J710" s="9" t="n">
        <v>0</v>
      </c>
      <c r="K710" s="9">
        <f>E710+F710+G710+H710+I710-J710</f>
        <v/>
      </c>
      <c r="L710" s="10">
        <f>Q709</f>
        <v/>
      </c>
      <c r="M710" s="10" t="n">
        <v>85</v>
      </c>
      <c r="N710" s="10" t="n">
        <v>3</v>
      </c>
      <c r="O710" s="10">
        <f>J710/160</f>
        <v/>
      </c>
      <c r="P710" s="10" t="n">
        <v>40</v>
      </c>
      <c r="Q710" s="10">
        <f>L710+M710+N710+O710-P710</f>
        <v/>
      </c>
      <c r="R710" s="11">
        <f>T709</f>
        <v/>
      </c>
      <c r="S710" s="11">
        <f>N(V710) + N(X710) + N(Z710)</f>
        <v/>
      </c>
      <c r="T710" s="11">
        <f>R710+P710-S710</f>
        <v/>
      </c>
      <c r="U710" s="11" t="inlineStr">
        <is>
          <t>是</t>
        </is>
      </c>
      <c r="V710" s="11" t="n">
        <v>49</v>
      </c>
      <c r="W710" s="11" t="inlineStr">
        <is>
          <t>否</t>
        </is>
      </c>
      <c r="X710" s="11" t="inlineStr">
        <is>
          <t>-</t>
        </is>
      </c>
      <c r="Y710" s="11" t="inlineStr">
        <is>
          <t>-</t>
        </is>
      </c>
      <c r="Z710" s="11" t="n">
        <v>0</v>
      </c>
      <c r="AA710" s="11" t="inlineStr">
        <is>
          <t>无</t>
        </is>
      </c>
      <c r="AB710" s="12">
        <f>AE709</f>
        <v/>
      </c>
      <c r="AC710" s="12" t="n">
        <v>4</v>
      </c>
      <c r="AD710" s="12" t="n">
        <v>0</v>
      </c>
      <c r="AE710" s="12">
        <f>AB710+AC710+AD710</f>
        <v/>
      </c>
      <c r="AF710" s="13">
        <f>AI709</f>
        <v/>
      </c>
      <c r="AG710" s="13" t="n">
        <v>0</v>
      </c>
      <c r="AH710" s="13" t="n">
        <v>0</v>
      </c>
      <c r="AI710" s="13">
        <f>AF710+AG710+AH710</f>
        <v/>
      </c>
      <c r="AJ710" s="14" t="n">
        <v>30</v>
      </c>
      <c r="AK710" s="14" t="n">
        <v>50</v>
      </c>
      <c r="AL710" s="14" t="n">
        <v>0</v>
      </c>
      <c r="AM710" s="14">
        <f>AJ710+AK710+AL710</f>
        <v/>
      </c>
      <c r="AN710" s="14">
        <f>AN709+AM710</f>
        <v/>
      </c>
    </row>
    <row r="711">
      <c r="A711" s="8" t="n">
        <v>28</v>
      </c>
      <c r="B711" s="8" t="n">
        <v>4</v>
      </c>
      <c r="C711" s="8" t="n">
        <v>2</v>
      </c>
      <c r="D711" s="8" t="inlineStr">
        <is>
          <t>月卡收益</t>
        </is>
      </c>
      <c r="E711" s="9">
        <f>K710</f>
        <v/>
      </c>
      <c r="F711" s="9" t="n">
        <v>1540</v>
      </c>
      <c r="G711" s="9" t="n">
        <v>0</v>
      </c>
      <c r="H711" s="9" t="n">
        <v>0</v>
      </c>
      <c r="I711" s="9" t="n">
        <v>0</v>
      </c>
      <c r="J711" s="9" t="n">
        <v>0</v>
      </c>
      <c r="K711" s="9">
        <f>E711+F711+G711+H711+I711-J711</f>
        <v/>
      </c>
      <c r="L711" s="10">
        <f>Q710</f>
        <v/>
      </c>
      <c r="M711" s="10" t="n">
        <v>0</v>
      </c>
      <c r="N711" s="10" t="n">
        <v>6</v>
      </c>
      <c r="O711" s="10">
        <f>J711/160</f>
        <v/>
      </c>
      <c r="P711" s="10" t="n">
        <v>60</v>
      </c>
      <c r="Q711" s="10">
        <f>L711+M711+N711+O711-P711</f>
        <v/>
      </c>
      <c r="R711" s="11">
        <f>T710</f>
        <v/>
      </c>
      <c r="S711" s="11">
        <f>N(V711) + N(X711) + N(Z711)</f>
        <v/>
      </c>
      <c r="T711" s="11">
        <f>R711+P711-S711</f>
        <v/>
      </c>
      <c r="U711" s="11" t="inlineStr">
        <is>
          <t>是</t>
        </is>
      </c>
      <c r="V711" s="11" t="n">
        <v>47</v>
      </c>
      <c r="W711" s="11" t="inlineStr">
        <is>
          <t>否</t>
        </is>
      </c>
      <c r="X711" s="11" t="inlineStr">
        <is>
          <t>-</t>
        </is>
      </c>
      <c r="Y711" s="11" t="inlineStr">
        <is>
          <t>-</t>
        </is>
      </c>
      <c r="Z711" s="11" t="n">
        <v>0</v>
      </c>
      <c r="AA711" s="11" t="inlineStr">
        <is>
          <t>垫到60抽</t>
        </is>
      </c>
      <c r="AB711" s="12">
        <f>AE710</f>
        <v/>
      </c>
      <c r="AC711" s="12" t="n">
        <v>0</v>
      </c>
      <c r="AD711" s="12" t="n">
        <v>0</v>
      </c>
      <c r="AE711" s="12">
        <f>AB711+AC711+AD711</f>
        <v/>
      </c>
      <c r="AF711" s="13">
        <f>AI710</f>
        <v/>
      </c>
      <c r="AG711" s="13" t="n">
        <v>0</v>
      </c>
      <c r="AH711" s="13" t="n">
        <v>0</v>
      </c>
      <c r="AI711" s="13">
        <f>AF711+AG711+AH711</f>
        <v/>
      </c>
      <c r="AJ711" s="14" t="n">
        <v>0</v>
      </c>
      <c r="AK711" s="14" t="n">
        <v>0</v>
      </c>
      <c r="AL711" s="14" t="n">
        <v>0</v>
      </c>
      <c r="AM711" s="14">
        <f>AJ711+AK711+AL711</f>
        <v/>
      </c>
      <c r="AN711" s="14">
        <f>AN710+AM711</f>
        <v/>
      </c>
    </row>
    <row r="712">
      <c r="A712" s="8" t="n">
        <v>28</v>
      </c>
      <c r="B712" s="8" t="n">
        <v>5</v>
      </c>
      <c r="C712" s="8" t="n">
        <v>1</v>
      </c>
      <c r="D712" s="8" t="inlineStr">
        <is>
          <t>版本免费+义相逢 + 月卡收益 [月卡续费-30元]</t>
        </is>
      </c>
      <c r="E712" s="9">
        <f>K711</f>
        <v/>
      </c>
      <c r="F712" s="9" t="n">
        <v>1540</v>
      </c>
      <c r="G712" s="9" t="n">
        <v>4800</v>
      </c>
      <c r="H712" s="9" t="n">
        <v>0</v>
      </c>
      <c r="I712" s="9" t="n">
        <v>0</v>
      </c>
      <c r="J712" s="9" t="n">
        <v>0</v>
      </c>
      <c r="K712" s="9">
        <f>E712+F712+G712+H712+I712-J712</f>
        <v/>
      </c>
      <c r="L712" s="10">
        <f>Q711</f>
        <v/>
      </c>
      <c r="M712" s="10" t="n">
        <v>85</v>
      </c>
      <c r="N712" s="10" t="n">
        <v>3</v>
      </c>
      <c r="O712" s="10">
        <f>J712/160</f>
        <v/>
      </c>
      <c r="P712" s="10" t="n">
        <v>40</v>
      </c>
      <c r="Q712" s="10">
        <f>L712+M712+N712+O712-P712</f>
        <v/>
      </c>
      <c r="R712" s="11">
        <f>T711</f>
        <v/>
      </c>
      <c r="S712" s="11">
        <f>N(V712) + N(X712) + N(Z712)</f>
        <v/>
      </c>
      <c r="T712" s="11">
        <f>R712+P712-S712</f>
        <v/>
      </c>
      <c r="U712" s="11" t="inlineStr">
        <is>
          <t>是</t>
        </is>
      </c>
      <c r="V712" s="11" t="n">
        <v>49</v>
      </c>
      <c r="W712" s="11" t="inlineStr">
        <is>
          <t>否</t>
        </is>
      </c>
      <c r="X712" s="11" t="inlineStr">
        <is>
          <t>-</t>
        </is>
      </c>
      <c r="Y712" s="11" t="inlineStr">
        <is>
          <t>-</t>
        </is>
      </c>
      <c r="Z712" s="11" t="n">
        <v>0</v>
      </c>
      <c r="AA712" s="11" t="inlineStr">
        <is>
          <t>无</t>
        </is>
      </c>
      <c r="AB712" s="12">
        <f>AE711</f>
        <v/>
      </c>
      <c r="AC712" s="12" t="n">
        <v>4</v>
      </c>
      <c r="AD712" s="12" t="n">
        <v>0</v>
      </c>
      <c r="AE712" s="12">
        <f>AB712+AC712+AD712</f>
        <v/>
      </c>
      <c r="AF712" s="13">
        <f>AI711</f>
        <v/>
      </c>
      <c r="AG712" s="13" t="n">
        <v>0</v>
      </c>
      <c r="AH712" s="13" t="n">
        <v>0</v>
      </c>
      <c r="AI712" s="13">
        <f>AF712+AG712+AH712</f>
        <v/>
      </c>
      <c r="AJ712" s="14" t="n">
        <v>30</v>
      </c>
      <c r="AK712" s="14" t="n">
        <v>50</v>
      </c>
      <c r="AL712" s="14" t="n">
        <v>0</v>
      </c>
      <c r="AM712" s="14">
        <f>AJ712+AK712+AL712</f>
        <v/>
      </c>
      <c r="AN712" s="14">
        <f>AN711+AM712</f>
        <v/>
      </c>
    </row>
    <row r="713">
      <c r="A713" s="8" t="n">
        <v>28</v>
      </c>
      <c r="B713" s="8" t="n">
        <v>5</v>
      </c>
      <c r="C713" s="8" t="n">
        <v>2</v>
      </c>
      <c r="D713" s="8" t="inlineStr">
        <is>
          <t>月卡收益</t>
        </is>
      </c>
      <c r="E713" s="9">
        <f>K712</f>
        <v/>
      </c>
      <c r="F713" s="9" t="n">
        <v>1540</v>
      </c>
      <c r="G713" s="9" t="n">
        <v>0</v>
      </c>
      <c r="H713" s="9" t="n">
        <v>0</v>
      </c>
      <c r="I713" s="9" t="n">
        <v>0</v>
      </c>
      <c r="J713" s="9" t="n">
        <v>4960</v>
      </c>
      <c r="K713" s="9">
        <f>E713+F713+G713+H713+I713-J713</f>
        <v/>
      </c>
      <c r="L713" s="10">
        <f>Q712</f>
        <v/>
      </c>
      <c r="M713" s="10" t="n">
        <v>0</v>
      </c>
      <c r="N713" s="10" t="n">
        <v>11</v>
      </c>
      <c r="O713" s="10">
        <f>J713/160</f>
        <v/>
      </c>
      <c r="P713" s="10" t="n">
        <v>100</v>
      </c>
      <c r="Q713" s="10">
        <f>L713+M713+N713+O713-P713</f>
        <v/>
      </c>
      <c r="R713" s="11">
        <f>T712</f>
        <v/>
      </c>
      <c r="S713" s="11">
        <f>N(V713) + N(X713) + N(Z713)</f>
        <v/>
      </c>
      <c r="T713" s="11">
        <f>R713+P713-S713</f>
        <v/>
      </c>
      <c r="U713" s="11" t="inlineStr">
        <is>
          <t>是</t>
        </is>
      </c>
      <c r="V713" s="11" t="n">
        <v>52</v>
      </c>
      <c r="W713" s="11" t="inlineStr">
        <is>
          <t>是</t>
        </is>
      </c>
      <c r="X713" s="11" t="n">
        <v>48</v>
      </c>
      <c r="Y713" s="11" t="inlineStr">
        <is>
          <t>-</t>
        </is>
      </c>
      <c r="Z713" s="11" t="n">
        <v>0</v>
      </c>
      <c r="AA713" s="11" t="inlineStr">
        <is>
          <t>无</t>
        </is>
      </c>
      <c r="AB713" s="12">
        <f>AE712</f>
        <v/>
      </c>
      <c r="AC713" s="12" t="n">
        <v>0</v>
      </c>
      <c r="AD713" s="12" t="n">
        <v>0</v>
      </c>
      <c r="AE713" s="12">
        <f>AB713+AC713+AD713</f>
        <v/>
      </c>
      <c r="AF713" s="13">
        <f>AI712</f>
        <v/>
      </c>
      <c r="AG713" s="13" t="n">
        <v>0</v>
      </c>
      <c r="AH713" s="13" t="n">
        <v>0</v>
      </c>
      <c r="AI713" s="13">
        <f>AF713+AG713+AH713</f>
        <v/>
      </c>
      <c r="AJ713" s="14" t="n">
        <v>0</v>
      </c>
      <c r="AK713" s="14" t="n">
        <v>0</v>
      </c>
      <c r="AL713" s="14" t="n">
        <v>0</v>
      </c>
      <c r="AM713" s="14">
        <f>AJ713+AK713+AL713</f>
        <v/>
      </c>
      <c r="AN713" s="14">
        <f>AN712+AM713</f>
        <v/>
      </c>
    </row>
    <row r="714">
      <c r="A714" s="8" t="n">
        <v>28</v>
      </c>
      <c r="B714" s="8" t="n">
        <v>6</v>
      </c>
      <c r="C714" s="8" t="n">
        <v>1</v>
      </c>
      <c r="D714" s="8" t="inlineStr">
        <is>
          <t>版本免费+义相逢 + 月卡收益 [月卡续费-30元]</t>
        </is>
      </c>
      <c r="E714" s="9">
        <f>K713</f>
        <v/>
      </c>
      <c r="F714" s="9" t="n">
        <v>1540</v>
      </c>
      <c r="G714" s="9" t="n">
        <v>4800</v>
      </c>
      <c r="H714" s="9" t="n">
        <v>0</v>
      </c>
      <c r="I714" s="9" t="n">
        <v>0</v>
      </c>
      <c r="J714" s="9" t="n">
        <v>15040</v>
      </c>
      <c r="K714" s="9">
        <f>E714+F714+G714+H714+I714-J714</f>
        <v/>
      </c>
      <c r="L714" s="10">
        <f>Q713</f>
        <v/>
      </c>
      <c r="M714" s="10" t="n">
        <v>85</v>
      </c>
      <c r="N714" s="10" t="n">
        <v>21</v>
      </c>
      <c r="O714" s="10">
        <f>J714/160</f>
        <v/>
      </c>
      <c r="P714" s="10" t="n">
        <v>200</v>
      </c>
      <c r="Q714" s="10">
        <f>L714+M714+N714+O714-P714</f>
        <v/>
      </c>
      <c r="R714" s="11">
        <f>T713</f>
        <v/>
      </c>
      <c r="S714" s="11">
        <f>N(V714) + N(X714) + N(Z714)</f>
        <v/>
      </c>
      <c r="T714" s="11">
        <f>R714+P714-S714</f>
        <v/>
      </c>
      <c r="U714" s="11" t="inlineStr">
        <is>
          <t>是</t>
        </is>
      </c>
      <c r="V714" s="11" t="n">
        <v>51</v>
      </c>
      <c r="W714" s="11" t="inlineStr">
        <is>
          <t>是</t>
        </is>
      </c>
      <c r="X714" s="11" t="n">
        <v>48</v>
      </c>
      <c r="Y714" s="11" t="inlineStr">
        <is>
          <t>歪(50), UP(14)</t>
        </is>
      </c>
      <c r="Z714" s="11" t="n">
        <v>64</v>
      </c>
      <c r="AA714" s="11" t="inlineStr">
        <is>
          <t>冲刺200(动态100)</t>
        </is>
      </c>
      <c r="AB714" s="12">
        <f>AE713</f>
        <v/>
      </c>
      <c r="AC714" s="12" t="n">
        <v>4</v>
      </c>
      <c r="AD714" s="12" t="n">
        <v>1</v>
      </c>
      <c r="AE714" s="12">
        <f>AB714+AC714+AD714</f>
        <v/>
      </c>
      <c r="AF714" s="13">
        <f>AI713</f>
        <v/>
      </c>
      <c r="AG714" s="13" t="n">
        <v>0</v>
      </c>
      <c r="AH714" s="13" t="n">
        <v>5000</v>
      </c>
      <c r="AI714" s="13">
        <f>AF714+AG714+AH714</f>
        <v/>
      </c>
      <c r="AJ714" s="14" t="n">
        <v>30</v>
      </c>
      <c r="AK714" s="14" t="n">
        <v>50</v>
      </c>
      <c r="AL714" s="14" t="n">
        <v>0</v>
      </c>
      <c r="AM714" s="14">
        <f>AJ714+AK714+AL714</f>
        <v/>
      </c>
      <c r="AN714" s="14">
        <f>AN713+AM714</f>
        <v/>
      </c>
    </row>
    <row r="715">
      <c r="A715" s="8" t="n">
        <v>28</v>
      </c>
      <c r="B715" s="8" t="n">
        <v>6</v>
      </c>
      <c r="C715" s="8" t="n">
        <v>2</v>
      </c>
      <c r="D715" s="8" t="inlineStr">
        <is>
          <t>月卡收益</t>
        </is>
      </c>
      <c r="E715" s="9">
        <f>K714</f>
        <v/>
      </c>
      <c r="F715" s="9" t="n">
        <v>1540</v>
      </c>
      <c r="G715" s="9" t="n">
        <v>0</v>
      </c>
      <c r="H715" s="9" t="n">
        <v>0</v>
      </c>
      <c r="I715" s="9" t="n">
        <v>0</v>
      </c>
      <c r="J715" s="9" t="n">
        <v>9120</v>
      </c>
      <c r="K715" s="9">
        <f>E715+F715+G715+H715+I715-J715</f>
        <v/>
      </c>
      <c r="L715" s="10">
        <f>Q714</f>
        <v/>
      </c>
      <c r="M715" s="10" t="n">
        <v>0</v>
      </c>
      <c r="N715" s="10" t="n">
        <v>6</v>
      </c>
      <c r="O715" s="10">
        <f>J715/160</f>
        <v/>
      </c>
      <c r="P715" s="10" t="n">
        <v>60</v>
      </c>
      <c r="Q715" s="10">
        <f>L715+M715+N715+O715-P715</f>
        <v/>
      </c>
      <c r="R715" s="11">
        <f>T714</f>
        <v/>
      </c>
      <c r="S715" s="11">
        <f>N(V715) + N(X715) + N(Z715)</f>
        <v/>
      </c>
      <c r="T715" s="11">
        <f>R715+P715-S715</f>
        <v/>
      </c>
      <c r="U715" s="11" t="inlineStr">
        <is>
          <t>是</t>
        </is>
      </c>
      <c r="V715" s="11" t="n">
        <v>46</v>
      </c>
      <c r="W715" s="11" t="inlineStr">
        <is>
          <t>是</t>
        </is>
      </c>
      <c r="X715" s="11" t="n">
        <v>47</v>
      </c>
      <c r="Y715" s="11" t="inlineStr">
        <is>
          <t>-</t>
        </is>
      </c>
      <c r="Z715" s="11" t="n">
        <v>0</v>
      </c>
      <c r="AA715" s="11" t="inlineStr">
        <is>
          <t>无</t>
        </is>
      </c>
      <c r="AB715" s="12">
        <f>AE714</f>
        <v/>
      </c>
      <c r="AC715" s="12" t="n">
        <v>0</v>
      </c>
      <c r="AD715" s="12" t="n">
        <v>0</v>
      </c>
      <c r="AE715" s="12">
        <f>AB715+AC715+AD715</f>
        <v/>
      </c>
      <c r="AF715" s="13">
        <f>AI714</f>
        <v/>
      </c>
      <c r="AG715" s="13" t="n">
        <v>0</v>
      </c>
      <c r="AH715" s="13" t="n">
        <v>0</v>
      </c>
      <c r="AI715" s="13">
        <f>AF715+AG715+AH715</f>
        <v/>
      </c>
      <c r="AJ715" s="14" t="n">
        <v>0</v>
      </c>
      <c r="AK715" s="14" t="n">
        <v>0</v>
      </c>
      <c r="AL715" s="14" t="n">
        <v>0</v>
      </c>
      <c r="AM715" s="14">
        <f>AJ715+AK715+AL715</f>
        <v/>
      </c>
      <c r="AN715" s="14">
        <f>AN714+AM715</f>
        <v/>
      </c>
    </row>
    <row r="716">
      <c r="A716" s="8" t="n">
        <v>28</v>
      </c>
      <c r="B716" s="8" t="n">
        <v>7</v>
      </c>
      <c r="C716" s="8" t="n">
        <v>1</v>
      </c>
      <c r="D716" s="8" t="inlineStr">
        <is>
          <t>版本免费+义相逢 + 月卡收益 [月卡续费-30元]</t>
        </is>
      </c>
      <c r="E716" s="9">
        <f>K715</f>
        <v/>
      </c>
      <c r="F716" s="9" t="n">
        <v>1540</v>
      </c>
      <c r="G716" s="9" t="n">
        <v>4800</v>
      </c>
      <c r="H716" s="9" t="n">
        <v>0</v>
      </c>
      <c r="I716" s="9" t="n">
        <v>0</v>
      </c>
      <c r="J716" s="9" t="n">
        <v>160</v>
      </c>
      <c r="K716" s="9">
        <f>E716+F716+G716+H716+I716-J716</f>
        <v/>
      </c>
      <c r="L716" s="10">
        <f>Q715</f>
        <v/>
      </c>
      <c r="M716" s="10" t="n">
        <v>85</v>
      </c>
      <c r="N716" s="10" t="n">
        <v>11</v>
      </c>
      <c r="O716" s="10">
        <f>J716/160</f>
        <v/>
      </c>
      <c r="P716" s="10" t="n">
        <v>100</v>
      </c>
      <c r="Q716" s="10">
        <f>L716+M716+N716+O716-P716</f>
        <v/>
      </c>
      <c r="R716" s="11">
        <f>T715</f>
        <v/>
      </c>
      <c r="S716" s="11">
        <f>N(V716) + N(X716) + N(Z716)</f>
        <v/>
      </c>
      <c r="T716" s="11">
        <f>R716+P716-S716</f>
        <v/>
      </c>
      <c r="U716" s="11" t="inlineStr">
        <is>
          <t>是</t>
        </is>
      </c>
      <c r="V716" s="11" t="n">
        <v>52</v>
      </c>
      <c r="W716" s="11" t="inlineStr">
        <is>
          <t>是</t>
        </is>
      </c>
      <c r="X716" s="11" t="n">
        <v>53</v>
      </c>
      <c r="Y716" s="11" t="inlineStr">
        <is>
          <t>-</t>
        </is>
      </c>
      <c r="Z716" s="11" t="n">
        <v>0</v>
      </c>
      <c r="AA716" s="11" t="inlineStr">
        <is>
          <t>无</t>
        </is>
      </c>
      <c r="AB716" s="12">
        <f>AE715</f>
        <v/>
      </c>
      <c r="AC716" s="12" t="n">
        <v>4</v>
      </c>
      <c r="AD716" s="12" t="n">
        <v>0</v>
      </c>
      <c r="AE716" s="12">
        <f>AB716+AC716+AD716</f>
        <v/>
      </c>
      <c r="AF716" s="13">
        <f>AI715</f>
        <v/>
      </c>
      <c r="AG716" s="13" t="n">
        <v>0</v>
      </c>
      <c r="AH716" s="13" t="n">
        <v>0</v>
      </c>
      <c r="AI716" s="13">
        <f>AF716+AG716+AH716</f>
        <v/>
      </c>
      <c r="AJ716" s="14" t="n">
        <v>30</v>
      </c>
      <c r="AK716" s="14" t="n">
        <v>50</v>
      </c>
      <c r="AL716" s="14" t="n">
        <v>0</v>
      </c>
      <c r="AM716" s="14">
        <f>AJ716+AK716+AL716</f>
        <v/>
      </c>
      <c r="AN716" s="14">
        <f>AN715+AM716</f>
        <v/>
      </c>
    </row>
    <row r="717">
      <c r="A717" s="8" t="n">
        <v>28</v>
      </c>
      <c r="B717" s="8" t="n">
        <v>7</v>
      </c>
      <c r="C717" s="8" t="n">
        <v>2</v>
      </c>
      <c r="D717" s="8" t="inlineStr">
        <is>
          <t>月卡收益</t>
        </is>
      </c>
      <c r="E717" s="9">
        <f>K716</f>
        <v/>
      </c>
      <c r="F717" s="9" t="n">
        <v>1540</v>
      </c>
      <c r="G717" s="9" t="n">
        <v>0</v>
      </c>
      <c r="H717" s="9" t="n">
        <v>0</v>
      </c>
      <c r="I717" s="9" t="n">
        <v>0</v>
      </c>
      <c r="J717" s="9" t="n">
        <v>9120</v>
      </c>
      <c r="K717" s="9">
        <f>E717+F717+G717+H717+I717-J717</f>
        <v/>
      </c>
      <c r="L717" s="10">
        <f>Q716</f>
        <v/>
      </c>
      <c r="M717" s="10" t="n">
        <v>0</v>
      </c>
      <c r="N717" s="10" t="n">
        <v>6</v>
      </c>
      <c r="O717" s="10">
        <f>J717/160</f>
        <v/>
      </c>
      <c r="P717" s="10" t="n">
        <v>60</v>
      </c>
      <c r="Q717" s="10">
        <f>L717+M717+N717+O717-P717</f>
        <v/>
      </c>
      <c r="R717" s="11">
        <f>T716</f>
        <v/>
      </c>
      <c r="S717" s="11">
        <f>N(V717) + N(X717) + N(Z717)</f>
        <v/>
      </c>
      <c r="T717" s="11">
        <f>R717+P717-S717</f>
        <v/>
      </c>
      <c r="U717" s="11" t="inlineStr">
        <is>
          <t>是</t>
        </is>
      </c>
      <c r="V717" s="11" t="n">
        <v>49</v>
      </c>
      <c r="W717" s="11" t="inlineStr">
        <is>
          <t>否</t>
        </is>
      </c>
      <c r="X717" s="11" t="inlineStr">
        <is>
          <t>-</t>
        </is>
      </c>
      <c r="Y717" s="11" t="inlineStr">
        <is>
          <t>-</t>
        </is>
      </c>
      <c r="Z717" s="11" t="n">
        <v>0</v>
      </c>
      <c r="AA717" s="11" t="inlineStr">
        <is>
          <t>垫到60抽</t>
        </is>
      </c>
      <c r="AB717" s="12">
        <f>AE716</f>
        <v/>
      </c>
      <c r="AC717" s="12" t="n">
        <v>0</v>
      </c>
      <c r="AD717" s="12" t="n">
        <v>0</v>
      </c>
      <c r="AE717" s="12">
        <f>AB717+AC717+AD717</f>
        <v/>
      </c>
      <c r="AF717" s="13">
        <f>AI716</f>
        <v/>
      </c>
      <c r="AG717" s="13" t="n">
        <v>0</v>
      </c>
      <c r="AH717" s="13" t="n">
        <v>0</v>
      </c>
      <c r="AI717" s="13">
        <f>AF717+AG717+AH717</f>
        <v/>
      </c>
      <c r="AJ717" s="14" t="n">
        <v>0</v>
      </c>
      <c r="AK717" s="14" t="n">
        <v>0</v>
      </c>
      <c r="AL717" s="14" t="n">
        <v>0</v>
      </c>
      <c r="AM717" s="14">
        <f>AJ717+AK717+AL717</f>
        <v/>
      </c>
      <c r="AN717" s="14">
        <f>AN716+AM717</f>
        <v/>
      </c>
    </row>
    <row r="718">
      <c r="A718" s="8" t="n">
        <v>28</v>
      </c>
      <c r="B718" s="8" t="n">
        <v>8</v>
      </c>
      <c r="C718" s="8" t="n">
        <v>1</v>
      </c>
      <c r="D718" s="8" t="inlineStr">
        <is>
          <t>版本免费+义相逢 + 月卡收益 [月卡续费-30元]</t>
        </is>
      </c>
      <c r="E718" s="9">
        <f>K717</f>
        <v/>
      </c>
      <c r="F718" s="9" t="n">
        <v>1540</v>
      </c>
      <c r="G718" s="9" t="n">
        <v>4800</v>
      </c>
      <c r="H718" s="9" t="n">
        <v>0</v>
      </c>
      <c r="I718" s="9" t="n">
        <v>0</v>
      </c>
      <c r="J718" s="9" t="n">
        <v>0</v>
      </c>
      <c r="K718" s="9">
        <f>E718+F718+G718+H718+I718-J718</f>
        <v/>
      </c>
      <c r="L718" s="10">
        <f>Q717</f>
        <v/>
      </c>
      <c r="M718" s="10" t="n">
        <v>85</v>
      </c>
      <c r="N718" s="10" t="n">
        <v>11</v>
      </c>
      <c r="O718" s="10">
        <f>J718/160</f>
        <v/>
      </c>
      <c r="P718" s="10" t="n">
        <v>90</v>
      </c>
      <c r="Q718" s="10">
        <f>L718+M718+N718+O718-P718</f>
        <v/>
      </c>
      <c r="R718" s="11">
        <f>T717</f>
        <v/>
      </c>
      <c r="S718" s="11">
        <f>N(V718) + N(X718) + N(Z718)</f>
        <v/>
      </c>
      <c r="T718" s="11">
        <f>R718+P718-S718</f>
        <v/>
      </c>
      <c r="U718" s="11" t="inlineStr">
        <is>
          <t>是</t>
        </is>
      </c>
      <c r="V718" s="11" t="n">
        <v>46</v>
      </c>
      <c r="W718" s="11" t="inlineStr">
        <is>
          <t>是</t>
        </is>
      </c>
      <c r="X718" s="11" t="n">
        <v>51</v>
      </c>
      <c r="Y718" s="11" t="inlineStr">
        <is>
          <t>-</t>
        </is>
      </c>
      <c r="Z718" s="11" t="n">
        <v>0</v>
      </c>
      <c r="AA718" s="11" t="inlineStr">
        <is>
          <t>无</t>
        </is>
      </c>
      <c r="AB718" s="12">
        <f>AE717</f>
        <v/>
      </c>
      <c r="AC718" s="12" t="n">
        <v>4</v>
      </c>
      <c r="AD718" s="12" t="n">
        <v>0</v>
      </c>
      <c r="AE718" s="12">
        <f>AB718+AC718+AD718</f>
        <v/>
      </c>
      <c r="AF718" s="13">
        <f>AI717</f>
        <v/>
      </c>
      <c r="AG718" s="13" t="n">
        <v>0</v>
      </c>
      <c r="AH718" s="13" t="n">
        <v>0</v>
      </c>
      <c r="AI718" s="13">
        <f>AF718+AG718+AH718</f>
        <v/>
      </c>
      <c r="AJ718" s="14" t="n">
        <v>30</v>
      </c>
      <c r="AK718" s="14" t="n">
        <v>50</v>
      </c>
      <c r="AL718" s="14" t="n">
        <v>0</v>
      </c>
      <c r="AM718" s="14">
        <f>AJ718+AK718+AL718</f>
        <v/>
      </c>
      <c r="AN718" s="14">
        <f>AN717+AM718</f>
        <v/>
      </c>
    </row>
    <row r="719">
      <c r="A719" s="8" t="n">
        <v>28</v>
      </c>
      <c r="B719" s="8" t="n">
        <v>8</v>
      </c>
      <c r="C719" s="8" t="n">
        <v>2</v>
      </c>
      <c r="D719" s="8" t="inlineStr">
        <is>
          <t>月卡收益</t>
        </is>
      </c>
      <c r="E719" s="9">
        <f>K718</f>
        <v/>
      </c>
      <c r="F719" s="9" t="n">
        <v>1540</v>
      </c>
      <c r="G719" s="9" t="n">
        <v>0</v>
      </c>
      <c r="H719" s="9" t="n">
        <v>0</v>
      </c>
      <c r="I719" s="9" t="n">
        <v>0</v>
      </c>
      <c r="J719" s="9" t="n">
        <v>7680</v>
      </c>
      <c r="K719" s="9">
        <f>E719+F719+G719+H719+I719-J719</f>
        <v/>
      </c>
      <c r="L719" s="10">
        <f>Q718</f>
        <v/>
      </c>
      <c r="M719" s="10" t="n">
        <v>0</v>
      </c>
      <c r="N719" s="10" t="n">
        <v>6</v>
      </c>
      <c r="O719" s="10">
        <f>J719/160</f>
        <v/>
      </c>
      <c r="P719" s="10" t="n">
        <v>60</v>
      </c>
      <c r="Q719" s="10">
        <f>L719+M719+N719+O719-P719</f>
        <v/>
      </c>
      <c r="R719" s="11">
        <f>T718</f>
        <v/>
      </c>
      <c r="S719" s="11">
        <f>N(V719) + N(X719) + N(Z719)</f>
        <v/>
      </c>
      <c r="T719" s="11">
        <f>R719+P719-S719</f>
        <v/>
      </c>
      <c r="U719" s="11" t="inlineStr">
        <is>
          <t>是</t>
        </is>
      </c>
      <c r="V719" s="11" t="n">
        <v>49</v>
      </c>
      <c r="W719" s="11" t="inlineStr">
        <is>
          <t>否</t>
        </is>
      </c>
      <c r="X719" s="11" t="inlineStr">
        <is>
          <t>-</t>
        </is>
      </c>
      <c r="Y719" s="11" t="inlineStr">
        <is>
          <t>-</t>
        </is>
      </c>
      <c r="Z719" s="11" t="n">
        <v>0</v>
      </c>
      <c r="AA719" s="11" t="inlineStr">
        <is>
          <t>垫到60抽</t>
        </is>
      </c>
      <c r="AB719" s="12">
        <f>AE718</f>
        <v/>
      </c>
      <c r="AC719" s="12" t="n">
        <v>0</v>
      </c>
      <c r="AD719" s="12" t="n">
        <v>0</v>
      </c>
      <c r="AE719" s="12">
        <f>AB719+AC719+AD719</f>
        <v/>
      </c>
      <c r="AF719" s="13">
        <f>AI718</f>
        <v/>
      </c>
      <c r="AG719" s="13" t="n">
        <v>0</v>
      </c>
      <c r="AH719" s="13" t="n">
        <v>0</v>
      </c>
      <c r="AI719" s="13">
        <f>AF719+AG719+AH719</f>
        <v/>
      </c>
      <c r="AJ719" s="14" t="n">
        <v>0</v>
      </c>
      <c r="AK719" s="14" t="n">
        <v>0</v>
      </c>
      <c r="AL719" s="14" t="n">
        <v>0</v>
      </c>
      <c r="AM719" s="14">
        <f>AJ719+AK719+AL719</f>
        <v/>
      </c>
      <c r="AN719" s="14">
        <f>AN718+AM719</f>
        <v/>
      </c>
    </row>
    <row r="720">
      <c r="A720" s="8" t="n">
        <v>28</v>
      </c>
      <c r="B720" s="8" t="n">
        <v>9</v>
      </c>
      <c r="C720" s="8" t="n">
        <v>1</v>
      </c>
      <c r="D720" s="8" t="inlineStr">
        <is>
          <t>版本免费+义相逢 + 月卡收益 [月卡续费-30元]</t>
        </is>
      </c>
      <c r="E720" s="9">
        <f>K719</f>
        <v/>
      </c>
      <c r="F720" s="9" t="n">
        <v>1540</v>
      </c>
      <c r="G720" s="9" t="n">
        <v>4800</v>
      </c>
      <c r="H720" s="9" t="n">
        <v>0</v>
      </c>
      <c r="I720" s="9" t="n">
        <v>0</v>
      </c>
      <c r="J720" s="9" t="n">
        <v>0</v>
      </c>
      <c r="K720" s="9">
        <f>E720+F720+G720+H720+I720-J720</f>
        <v/>
      </c>
      <c r="L720" s="10">
        <f>Q719</f>
        <v/>
      </c>
      <c r="M720" s="10" t="n">
        <v>85</v>
      </c>
      <c r="N720" s="10" t="n">
        <v>11</v>
      </c>
      <c r="O720" s="10">
        <f>J720/160</f>
        <v/>
      </c>
      <c r="P720" s="10" t="n">
        <v>90</v>
      </c>
      <c r="Q720" s="10">
        <f>L720+M720+N720+O720-P720</f>
        <v/>
      </c>
      <c r="R720" s="11">
        <f>T719</f>
        <v/>
      </c>
      <c r="S720" s="11">
        <f>N(V720) + N(X720) + N(Z720)</f>
        <v/>
      </c>
      <c r="T720" s="11">
        <f>R720+P720-S720</f>
        <v/>
      </c>
      <c r="U720" s="11" t="inlineStr">
        <is>
          <t>是</t>
        </is>
      </c>
      <c r="V720" s="11" t="n">
        <v>52</v>
      </c>
      <c r="W720" s="11" t="inlineStr">
        <is>
          <t>是</t>
        </is>
      </c>
      <c r="X720" s="11" t="n">
        <v>49</v>
      </c>
      <c r="Y720" s="11" t="inlineStr">
        <is>
          <t>-</t>
        </is>
      </c>
      <c r="Z720" s="11" t="n">
        <v>0</v>
      </c>
      <c r="AA720" s="11" t="inlineStr">
        <is>
          <t>无</t>
        </is>
      </c>
      <c r="AB720" s="12">
        <f>AE719</f>
        <v/>
      </c>
      <c r="AC720" s="12" t="n">
        <v>4</v>
      </c>
      <c r="AD720" s="12" t="n">
        <v>0</v>
      </c>
      <c r="AE720" s="12">
        <f>AB720+AC720+AD720</f>
        <v/>
      </c>
      <c r="AF720" s="13">
        <f>AI719</f>
        <v/>
      </c>
      <c r="AG720" s="13" t="n">
        <v>0</v>
      </c>
      <c r="AH720" s="13" t="n">
        <v>0</v>
      </c>
      <c r="AI720" s="13">
        <f>AF720+AG720+AH720</f>
        <v/>
      </c>
      <c r="AJ720" s="14" t="n">
        <v>30</v>
      </c>
      <c r="AK720" s="14" t="n">
        <v>50</v>
      </c>
      <c r="AL720" s="14" t="n">
        <v>0</v>
      </c>
      <c r="AM720" s="14">
        <f>AJ720+AK720+AL720</f>
        <v/>
      </c>
      <c r="AN720" s="14">
        <f>AN719+AM720</f>
        <v/>
      </c>
    </row>
    <row r="721">
      <c r="A721" s="8" t="n">
        <v>28</v>
      </c>
      <c r="B721" s="8" t="n">
        <v>9</v>
      </c>
      <c r="C721" s="8" t="n">
        <v>2</v>
      </c>
      <c r="D721" s="8" t="inlineStr">
        <is>
          <t>月卡收益</t>
        </is>
      </c>
      <c r="E721" s="9">
        <f>K720</f>
        <v/>
      </c>
      <c r="F721" s="9" t="n">
        <v>1540</v>
      </c>
      <c r="G721" s="9" t="n">
        <v>0</v>
      </c>
      <c r="H721" s="9" t="n">
        <v>0</v>
      </c>
      <c r="I721" s="9" t="n">
        <v>0</v>
      </c>
      <c r="J721" s="9" t="n">
        <v>7680</v>
      </c>
      <c r="K721" s="9">
        <f>E721+F721+G721+H721+I721-J721</f>
        <v/>
      </c>
      <c r="L721" s="10">
        <f>Q720</f>
        <v/>
      </c>
      <c r="M721" s="10" t="n">
        <v>0</v>
      </c>
      <c r="N721" s="10" t="n">
        <v>6</v>
      </c>
      <c r="O721" s="10">
        <f>J721/160</f>
        <v/>
      </c>
      <c r="P721" s="10" t="n">
        <v>60</v>
      </c>
      <c r="Q721" s="10">
        <f>L721+M721+N721+O721-P721</f>
        <v/>
      </c>
      <c r="R721" s="11">
        <f>T720</f>
        <v/>
      </c>
      <c r="S721" s="11">
        <f>N(V721) + N(X721) + N(Z721)</f>
        <v/>
      </c>
      <c r="T721" s="11">
        <f>R721+P721-S721</f>
        <v/>
      </c>
      <c r="U721" s="11" t="inlineStr">
        <is>
          <t>是</t>
        </is>
      </c>
      <c r="V721" s="11" t="n">
        <v>50</v>
      </c>
      <c r="W721" s="11" t="inlineStr">
        <is>
          <t>否</t>
        </is>
      </c>
      <c r="X721" s="11" t="inlineStr">
        <is>
          <t>-</t>
        </is>
      </c>
      <c r="Y721" s="11" t="inlineStr">
        <is>
          <t>-</t>
        </is>
      </c>
      <c r="Z721" s="11" t="n">
        <v>0</v>
      </c>
      <c r="AA721" s="11" t="inlineStr">
        <is>
          <t>垫到60抽</t>
        </is>
      </c>
      <c r="AB721" s="12">
        <f>AE720</f>
        <v/>
      </c>
      <c r="AC721" s="12" t="n">
        <v>0</v>
      </c>
      <c r="AD721" s="12" t="n">
        <v>0</v>
      </c>
      <c r="AE721" s="12">
        <f>AB721+AC721+AD721</f>
        <v/>
      </c>
      <c r="AF721" s="13">
        <f>AI720</f>
        <v/>
      </c>
      <c r="AG721" s="13" t="n">
        <v>0</v>
      </c>
      <c r="AH721" s="13" t="n">
        <v>0</v>
      </c>
      <c r="AI721" s="13">
        <f>AF721+AG721+AH721</f>
        <v/>
      </c>
      <c r="AJ721" s="14" t="n">
        <v>0</v>
      </c>
      <c r="AK721" s="14" t="n">
        <v>0</v>
      </c>
      <c r="AL721" s="14" t="n">
        <v>0</v>
      </c>
      <c r="AM721" s="14">
        <f>AJ721+AK721+AL721</f>
        <v/>
      </c>
      <c r="AN721" s="14">
        <f>AN720+AM721</f>
        <v/>
      </c>
    </row>
    <row r="722">
      <c r="A722" s="8" t="n">
        <v>28</v>
      </c>
      <c r="B722" s="8" t="n">
        <v>10</v>
      </c>
      <c r="C722" s="8" t="n">
        <v>1</v>
      </c>
      <c r="D722" s="8" t="inlineStr">
        <is>
          <t>版本免费+义相逢 + 月卡收益</t>
        </is>
      </c>
      <c r="E722" s="9">
        <f>K721</f>
        <v/>
      </c>
      <c r="F722" s="9" t="n">
        <v>1540</v>
      </c>
      <c r="G722" s="9" t="n">
        <v>4800</v>
      </c>
      <c r="H722" s="9" t="n">
        <v>0</v>
      </c>
      <c r="I722" s="9" t="n">
        <v>0</v>
      </c>
      <c r="J722" s="9" t="n">
        <v>0</v>
      </c>
      <c r="K722" s="9">
        <f>E722+F722+G722+H722+I722-J722</f>
        <v/>
      </c>
      <c r="L722" s="10">
        <f>Q721</f>
        <v/>
      </c>
      <c r="M722" s="10" t="n">
        <v>85</v>
      </c>
      <c r="N722" s="10" t="n">
        <v>3</v>
      </c>
      <c r="O722" s="10">
        <f>J722/160</f>
        <v/>
      </c>
      <c r="P722" s="10" t="n">
        <v>40</v>
      </c>
      <c r="Q722" s="10">
        <f>L722+M722+N722+O722-P722</f>
        <v/>
      </c>
      <c r="R722" s="11">
        <f>T721</f>
        <v/>
      </c>
      <c r="S722" s="11">
        <f>N(V722) + N(X722) + N(Z722)</f>
        <v/>
      </c>
      <c r="T722" s="11">
        <f>R722+P722-S722</f>
        <v/>
      </c>
      <c r="U722" s="11" t="inlineStr">
        <is>
          <t>是</t>
        </is>
      </c>
      <c r="V722" s="11" t="n">
        <v>50</v>
      </c>
      <c r="W722" s="11" t="inlineStr">
        <is>
          <t>否</t>
        </is>
      </c>
      <c r="X722" s="11" t="inlineStr">
        <is>
          <t>-</t>
        </is>
      </c>
      <c r="Y722" s="11" t="inlineStr">
        <is>
          <t>-</t>
        </is>
      </c>
      <c r="Z722" s="11" t="n">
        <v>0</v>
      </c>
      <c r="AA722" s="11" t="inlineStr">
        <is>
          <t>无</t>
        </is>
      </c>
      <c r="AB722" s="12">
        <f>AE721</f>
        <v/>
      </c>
      <c r="AC722" s="12" t="n">
        <v>4</v>
      </c>
      <c r="AD722" s="12" t="n">
        <v>0</v>
      </c>
      <c r="AE722" s="12">
        <f>AB722+AC722+AD722</f>
        <v/>
      </c>
      <c r="AF722" s="13">
        <f>AI721</f>
        <v/>
      </c>
      <c r="AG722" s="13" t="n">
        <v>0</v>
      </c>
      <c r="AH722" s="13" t="n">
        <v>0</v>
      </c>
      <c r="AI722" s="13">
        <f>AF722+AG722+AH722</f>
        <v/>
      </c>
      <c r="AJ722" s="14" t="n">
        <v>0</v>
      </c>
      <c r="AK722" s="14" t="n">
        <v>50</v>
      </c>
      <c r="AL722" s="14" t="n">
        <v>0</v>
      </c>
      <c r="AM722" s="14">
        <f>AJ722+AK722+AL722</f>
        <v/>
      </c>
      <c r="AN722" s="14">
        <f>AN721+AM722</f>
        <v/>
      </c>
    </row>
    <row r="723">
      <c r="A723" s="8" t="n">
        <v>28</v>
      </c>
      <c r="B723" s="8" t="n">
        <v>10</v>
      </c>
      <c r="C723" s="8" t="n">
        <v>2</v>
      </c>
      <c r="D723" s="8" t="inlineStr">
        <is>
          <t>月卡收益 [月卡续费-30元]</t>
        </is>
      </c>
      <c r="E723" s="9">
        <f>K722</f>
        <v/>
      </c>
      <c r="F723" s="9" t="n">
        <v>1540</v>
      </c>
      <c r="G723" s="9" t="n">
        <v>0</v>
      </c>
      <c r="H723" s="9" t="n">
        <v>0</v>
      </c>
      <c r="I723" s="9" t="n">
        <v>0</v>
      </c>
      <c r="J723" s="9" t="n">
        <v>5280</v>
      </c>
      <c r="K723" s="9">
        <f>E723+F723+G723+H723+I723-J723</f>
        <v/>
      </c>
      <c r="L723" s="10">
        <f>Q722</f>
        <v/>
      </c>
      <c r="M723" s="10" t="n">
        <v>0</v>
      </c>
      <c r="N723" s="10" t="n">
        <v>11</v>
      </c>
      <c r="O723" s="10">
        <f>J723/160</f>
        <v/>
      </c>
      <c r="P723" s="10" t="n">
        <v>90</v>
      </c>
      <c r="Q723" s="10">
        <f>L723+M723+N723+O723-P723</f>
        <v/>
      </c>
      <c r="R723" s="11">
        <f>T722</f>
        <v/>
      </c>
      <c r="S723" s="11">
        <f>N(V723) + N(X723) + N(Z723)</f>
        <v/>
      </c>
      <c r="T723" s="11">
        <f>R723+P723-S723</f>
        <v/>
      </c>
      <c r="U723" s="11" t="inlineStr">
        <is>
          <t>是</t>
        </is>
      </c>
      <c r="V723" s="11" t="n">
        <v>47</v>
      </c>
      <c r="W723" s="11" t="inlineStr">
        <is>
          <t>是</t>
        </is>
      </c>
      <c r="X723" s="11" t="n">
        <v>51</v>
      </c>
      <c r="Y723" s="11" t="inlineStr">
        <is>
          <t>-</t>
        </is>
      </c>
      <c r="Z723" s="11" t="n">
        <v>0</v>
      </c>
      <c r="AA723" s="11" t="inlineStr">
        <is>
          <t>无</t>
        </is>
      </c>
      <c r="AB723" s="12">
        <f>AE722</f>
        <v/>
      </c>
      <c r="AC723" s="12" t="n">
        <v>0</v>
      </c>
      <c r="AD723" s="12" t="n">
        <v>0</v>
      </c>
      <c r="AE723" s="12">
        <f>AB723+AC723+AD723</f>
        <v/>
      </c>
      <c r="AF723" s="13">
        <f>AI722</f>
        <v/>
      </c>
      <c r="AG723" s="13" t="n">
        <v>0</v>
      </c>
      <c r="AH723" s="13" t="n">
        <v>0</v>
      </c>
      <c r="AI723" s="13">
        <f>AF723+AG723+AH723</f>
        <v/>
      </c>
      <c r="AJ723" s="14" t="n">
        <v>30</v>
      </c>
      <c r="AK723" s="14" t="n">
        <v>0</v>
      </c>
      <c r="AL723" s="14" t="n">
        <v>0</v>
      </c>
      <c r="AM723" s="14">
        <f>AJ723+AK723+AL723</f>
        <v/>
      </c>
      <c r="AN723" s="14">
        <f>AN722+AM723</f>
        <v/>
      </c>
    </row>
    <row r="724">
      <c r="A724" s="8" t="n">
        <v>28</v>
      </c>
      <c r="B724" s="8" t="n">
        <v>11</v>
      </c>
      <c r="C724" s="8" t="n">
        <v>1</v>
      </c>
      <c r="D724" s="8" t="inlineStr">
        <is>
          <t>版本免费+义相逢 + 月卡收益</t>
        </is>
      </c>
      <c r="E724" s="9">
        <f>K723</f>
        <v/>
      </c>
      <c r="F724" s="9" t="n">
        <v>1540</v>
      </c>
      <c r="G724" s="9" t="n">
        <v>4800</v>
      </c>
      <c r="H724" s="9" t="n">
        <v>0</v>
      </c>
      <c r="I724" s="9" t="n">
        <v>0</v>
      </c>
      <c r="J724" s="9" t="n">
        <v>0</v>
      </c>
      <c r="K724" s="9">
        <f>E724+F724+G724+H724+I724-J724</f>
        <v/>
      </c>
      <c r="L724" s="10">
        <f>Q723</f>
        <v/>
      </c>
      <c r="M724" s="10" t="n">
        <v>85</v>
      </c>
      <c r="N724" s="10" t="n">
        <v>6</v>
      </c>
      <c r="O724" s="10">
        <f>J724/160</f>
        <v/>
      </c>
      <c r="P724" s="10" t="n">
        <v>60</v>
      </c>
      <c r="Q724" s="10">
        <f>L724+M724+N724+O724-P724</f>
        <v/>
      </c>
      <c r="R724" s="11">
        <f>T723</f>
        <v/>
      </c>
      <c r="S724" s="11">
        <f>N(V724) + N(X724) + N(Z724)</f>
        <v/>
      </c>
      <c r="T724" s="11">
        <f>R724+P724-S724</f>
        <v/>
      </c>
      <c r="U724" s="11" t="inlineStr">
        <is>
          <t>是</t>
        </is>
      </c>
      <c r="V724" s="11" t="n">
        <v>48</v>
      </c>
      <c r="W724" s="11" t="inlineStr">
        <is>
          <t>否</t>
        </is>
      </c>
      <c r="X724" s="11" t="inlineStr">
        <is>
          <t>-</t>
        </is>
      </c>
      <c r="Y724" s="11" t="inlineStr">
        <is>
          <t>-</t>
        </is>
      </c>
      <c r="Z724" s="11" t="n">
        <v>0</v>
      </c>
      <c r="AA724" s="11" t="inlineStr">
        <is>
          <t>垫到60抽</t>
        </is>
      </c>
      <c r="AB724" s="12">
        <f>AE723</f>
        <v/>
      </c>
      <c r="AC724" s="12" t="n">
        <v>4</v>
      </c>
      <c r="AD724" s="12" t="n">
        <v>0</v>
      </c>
      <c r="AE724" s="12">
        <f>AB724+AC724+AD724</f>
        <v/>
      </c>
      <c r="AF724" s="13">
        <f>AI723</f>
        <v/>
      </c>
      <c r="AG724" s="13" t="n">
        <v>0</v>
      </c>
      <c r="AH724" s="13" t="n">
        <v>0</v>
      </c>
      <c r="AI724" s="13">
        <f>AF724+AG724+AH724</f>
        <v/>
      </c>
      <c r="AJ724" s="14" t="n">
        <v>0</v>
      </c>
      <c r="AK724" s="14" t="n">
        <v>50</v>
      </c>
      <c r="AL724" s="14" t="n">
        <v>0</v>
      </c>
      <c r="AM724" s="14">
        <f>AJ724+AK724+AL724</f>
        <v/>
      </c>
      <c r="AN724" s="14">
        <f>AN723+AM724</f>
        <v/>
      </c>
    </row>
    <row r="725">
      <c r="A725" s="8" t="n">
        <v>28</v>
      </c>
      <c r="B725" s="8" t="n">
        <v>11</v>
      </c>
      <c r="C725" s="8" t="n">
        <v>2</v>
      </c>
      <c r="D725" s="8" t="inlineStr">
        <is>
          <t>月卡收益 [月卡续费-30元]</t>
        </is>
      </c>
      <c r="E725" s="9">
        <f>K724</f>
        <v/>
      </c>
      <c r="F725" s="9" t="n">
        <v>1540</v>
      </c>
      <c r="G725" s="9" t="n">
        <v>0</v>
      </c>
      <c r="H725" s="9" t="n">
        <v>0</v>
      </c>
      <c r="I725" s="9" t="n">
        <v>0</v>
      </c>
      <c r="J725" s="9" t="n">
        <v>160</v>
      </c>
      <c r="K725" s="9">
        <f>E725+F725+G725+H725+I725-J725</f>
        <v/>
      </c>
      <c r="L725" s="10">
        <f>Q724</f>
        <v/>
      </c>
      <c r="M725" s="10" t="n">
        <v>0</v>
      </c>
      <c r="N725" s="10" t="n">
        <v>3</v>
      </c>
      <c r="O725" s="10">
        <f>J725/160</f>
        <v/>
      </c>
      <c r="P725" s="10" t="n">
        <v>40</v>
      </c>
      <c r="Q725" s="10">
        <f>L725+M725+N725+O725-P725</f>
        <v/>
      </c>
      <c r="R725" s="11">
        <f>T724</f>
        <v/>
      </c>
      <c r="S725" s="11">
        <f>N(V725) + N(X725) + N(Z725)</f>
        <v/>
      </c>
      <c r="T725" s="11">
        <f>R725+P725-S725</f>
        <v/>
      </c>
      <c r="U725" s="11" t="inlineStr">
        <is>
          <t>是</t>
        </is>
      </c>
      <c r="V725" s="11" t="n">
        <v>46</v>
      </c>
      <c r="W725" s="11" t="inlineStr">
        <is>
          <t>否</t>
        </is>
      </c>
      <c r="X725" s="11" t="inlineStr">
        <is>
          <t>-</t>
        </is>
      </c>
      <c r="Y725" s="11" t="inlineStr">
        <is>
          <t>-</t>
        </is>
      </c>
      <c r="Z725" s="11" t="n">
        <v>0</v>
      </c>
      <c r="AA725" s="11" t="inlineStr">
        <is>
          <t>无</t>
        </is>
      </c>
      <c r="AB725" s="12">
        <f>AE724</f>
        <v/>
      </c>
      <c r="AC725" s="12" t="n">
        <v>0</v>
      </c>
      <c r="AD725" s="12" t="n">
        <v>0</v>
      </c>
      <c r="AE725" s="12">
        <f>AB725+AC725+AD725</f>
        <v/>
      </c>
      <c r="AF725" s="13">
        <f>AI724</f>
        <v/>
      </c>
      <c r="AG725" s="13" t="n">
        <v>0</v>
      </c>
      <c r="AH725" s="13" t="n">
        <v>0</v>
      </c>
      <c r="AI725" s="13">
        <f>AF725+AG725+AH725</f>
        <v/>
      </c>
      <c r="AJ725" s="14" t="n">
        <v>30</v>
      </c>
      <c r="AK725" s="14" t="n">
        <v>0</v>
      </c>
      <c r="AL725" s="14" t="n">
        <v>0</v>
      </c>
      <c r="AM725" s="14">
        <f>AJ725+AK725+AL725</f>
        <v/>
      </c>
      <c r="AN725" s="14">
        <f>AN724+AM725</f>
        <v/>
      </c>
    </row>
    <row r="726">
      <c r="A726" s="8" t="n">
        <v>28</v>
      </c>
      <c r="B726" s="8" t="n">
        <v>12</v>
      </c>
      <c r="C726" s="8" t="n">
        <v>1</v>
      </c>
      <c r="D726" s="8" t="inlineStr">
        <is>
          <t>版本免费+义相逢 + 月卡收益</t>
        </is>
      </c>
      <c r="E726" s="9">
        <f>K725</f>
        <v/>
      </c>
      <c r="F726" s="9" t="n">
        <v>1540</v>
      </c>
      <c r="G726" s="9" t="n">
        <v>4800</v>
      </c>
      <c r="H726" s="9" t="n">
        <v>0</v>
      </c>
      <c r="I726" s="9" t="n">
        <v>0</v>
      </c>
      <c r="J726" s="9" t="n">
        <v>640</v>
      </c>
      <c r="K726" s="9">
        <f>E726+F726+G726+H726+I726-J726</f>
        <v/>
      </c>
      <c r="L726" s="10">
        <f>Q725</f>
        <v/>
      </c>
      <c r="M726" s="10" t="n">
        <v>85</v>
      </c>
      <c r="N726" s="10" t="n">
        <v>11</v>
      </c>
      <c r="O726" s="10">
        <f>J726/160</f>
        <v/>
      </c>
      <c r="P726" s="10" t="n">
        <v>100</v>
      </c>
      <c r="Q726" s="10">
        <f>L726+M726+N726+O726-P726</f>
        <v/>
      </c>
      <c r="R726" s="11">
        <f>T725</f>
        <v/>
      </c>
      <c r="S726" s="11">
        <f>N(V726) + N(X726) + N(Z726)</f>
        <v/>
      </c>
      <c r="T726" s="11">
        <f>R726+P726-S726</f>
        <v/>
      </c>
      <c r="U726" s="11" t="inlineStr">
        <is>
          <t>是</t>
        </is>
      </c>
      <c r="V726" s="11" t="n">
        <v>50</v>
      </c>
      <c r="W726" s="11" t="inlineStr">
        <is>
          <t>是</t>
        </is>
      </c>
      <c r="X726" s="11" t="n">
        <v>52</v>
      </c>
      <c r="Y726" s="11" t="inlineStr">
        <is>
          <t>-</t>
        </is>
      </c>
      <c r="Z726" s="11" t="n">
        <v>0</v>
      </c>
      <c r="AA726" s="11" t="inlineStr">
        <is>
          <t>无</t>
        </is>
      </c>
      <c r="AB726" s="12">
        <f>AE725</f>
        <v/>
      </c>
      <c r="AC726" s="12" t="n">
        <v>4</v>
      </c>
      <c r="AD726" s="12" t="n">
        <v>0</v>
      </c>
      <c r="AE726" s="12">
        <f>AB726+AC726+AD726</f>
        <v/>
      </c>
      <c r="AF726" s="13">
        <f>AI725</f>
        <v/>
      </c>
      <c r="AG726" s="13" t="n">
        <v>0</v>
      </c>
      <c r="AH726" s="13" t="n">
        <v>0</v>
      </c>
      <c r="AI726" s="13">
        <f>AF726+AG726+AH726</f>
        <v/>
      </c>
      <c r="AJ726" s="14" t="n">
        <v>0</v>
      </c>
      <c r="AK726" s="14" t="n">
        <v>50</v>
      </c>
      <c r="AL726" s="14" t="n">
        <v>0</v>
      </c>
      <c r="AM726" s="14">
        <f>AJ726+AK726+AL726</f>
        <v/>
      </c>
      <c r="AN726" s="14">
        <f>AN725+AM726</f>
        <v/>
      </c>
    </row>
    <row r="727">
      <c r="A727" s="8" t="n">
        <v>28</v>
      </c>
      <c r="B727" s="8" t="n">
        <v>12</v>
      </c>
      <c r="C727" s="8" t="n">
        <v>2</v>
      </c>
      <c r="D727" s="8" t="inlineStr">
        <is>
          <t>月卡收益 [月卡续费-30元]</t>
        </is>
      </c>
      <c r="E727" s="9">
        <f>K726</f>
        <v/>
      </c>
      <c r="F727" s="9" t="n">
        <v>1540</v>
      </c>
      <c r="G727" s="9" t="n">
        <v>0</v>
      </c>
      <c r="H727" s="9" t="n">
        <v>0</v>
      </c>
      <c r="I727" s="9" t="n">
        <v>0</v>
      </c>
      <c r="J727" s="9" t="n">
        <v>9120</v>
      </c>
      <c r="K727" s="9">
        <f>E727+F727+G727+H727+I727-J727</f>
        <v/>
      </c>
      <c r="L727" s="10">
        <f>Q726</f>
        <v/>
      </c>
      <c r="M727" s="10" t="n">
        <v>0</v>
      </c>
      <c r="N727" s="10" t="n">
        <v>6</v>
      </c>
      <c r="O727" s="10">
        <f>J727/160</f>
        <v/>
      </c>
      <c r="P727" s="10" t="n">
        <v>60</v>
      </c>
      <c r="Q727" s="10">
        <f>L727+M727+N727+O727-P727</f>
        <v/>
      </c>
      <c r="R727" s="11">
        <f>T726</f>
        <v/>
      </c>
      <c r="S727" s="11">
        <f>N(V727) + N(X727) + N(Z727)</f>
        <v/>
      </c>
      <c r="T727" s="11">
        <f>R727+P727-S727</f>
        <v/>
      </c>
      <c r="U727" s="11" t="inlineStr">
        <is>
          <t>是</t>
        </is>
      </c>
      <c r="V727" s="11" t="n">
        <v>5</v>
      </c>
      <c r="W727" s="11" t="inlineStr">
        <is>
          <t>是</t>
        </is>
      </c>
      <c r="X727" s="11" t="n">
        <v>49</v>
      </c>
      <c r="Y727" s="11" t="inlineStr">
        <is>
          <t>-</t>
        </is>
      </c>
      <c r="Z727" s="11" t="n">
        <v>0</v>
      </c>
      <c r="AA727" s="11" t="inlineStr">
        <is>
          <t>垫到60抽</t>
        </is>
      </c>
      <c r="AB727" s="12">
        <f>AE726</f>
        <v/>
      </c>
      <c r="AC727" s="12" t="n">
        <v>0</v>
      </c>
      <c r="AD727" s="12" t="n">
        <v>0</v>
      </c>
      <c r="AE727" s="12">
        <f>AB727+AC727+AD727</f>
        <v/>
      </c>
      <c r="AF727" s="13">
        <f>AI726</f>
        <v/>
      </c>
      <c r="AG727" s="13" t="n">
        <v>0</v>
      </c>
      <c r="AH727" s="13" t="n">
        <v>0</v>
      </c>
      <c r="AI727" s="13">
        <f>AF727+AG727+AH727</f>
        <v/>
      </c>
      <c r="AJ727" s="14" t="n">
        <v>30</v>
      </c>
      <c r="AK727" s="14" t="n">
        <v>0</v>
      </c>
      <c r="AL727" s="14" t="n">
        <v>0</v>
      </c>
      <c r="AM727" s="14">
        <f>AJ727+AK727+AL727</f>
        <v/>
      </c>
      <c r="AN727" s="14">
        <f>AN726+AM727</f>
        <v/>
      </c>
    </row>
    <row r="728">
      <c r="A728" s="8" t="n">
        <v>28</v>
      </c>
      <c r="B728" s="8" t="n">
        <v>13</v>
      </c>
      <c r="C728" s="8" t="n">
        <v>1</v>
      </c>
      <c r="D728" s="8" t="inlineStr">
        <is>
          <t>版本免费+义相逢 + 月卡收益</t>
        </is>
      </c>
      <c r="E728" s="9">
        <f>K727</f>
        <v/>
      </c>
      <c r="F728" s="9" t="n">
        <v>1540</v>
      </c>
      <c r="G728" s="9" t="n">
        <v>4800</v>
      </c>
      <c r="H728" s="9" t="n">
        <v>0</v>
      </c>
      <c r="I728" s="9" t="n">
        <v>0</v>
      </c>
      <c r="J728" s="9" t="n">
        <v>0</v>
      </c>
      <c r="K728" s="9">
        <f>E728+F728+G728+H728+I728-J728</f>
        <v/>
      </c>
      <c r="L728" s="10">
        <f>Q727</f>
        <v/>
      </c>
      <c r="M728" s="10" t="n">
        <v>85</v>
      </c>
      <c r="N728" s="10" t="n">
        <v>6</v>
      </c>
      <c r="O728" s="10">
        <f>J728/160</f>
        <v/>
      </c>
      <c r="P728" s="10" t="n">
        <v>60</v>
      </c>
      <c r="Q728" s="10">
        <f>L728+M728+N728+O728-P728</f>
        <v/>
      </c>
      <c r="R728" s="11">
        <f>T727</f>
        <v/>
      </c>
      <c r="S728" s="11">
        <f>N(V728) + N(X728) + N(Z728)</f>
        <v/>
      </c>
      <c r="T728" s="11">
        <f>R728+P728-S728</f>
        <v/>
      </c>
      <c r="U728" s="11" t="inlineStr">
        <is>
          <t>是</t>
        </is>
      </c>
      <c r="V728" s="11" t="n">
        <v>54</v>
      </c>
      <c r="W728" s="11" t="inlineStr">
        <is>
          <t>否</t>
        </is>
      </c>
      <c r="X728" s="11" t="inlineStr">
        <is>
          <t>-</t>
        </is>
      </c>
      <c r="Y728" s="11" t="inlineStr">
        <is>
          <t>-</t>
        </is>
      </c>
      <c r="Z728" s="11" t="n">
        <v>0</v>
      </c>
      <c r="AA728" s="11" t="inlineStr">
        <is>
          <t>垫到60抽</t>
        </is>
      </c>
      <c r="AB728" s="12">
        <f>AE727</f>
        <v/>
      </c>
      <c r="AC728" s="12" t="n">
        <v>4</v>
      </c>
      <c r="AD728" s="12" t="n">
        <v>0</v>
      </c>
      <c r="AE728" s="12">
        <f>AB728+AC728+AD728</f>
        <v/>
      </c>
      <c r="AF728" s="13">
        <f>AI727</f>
        <v/>
      </c>
      <c r="AG728" s="13" t="n">
        <v>0</v>
      </c>
      <c r="AH728" s="13" t="n">
        <v>0</v>
      </c>
      <c r="AI728" s="13">
        <f>AF728+AG728+AH728</f>
        <v/>
      </c>
      <c r="AJ728" s="14" t="n">
        <v>0</v>
      </c>
      <c r="AK728" s="14" t="n">
        <v>50</v>
      </c>
      <c r="AL728" s="14" t="n">
        <v>0</v>
      </c>
      <c r="AM728" s="14">
        <f>AJ728+AK728+AL728</f>
        <v/>
      </c>
      <c r="AN728" s="14">
        <f>AN727+AM728</f>
        <v/>
      </c>
    </row>
    <row r="729">
      <c r="A729" s="8" t="n">
        <v>28</v>
      </c>
      <c r="B729" s="8" t="n">
        <v>13</v>
      </c>
      <c r="C729" s="8" t="n">
        <v>2</v>
      </c>
      <c r="D729" s="8" t="inlineStr">
        <is>
          <t>月卡收益 [月卡续费-30元]</t>
        </is>
      </c>
      <c r="E729" s="9">
        <f>K728</f>
        <v/>
      </c>
      <c r="F729" s="9" t="n">
        <v>1540</v>
      </c>
      <c r="G729" s="9" t="n">
        <v>0</v>
      </c>
      <c r="H729" s="9" t="n">
        <v>0</v>
      </c>
      <c r="I729" s="9" t="n">
        <v>0</v>
      </c>
      <c r="J729" s="9" t="n">
        <v>480</v>
      </c>
      <c r="K729" s="9">
        <f>E729+F729+G729+H729+I729-J729</f>
        <v/>
      </c>
      <c r="L729" s="10">
        <f>Q728</f>
        <v/>
      </c>
      <c r="M729" s="10" t="n">
        <v>0</v>
      </c>
      <c r="N729" s="10" t="n">
        <v>3</v>
      </c>
      <c r="O729" s="10">
        <f>J729/160</f>
        <v/>
      </c>
      <c r="P729" s="10" t="n">
        <v>40</v>
      </c>
      <c r="Q729" s="10">
        <f>L729+M729+N729+O729-P729</f>
        <v/>
      </c>
      <c r="R729" s="11">
        <f>T728</f>
        <v/>
      </c>
      <c r="S729" s="11">
        <f>N(V729) + N(X729) + N(Z729)</f>
        <v/>
      </c>
      <c r="T729" s="11">
        <f>R729+P729-S729</f>
        <v/>
      </c>
      <c r="U729" s="11" t="inlineStr">
        <is>
          <t>是</t>
        </is>
      </c>
      <c r="V729" s="11" t="n">
        <v>50</v>
      </c>
      <c r="W729" s="11" t="inlineStr">
        <is>
          <t>否</t>
        </is>
      </c>
      <c r="X729" s="11" t="inlineStr">
        <is>
          <t>-</t>
        </is>
      </c>
      <c r="Y729" s="11" t="inlineStr">
        <is>
          <t>-</t>
        </is>
      </c>
      <c r="Z729" s="11" t="n">
        <v>0</v>
      </c>
      <c r="AA729" s="11" t="inlineStr">
        <is>
          <t>无</t>
        </is>
      </c>
      <c r="AB729" s="12">
        <f>AE728</f>
        <v/>
      </c>
      <c r="AC729" s="12" t="n">
        <v>0</v>
      </c>
      <c r="AD729" s="12" t="n">
        <v>0</v>
      </c>
      <c r="AE729" s="12">
        <f>AB729+AC729+AD729</f>
        <v/>
      </c>
      <c r="AF729" s="13">
        <f>AI728</f>
        <v/>
      </c>
      <c r="AG729" s="13" t="n">
        <v>0</v>
      </c>
      <c r="AH729" s="13" t="n">
        <v>0</v>
      </c>
      <c r="AI729" s="13">
        <f>AF729+AG729+AH729</f>
        <v/>
      </c>
      <c r="AJ729" s="14" t="n">
        <v>30</v>
      </c>
      <c r="AK729" s="14" t="n">
        <v>0</v>
      </c>
      <c r="AL729" s="14" t="n">
        <v>0</v>
      </c>
      <c r="AM729" s="14">
        <f>AJ729+AK729+AL729</f>
        <v/>
      </c>
      <c r="AN729" s="14">
        <f>AN728+AM729</f>
        <v/>
      </c>
    </row>
    <row r="730">
      <c r="A730" s="8" t="n">
        <v>29</v>
      </c>
      <c r="B730" s="8" t="n">
        <v>1</v>
      </c>
      <c r="C730" s="8" t="n">
        <v>1</v>
      </c>
      <c r="D730" s="8" t="inlineStr">
        <is>
          <t>版本免费+义相逢 + 月卡收益</t>
        </is>
      </c>
      <c r="E730" s="9" t="n">
        <v>26400</v>
      </c>
      <c r="F730" s="9" t="n">
        <v>1540</v>
      </c>
      <c r="G730" s="9" t="n">
        <v>4800</v>
      </c>
      <c r="H730" s="9" t="n">
        <v>0</v>
      </c>
      <c r="I730" s="9" t="n">
        <v>0</v>
      </c>
      <c r="J730" s="9" t="n">
        <v>0</v>
      </c>
      <c r="K730" s="9">
        <f>E730+F730+G730+H730+I730-J730</f>
        <v/>
      </c>
      <c r="L730" s="10" t="n">
        <v>0</v>
      </c>
      <c r="M730" s="10" t="n">
        <v>85</v>
      </c>
      <c r="N730" s="10" t="n">
        <v>6</v>
      </c>
      <c r="O730" s="10">
        <f>J730/160</f>
        <v/>
      </c>
      <c r="P730" s="10" t="n">
        <v>60</v>
      </c>
      <c r="Q730" s="10">
        <f>L730+M730+N730+O730-P730</f>
        <v/>
      </c>
      <c r="R730" s="11" t="n">
        <v>6</v>
      </c>
      <c r="S730" s="11">
        <f>N(V730) + N(X730) + N(Z730)</f>
        <v/>
      </c>
      <c r="T730" s="11">
        <f>R730+P730-S730</f>
        <v/>
      </c>
      <c r="U730" s="11" t="inlineStr">
        <is>
          <t>是</t>
        </is>
      </c>
      <c r="V730" s="11" t="n">
        <v>57</v>
      </c>
      <c r="W730" s="11" t="inlineStr">
        <is>
          <t>否</t>
        </is>
      </c>
      <c r="X730" s="11" t="inlineStr">
        <is>
          <t>-</t>
        </is>
      </c>
      <c r="Y730" s="11" t="inlineStr">
        <is>
          <t>-</t>
        </is>
      </c>
      <c r="Z730" s="11" t="n">
        <v>0</v>
      </c>
      <c r="AA730" s="11" t="inlineStr">
        <is>
          <t>无</t>
        </is>
      </c>
      <c r="AB730" s="12" t="n">
        <v>1500</v>
      </c>
      <c r="AC730" s="12" t="n">
        <v>4</v>
      </c>
      <c r="AD730" s="12" t="n">
        <v>0</v>
      </c>
      <c r="AE730" s="12">
        <f>AB730+AC730+AD730</f>
        <v/>
      </c>
      <c r="AF730" s="13" t="n">
        <v>220000</v>
      </c>
      <c r="AG730" s="13" t="n">
        <v>0</v>
      </c>
      <c r="AH730" s="13" t="n">
        <v>0</v>
      </c>
      <c r="AI730" s="13">
        <f>AF730+AG730+AH730</f>
        <v/>
      </c>
      <c r="AJ730" s="14" t="n">
        <v>0</v>
      </c>
      <c r="AK730" s="14" t="n">
        <v>50</v>
      </c>
      <c r="AL730" s="14" t="n">
        <v>0</v>
      </c>
      <c r="AM730" s="14">
        <f>AJ730+AK730+AL730</f>
        <v/>
      </c>
      <c r="AN730" s="14">
        <f>AM730</f>
        <v/>
      </c>
    </row>
    <row r="731">
      <c r="A731" s="8" t="n">
        <v>29</v>
      </c>
      <c r="B731" s="8" t="n">
        <v>1</v>
      </c>
      <c r="C731" s="8" t="n">
        <v>2</v>
      </c>
      <c r="D731" s="8" t="inlineStr">
        <is>
          <t>月卡收益 [月卡续费-30元]</t>
        </is>
      </c>
      <c r="E731" s="9">
        <f>K730</f>
        <v/>
      </c>
      <c r="F731" s="9" t="n">
        <v>1540</v>
      </c>
      <c r="G731" s="9" t="n">
        <v>0</v>
      </c>
      <c r="H731" s="9" t="n">
        <v>0</v>
      </c>
      <c r="I731" s="9" t="n">
        <v>0</v>
      </c>
      <c r="J731" s="9" t="n">
        <v>9280</v>
      </c>
      <c r="K731" s="9">
        <f>E731+F731+G731+H731+I731-J731</f>
        <v/>
      </c>
      <c r="L731" s="10">
        <f>Q730</f>
        <v/>
      </c>
      <c r="M731" s="10" t="n">
        <v>0</v>
      </c>
      <c r="N731" s="10" t="n">
        <v>11</v>
      </c>
      <c r="O731" s="10">
        <f>J731/160</f>
        <v/>
      </c>
      <c r="P731" s="10" t="n">
        <v>100</v>
      </c>
      <c r="Q731" s="10">
        <f>L731+M731+N731+O731-P731</f>
        <v/>
      </c>
      <c r="R731" s="11">
        <f>T730</f>
        <v/>
      </c>
      <c r="S731" s="11">
        <f>N(V731) + N(X731) + N(Z731)</f>
        <v/>
      </c>
      <c r="T731" s="11">
        <f>R731+P731-S731</f>
        <v/>
      </c>
      <c r="U731" s="11" t="inlineStr">
        <is>
          <t>是</t>
        </is>
      </c>
      <c r="V731" s="11" t="n">
        <v>53</v>
      </c>
      <c r="W731" s="11" t="inlineStr">
        <is>
          <t>是</t>
        </is>
      </c>
      <c r="X731" s="11" t="n">
        <v>50</v>
      </c>
      <c r="Y731" s="11" t="inlineStr">
        <is>
          <t>-</t>
        </is>
      </c>
      <c r="Z731" s="11" t="n">
        <v>0</v>
      </c>
      <c r="AA731" s="11" t="inlineStr">
        <is>
          <t>无</t>
        </is>
      </c>
      <c r="AB731" s="12">
        <f>AE730</f>
        <v/>
      </c>
      <c r="AC731" s="12" t="n">
        <v>0</v>
      </c>
      <c r="AD731" s="12" t="n">
        <v>0</v>
      </c>
      <c r="AE731" s="12">
        <f>AB731+AC731+AD731</f>
        <v/>
      </c>
      <c r="AF731" s="13">
        <f>AI730</f>
        <v/>
      </c>
      <c r="AG731" s="13" t="n">
        <v>0</v>
      </c>
      <c r="AH731" s="13" t="n">
        <v>0</v>
      </c>
      <c r="AI731" s="13">
        <f>AF731+AG731+AH731</f>
        <v/>
      </c>
      <c r="AJ731" s="14" t="n">
        <v>30</v>
      </c>
      <c r="AK731" s="14" t="n">
        <v>0</v>
      </c>
      <c r="AL731" s="14" t="n">
        <v>0</v>
      </c>
      <c r="AM731" s="14">
        <f>AJ731+AK731+AL731</f>
        <v/>
      </c>
      <c r="AN731" s="14">
        <f>AN730+AM731</f>
        <v/>
      </c>
    </row>
    <row r="732">
      <c r="A732" s="8" t="n">
        <v>29</v>
      </c>
      <c r="B732" s="8" t="n">
        <v>2</v>
      </c>
      <c r="C732" s="8" t="n">
        <v>1</v>
      </c>
      <c r="D732" s="8" t="inlineStr">
        <is>
          <t>版本免费+义相逢 + 月卡收益</t>
        </is>
      </c>
      <c r="E732" s="9">
        <f>K731</f>
        <v/>
      </c>
      <c r="F732" s="9" t="n">
        <v>1540</v>
      </c>
      <c r="G732" s="9" t="n">
        <v>4800</v>
      </c>
      <c r="H732" s="9" t="n">
        <v>0</v>
      </c>
      <c r="I732" s="9" t="n">
        <v>0</v>
      </c>
      <c r="J732" s="9" t="n">
        <v>15040</v>
      </c>
      <c r="K732" s="9">
        <f>E732+F732+G732+H732+I732-J732</f>
        <v/>
      </c>
      <c r="L732" s="10">
        <f>Q731</f>
        <v/>
      </c>
      <c r="M732" s="10" t="n">
        <v>85</v>
      </c>
      <c r="N732" s="10" t="n">
        <v>21</v>
      </c>
      <c r="O732" s="10">
        <f>J732/160</f>
        <v/>
      </c>
      <c r="P732" s="10" t="n">
        <v>200</v>
      </c>
      <c r="Q732" s="10">
        <f>L732+M732+N732+O732-P732</f>
        <v/>
      </c>
      <c r="R732" s="11">
        <f>T731</f>
        <v/>
      </c>
      <c r="S732" s="11">
        <f>N(V732) + N(X732) + N(Z732)</f>
        <v/>
      </c>
      <c r="T732" s="11">
        <f>R732+P732-S732</f>
        <v/>
      </c>
      <c r="U732" s="11" t="inlineStr">
        <is>
          <t>是</t>
        </is>
      </c>
      <c r="V732" s="11" t="n">
        <v>52</v>
      </c>
      <c r="W732" s="11" t="inlineStr">
        <is>
          <t>是</t>
        </is>
      </c>
      <c r="X732" s="11" t="n">
        <v>48</v>
      </c>
      <c r="Y732" s="11" t="inlineStr">
        <is>
          <t>歪(50), UP(52)</t>
        </is>
      </c>
      <c r="Z732" s="11" t="n">
        <v>102</v>
      </c>
      <c r="AA732" s="11" t="inlineStr">
        <is>
          <t>冲刺200(动态100)</t>
        </is>
      </c>
      <c r="AB732" s="12">
        <f>AE731</f>
        <v/>
      </c>
      <c r="AC732" s="12" t="n">
        <v>4</v>
      </c>
      <c r="AD732" s="12" t="n">
        <v>1</v>
      </c>
      <c r="AE732" s="12">
        <f>AB732+AC732+AD732</f>
        <v/>
      </c>
      <c r="AF732" s="13">
        <f>AI731</f>
        <v/>
      </c>
      <c r="AG732" s="13" t="n">
        <v>0</v>
      </c>
      <c r="AH732" s="13" t="n">
        <v>5000</v>
      </c>
      <c r="AI732" s="13">
        <f>AF732+AG732+AH732</f>
        <v/>
      </c>
      <c r="AJ732" s="14" t="n">
        <v>0</v>
      </c>
      <c r="AK732" s="14" t="n">
        <v>50</v>
      </c>
      <c r="AL732" s="14" t="n">
        <v>0</v>
      </c>
      <c r="AM732" s="14">
        <f>AJ732+AK732+AL732</f>
        <v/>
      </c>
      <c r="AN732" s="14">
        <f>AN731+AM732</f>
        <v/>
      </c>
    </row>
    <row r="733">
      <c r="A733" s="8" t="n">
        <v>29</v>
      </c>
      <c r="B733" s="8" t="n">
        <v>2</v>
      </c>
      <c r="C733" s="8" t="n">
        <v>2</v>
      </c>
      <c r="D733" s="8" t="inlineStr">
        <is>
          <t>月卡收益 [月卡续费-30元]</t>
        </is>
      </c>
      <c r="E733" s="9">
        <f>K732</f>
        <v/>
      </c>
      <c r="F733" s="9" t="n">
        <v>1540</v>
      </c>
      <c r="G733" s="9" t="n">
        <v>0</v>
      </c>
      <c r="H733" s="9" t="n">
        <v>0</v>
      </c>
      <c r="I733" s="9" t="n">
        <v>0</v>
      </c>
      <c r="J733" s="9" t="n">
        <v>9120</v>
      </c>
      <c r="K733" s="9">
        <f>E733+F733+G733+H733+I733-J733</f>
        <v/>
      </c>
      <c r="L733" s="10">
        <f>Q732</f>
        <v/>
      </c>
      <c r="M733" s="10" t="n">
        <v>0</v>
      </c>
      <c r="N733" s="10" t="n">
        <v>6</v>
      </c>
      <c r="O733" s="10">
        <f>J733/160</f>
        <v/>
      </c>
      <c r="P733" s="10" t="n">
        <v>60</v>
      </c>
      <c r="Q733" s="10">
        <f>L733+M733+N733+O733-P733</f>
        <v/>
      </c>
      <c r="R733" s="11">
        <f>T732</f>
        <v/>
      </c>
      <c r="S733" s="11">
        <f>N(V733) + N(X733) + N(Z733)</f>
        <v/>
      </c>
      <c r="T733" s="11">
        <f>R733+P733-S733</f>
        <v/>
      </c>
      <c r="U733" s="11" t="inlineStr">
        <is>
          <t>是</t>
        </is>
      </c>
      <c r="V733" s="11" t="n">
        <v>52</v>
      </c>
      <c r="W733" s="11" t="inlineStr">
        <is>
          <t>否</t>
        </is>
      </c>
      <c r="X733" s="11" t="inlineStr">
        <is>
          <t>-</t>
        </is>
      </c>
      <c r="Y733" s="11" t="inlineStr">
        <is>
          <t>-</t>
        </is>
      </c>
      <c r="Z733" s="11" t="n">
        <v>0</v>
      </c>
      <c r="AA733" s="11" t="inlineStr">
        <is>
          <t>垫到60抽</t>
        </is>
      </c>
      <c r="AB733" s="12">
        <f>AE732</f>
        <v/>
      </c>
      <c r="AC733" s="12" t="n">
        <v>0</v>
      </c>
      <c r="AD733" s="12" t="n">
        <v>0</v>
      </c>
      <c r="AE733" s="12">
        <f>AB733+AC733+AD733</f>
        <v/>
      </c>
      <c r="AF733" s="13">
        <f>AI732</f>
        <v/>
      </c>
      <c r="AG733" s="13" t="n">
        <v>0</v>
      </c>
      <c r="AH733" s="13" t="n">
        <v>0</v>
      </c>
      <c r="AI733" s="13">
        <f>AF733+AG733+AH733</f>
        <v/>
      </c>
      <c r="AJ733" s="14" t="n">
        <v>30</v>
      </c>
      <c r="AK733" s="14" t="n">
        <v>0</v>
      </c>
      <c r="AL733" s="14" t="n">
        <v>0</v>
      </c>
      <c r="AM733" s="14">
        <f>AJ733+AK733+AL733</f>
        <v/>
      </c>
      <c r="AN733" s="14">
        <f>AN732+AM733</f>
        <v/>
      </c>
    </row>
    <row r="734">
      <c r="A734" s="8" t="n">
        <v>29</v>
      </c>
      <c r="B734" s="8" t="n">
        <v>3</v>
      </c>
      <c r="C734" s="8" t="n">
        <v>1</v>
      </c>
      <c r="D734" s="8" t="inlineStr">
        <is>
          <t>版本免费+义相逢 + 月卡收益</t>
        </is>
      </c>
      <c r="E734" s="9">
        <f>K733</f>
        <v/>
      </c>
      <c r="F734" s="9" t="n">
        <v>1540</v>
      </c>
      <c r="G734" s="9" t="n">
        <v>4800</v>
      </c>
      <c r="H734" s="9" t="n">
        <v>0</v>
      </c>
      <c r="I734" s="9" t="n">
        <v>0</v>
      </c>
      <c r="J734" s="9" t="n">
        <v>0</v>
      </c>
      <c r="K734" s="9">
        <f>E734+F734+G734+H734+I734-J734</f>
        <v/>
      </c>
      <c r="L734" s="10">
        <f>Q733</f>
        <v/>
      </c>
      <c r="M734" s="10" t="n">
        <v>85</v>
      </c>
      <c r="N734" s="10" t="n">
        <v>11</v>
      </c>
      <c r="O734" s="10">
        <f>J734/160</f>
        <v/>
      </c>
      <c r="P734" s="10" t="n">
        <v>90</v>
      </c>
      <c r="Q734" s="10">
        <f>L734+M734+N734+O734-P734</f>
        <v/>
      </c>
      <c r="R734" s="11">
        <f>T733</f>
        <v/>
      </c>
      <c r="S734" s="11">
        <f>N(V734) + N(X734) + N(Z734)</f>
        <v/>
      </c>
      <c r="T734" s="11">
        <f>R734+P734-S734</f>
        <v/>
      </c>
      <c r="U734" s="11" t="inlineStr">
        <is>
          <t>是</t>
        </is>
      </c>
      <c r="V734" s="11" t="n">
        <v>48</v>
      </c>
      <c r="W734" s="11" t="inlineStr">
        <is>
          <t>是</t>
        </is>
      </c>
      <c r="X734" s="11" t="n">
        <v>48</v>
      </c>
      <c r="Y734" s="11" t="inlineStr">
        <is>
          <t>-</t>
        </is>
      </c>
      <c r="Z734" s="11" t="n">
        <v>0</v>
      </c>
      <c r="AA734" s="11" t="inlineStr">
        <is>
          <t>无</t>
        </is>
      </c>
      <c r="AB734" s="12">
        <f>AE733</f>
        <v/>
      </c>
      <c r="AC734" s="12" t="n">
        <v>4</v>
      </c>
      <c r="AD734" s="12" t="n">
        <v>0</v>
      </c>
      <c r="AE734" s="12">
        <f>AB734+AC734+AD734</f>
        <v/>
      </c>
      <c r="AF734" s="13">
        <f>AI733</f>
        <v/>
      </c>
      <c r="AG734" s="13" t="n">
        <v>0</v>
      </c>
      <c r="AH734" s="13" t="n">
        <v>0</v>
      </c>
      <c r="AI734" s="13">
        <f>AF734+AG734+AH734</f>
        <v/>
      </c>
      <c r="AJ734" s="14" t="n">
        <v>0</v>
      </c>
      <c r="AK734" s="14" t="n">
        <v>50</v>
      </c>
      <c r="AL734" s="14" t="n">
        <v>0</v>
      </c>
      <c r="AM734" s="14">
        <f>AJ734+AK734+AL734</f>
        <v/>
      </c>
      <c r="AN734" s="14">
        <f>AN733+AM734</f>
        <v/>
      </c>
    </row>
    <row r="735">
      <c r="A735" s="8" t="n">
        <v>29</v>
      </c>
      <c r="B735" s="8" t="n">
        <v>3</v>
      </c>
      <c r="C735" s="8" t="n">
        <v>2</v>
      </c>
      <c r="D735" s="8" t="inlineStr">
        <is>
          <t>月卡收益 [月卡续费-30元]</t>
        </is>
      </c>
      <c r="E735" s="9">
        <f>K734</f>
        <v/>
      </c>
      <c r="F735" s="9" t="n">
        <v>1540</v>
      </c>
      <c r="G735" s="9" t="n">
        <v>0</v>
      </c>
      <c r="H735" s="9" t="n">
        <v>0</v>
      </c>
      <c r="I735" s="9" t="n">
        <v>0</v>
      </c>
      <c r="J735" s="9" t="n">
        <v>4480</v>
      </c>
      <c r="K735" s="9">
        <f>E735+F735+G735+H735+I735-J735</f>
        <v/>
      </c>
      <c r="L735" s="10">
        <f>Q734</f>
        <v/>
      </c>
      <c r="M735" s="10" t="n">
        <v>0</v>
      </c>
      <c r="N735" s="10" t="n">
        <v>3</v>
      </c>
      <c r="O735" s="10">
        <f>J735/160</f>
        <v/>
      </c>
      <c r="P735" s="10" t="n">
        <v>40</v>
      </c>
      <c r="Q735" s="10">
        <f>L735+M735+N735+O735-P735</f>
        <v/>
      </c>
      <c r="R735" s="11">
        <f>T734</f>
        <v/>
      </c>
      <c r="S735" s="11">
        <f>N(V735) + N(X735) + N(Z735)</f>
        <v/>
      </c>
      <c r="T735" s="11">
        <f>R735+P735-S735</f>
        <v/>
      </c>
      <c r="U735" s="11" t="inlineStr">
        <is>
          <t>是</t>
        </is>
      </c>
      <c r="V735" s="11" t="n">
        <v>46</v>
      </c>
      <c r="W735" s="11" t="inlineStr">
        <is>
          <t>否</t>
        </is>
      </c>
      <c r="X735" s="11" t="inlineStr">
        <is>
          <t>-</t>
        </is>
      </c>
      <c r="Y735" s="11" t="inlineStr">
        <is>
          <t>-</t>
        </is>
      </c>
      <c r="Z735" s="11" t="n">
        <v>0</v>
      </c>
      <c r="AA735" s="11" t="inlineStr">
        <is>
          <t>无</t>
        </is>
      </c>
      <c r="AB735" s="12">
        <f>AE734</f>
        <v/>
      </c>
      <c r="AC735" s="12" t="n">
        <v>0</v>
      </c>
      <c r="AD735" s="12" t="n">
        <v>0</v>
      </c>
      <c r="AE735" s="12">
        <f>AB735+AC735+AD735</f>
        <v/>
      </c>
      <c r="AF735" s="13">
        <f>AI734</f>
        <v/>
      </c>
      <c r="AG735" s="13" t="n">
        <v>0</v>
      </c>
      <c r="AH735" s="13" t="n">
        <v>0</v>
      </c>
      <c r="AI735" s="13">
        <f>AF735+AG735+AH735</f>
        <v/>
      </c>
      <c r="AJ735" s="14" t="n">
        <v>30</v>
      </c>
      <c r="AK735" s="14" t="n">
        <v>0</v>
      </c>
      <c r="AL735" s="14" t="n">
        <v>0</v>
      </c>
      <c r="AM735" s="14">
        <f>AJ735+AK735+AL735</f>
        <v/>
      </c>
      <c r="AN735" s="14">
        <f>AN734+AM735</f>
        <v/>
      </c>
    </row>
    <row r="736">
      <c r="A736" s="8" t="n">
        <v>29</v>
      </c>
      <c r="B736" s="8" t="n">
        <v>4</v>
      </c>
      <c r="C736" s="8" t="n">
        <v>1</v>
      </c>
      <c r="D736" s="8" t="inlineStr">
        <is>
          <t>版本免费+义相逢 + 月卡收益</t>
        </is>
      </c>
      <c r="E736" s="9">
        <f>K735</f>
        <v/>
      </c>
      <c r="F736" s="9" t="n">
        <v>1540</v>
      </c>
      <c r="G736" s="9" t="n">
        <v>4800</v>
      </c>
      <c r="H736" s="9" t="n">
        <v>0</v>
      </c>
      <c r="I736" s="9" t="n">
        <v>0</v>
      </c>
      <c r="J736" s="9" t="n">
        <v>0</v>
      </c>
      <c r="K736" s="9">
        <f>E736+F736+G736+H736+I736-J736</f>
        <v/>
      </c>
      <c r="L736" s="10">
        <f>Q735</f>
        <v/>
      </c>
      <c r="M736" s="10" t="n">
        <v>85</v>
      </c>
      <c r="N736" s="10" t="n">
        <v>6</v>
      </c>
      <c r="O736" s="10">
        <f>J736/160</f>
        <v/>
      </c>
      <c r="P736" s="10" t="n">
        <v>60</v>
      </c>
      <c r="Q736" s="10">
        <f>L736+M736+N736+O736-P736</f>
        <v/>
      </c>
      <c r="R736" s="11">
        <f>T735</f>
        <v/>
      </c>
      <c r="S736" s="11">
        <f>N(V736) + N(X736) + N(Z736)</f>
        <v/>
      </c>
      <c r="T736" s="11">
        <f>R736+P736-S736</f>
        <v/>
      </c>
      <c r="U736" s="11" t="inlineStr">
        <is>
          <t>是</t>
        </is>
      </c>
      <c r="V736" s="11" t="n">
        <v>48</v>
      </c>
      <c r="W736" s="11" t="inlineStr">
        <is>
          <t>否</t>
        </is>
      </c>
      <c r="X736" s="11" t="inlineStr">
        <is>
          <t>-</t>
        </is>
      </c>
      <c r="Y736" s="11" t="inlineStr">
        <is>
          <t>-</t>
        </is>
      </c>
      <c r="Z736" s="11" t="n">
        <v>0</v>
      </c>
      <c r="AA736" s="11" t="inlineStr">
        <is>
          <t>垫到60抽</t>
        </is>
      </c>
      <c r="AB736" s="12">
        <f>AE735</f>
        <v/>
      </c>
      <c r="AC736" s="12" t="n">
        <v>4</v>
      </c>
      <c r="AD736" s="12" t="n">
        <v>0</v>
      </c>
      <c r="AE736" s="12">
        <f>AB736+AC736+AD736</f>
        <v/>
      </c>
      <c r="AF736" s="13">
        <f>AI735</f>
        <v/>
      </c>
      <c r="AG736" s="13" t="n">
        <v>0</v>
      </c>
      <c r="AH736" s="13" t="n">
        <v>0</v>
      </c>
      <c r="AI736" s="13">
        <f>AF736+AG736+AH736</f>
        <v/>
      </c>
      <c r="AJ736" s="14" t="n">
        <v>0</v>
      </c>
      <c r="AK736" s="14" t="n">
        <v>50</v>
      </c>
      <c r="AL736" s="14" t="n">
        <v>0</v>
      </c>
      <c r="AM736" s="14">
        <f>AJ736+AK736+AL736</f>
        <v/>
      </c>
      <c r="AN736" s="14">
        <f>AN735+AM736</f>
        <v/>
      </c>
    </row>
    <row r="737">
      <c r="A737" s="8" t="n">
        <v>29</v>
      </c>
      <c r="B737" s="8" t="n">
        <v>4</v>
      </c>
      <c r="C737" s="8" t="n">
        <v>2</v>
      </c>
      <c r="D737" s="8" t="inlineStr">
        <is>
          <t>月卡收益</t>
        </is>
      </c>
      <c r="E737" s="9">
        <f>K736</f>
        <v/>
      </c>
      <c r="F737" s="9" t="n">
        <v>1540</v>
      </c>
      <c r="G737" s="9" t="n">
        <v>0</v>
      </c>
      <c r="H737" s="9" t="n">
        <v>0</v>
      </c>
      <c r="I737" s="9" t="n">
        <v>0</v>
      </c>
      <c r="J737" s="9" t="n">
        <v>960</v>
      </c>
      <c r="K737" s="9">
        <f>E737+F737+G737+H737+I737-J737</f>
        <v/>
      </c>
      <c r="L737" s="10">
        <f>Q736</f>
        <v/>
      </c>
      <c r="M737" s="10" t="n">
        <v>0</v>
      </c>
      <c r="N737" s="10" t="n">
        <v>3</v>
      </c>
      <c r="O737" s="10">
        <f>J737/160</f>
        <v/>
      </c>
      <c r="P737" s="10" t="n">
        <v>40</v>
      </c>
      <c r="Q737" s="10">
        <f>L737+M737+N737+O737-P737</f>
        <v/>
      </c>
      <c r="R737" s="11">
        <f>T736</f>
        <v/>
      </c>
      <c r="S737" s="11">
        <f>N(V737) + N(X737) + N(Z737)</f>
        <v/>
      </c>
      <c r="T737" s="11">
        <f>R737+P737-S737</f>
        <v/>
      </c>
      <c r="U737" s="11" t="inlineStr">
        <is>
          <t>是</t>
        </is>
      </c>
      <c r="V737" s="11" t="n">
        <v>47</v>
      </c>
      <c r="W737" s="11" t="inlineStr">
        <is>
          <t>否</t>
        </is>
      </c>
      <c r="X737" s="11" t="inlineStr">
        <is>
          <t>-</t>
        </is>
      </c>
      <c r="Y737" s="11" t="inlineStr">
        <is>
          <t>-</t>
        </is>
      </c>
      <c r="Z737" s="11" t="n">
        <v>0</v>
      </c>
      <c r="AA737" s="11" t="inlineStr">
        <is>
          <t>无</t>
        </is>
      </c>
      <c r="AB737" s="12">
        <f>AE736</f>
        <v/>
      </c>
      <c r="AC737" s="12" t="n">
        <v>0</v>
      </c>
      <c r="AD737" s="12" t="n">
        <v>0</v>
      </c>
      <c r="AE737" s="12">
        <f>AB737+AC737+AD737</f>
        <v/>
      </c>
      <c r="AF737" s="13">
        <f>AI736</f>
        <v/>
      </c>
      <c r="AG737" s="13" t="n">
        <v>0</v>
      </c>
      <c r="AH737" s="13" t="n">
        <v>0</v>
      </c>
      <c r="AI737" s="13">
        <f>AF737+AG737+AH737</f>
        <v/>
      </c>
      <c r="AJ737" s="14" t="n">
        <v>0</v>
      </c>
      <c r="AK737" s="14" t="n">
        <v>0</v>
      </c>
      <c r="AL737" s="14" t="n">
        <v>0</v>
      </c>
      <c r="AM737" s="14">
        <f>AJ737+AK737+AL737</f>
        <v/>
      </c>
      <c r="AN737" s="14">
        <f>AN736+AM737</f>
        <v/>
      </c>
    </row>
    <row r="738">
      <c r="A738" s="8" t="n">
        <v>29</v>
      </c>
      <c r="B738" s="8" t="n">
        <v>5</v>
      </c>
      <c r="C738" s="8" t="n">
        <v>1</v>
      </c>
      <c r="D738" s="8" t="inlineStr">
        <is>
          <t>版本免费+义相逢 + 月卡收益 [月卡续费-30元]</t>
        </is>
      </c>
      <c r="E738" s="9">
        <f>K737</f>
        <v/>
      </c>
      <c r="F738" s="9" t="n">
        <v>1540</v>
      </c>
      <c r="G738" s="9" t="n">
        <v>4800</v>
      </c>
      <c r="H738" s="9" t="n">
        <v>0</v>
      </c>
      <c r="I738" s="9" t="n">
        <v>0</v>
      </c>
      <c r="J738" s="9" t="n">
        <v>0</v>
      </c>
      <c r="K738" s="9">
        <f>E738+F738+G738+H738+I738-J738</f>
        <v/>
      </c>
      <c r="L738" s="10">
        <f>Q737</f>
        <v/>
      </c>
      <c r="M738" s="10" t="n">
        <v>85</v>
      </c>
      <c r="N738" s="10" t="n">
        <v>6</v>
      </c>
      <c r="O738" s="10">
        <f>J738/160</f>
        <v/>
      </c>
      <c r="P738" s="10" t="n">
        <v>60</v>
      </c>
      <c r="Q738" s="10">
        <f>L738+M738+N738+O738-P738</f>
        <v/>
      </c>
      <c r="R738" s="11">
        <f>T737</f>
        <v/>
      </c>
      <c r="S738" s="11">
        <f>N(V738) + N(X738) + N(Z738)</f>
        <v/>
      </c>
      <c r="T738" s="11">
        <f>R738+P738-S738</f>
        <v/>
      </c>
      <c r="U738" s="11" t="inlineStr">
        <is>
          <t>是</t>
        </is>
      </c>
      <c r="V738" s="11" t="n">
        <v>46</v>
      </c>
      <c r="W738" s="11" t="inlineStr">
        <is>
          <t>否</t>
        </is>
      </c>
      <c r="X738" s="11" t="inlineStr">
        <is>
          <t>-</t>
        </is>
      </c>
      <c r="Y738" s="11" t="inlineStr">
        <is>
          <t>-</t>
        </is>
      </c>
      <c r="Z738" s="11" t="n">
        <v>0</v>
      </c>
      <c r="AA738" s="11" t="inlineStr">
        <is>
          <t>垫到60抽</t>
        </is>
      </c>
      <c r="AB738" s="12">
        <f>AE737</f>
        <v/>
      </c>
      <c r="AC738" s="12" t="n">
        <v>4</v>
      </c>
      <c r="AD738" s="12" t="n">
        <v>0</v>
      </c>
      <c r="AE738" s="12">
        <f>AB738+AC738+AD738</f>
        <v/>
      </c>
      <c r="AF738" s="13">
        <f>AI737</f>
        <v/>
      </c>
      <c r="AG738" s="13" t="n">
        <v>0</v>
      </c>
      <c r="AH738" s="13" t="n">
        <v>0</v>
      </c>
      <c r="AI738" s="13">
        <f>AF738+AG738+AH738</f>
        <v/>
      </c>
      <c r="AJ738" s="14" t="n">
        <v>30</v>
      </c>
      <c r="AK738" s="14" t="n">
        <v>50</v>
      </c>
      <c r="AL738" s="14" t="n">
        <v>0</v>
      </c>
      <c r="AM738" s="14">
        <f>AJ738+AK738+AL738</f>
        <v/>
      </c>
      <c r="AN738" s="14">
        <f>AN737+AM738</f>
        <v/>
      </c>
    </row>
    <row r="739">
      <c r="A739" s="8" t="n">
        <v>29</v>
      </c>
      <c r="B739" s="8" t="n">
        <v>5</v>
      </c>
      <c r="C739" s="8" t="n">
        <v>2</v>
      </c>
      <c r="D739" s="8" t="inlineStr">
        <is>
          <t>月卡收益</t>
        </is>
      </c>
      <c r="E739" s="9">
        <f>K738</f>
        <v/>
      </c>
      <c r="F739" s="9" t="n">
        <v>1540</v>
      </c>
      <c r="G739" s="9" t="n">
        <v>0</v>
      </c>
      <c r="H739" s="9" t="n">
        <v>0</v>
      </c>
      <c r="I739" s="9" t="n">
        <v>0</v>
      </c>
      <c r="J739" s="9" t="n">
        <v>8480</v>
      </c>
      <c r="K739" s="9">
        <f>E739+F739+G739+H739+I739-J739</f>
        <v/>
      </c>
      <c r="L739" s="10">
        <f>Q738</f>
        <v/>
      </c>
      <c r="M739" s="10" t="n">
        <v>0</v>
      </c>
      <c r="N739" s="10" t="n">
        <v>11</v>
      </c>
      <c r="O739" s="10">
        <f>J739/160</f>
        <v/>
      </c>
      <c r="P739" s="10" t="n">
        <v>90</v>
      </c>
      <c r="Q739" s="10">
        <f>L739+M739+N739+O739-P739</f>
        <v/>
      </c>
      <c r="R739" s="11">
        <f>T738</f>
        <v/>
      </c>
      <c r="S739" s="11">
        <f>N(V739) + N(X739) + N(Z739)</f>
        <v/>
      </c>
      <c r="T739" s="11">
        <f>R739+P739-S739</f>
        <v/>
      </c>
      <c r="U739" s="11" t="inlineStr">
        <is>
          <t>是</t>
        </is>
      </c>
      <c r="V739" s="11" t="n">
        <v>47</v>
      </c>
      <c r="W739" s="11" t="inlineStr">
        <is>
          <t>是</t>
        </is>
      </c>
      <c r="X739" s="11" t="n">
        <v>49</v>
      </c>
      <c r="Y739" s="11" t="inlineStr">
        <is>
          <t>-</t>
        </is>
      </c>
      <c r="Z739" s="11" t="n">
        <v>0</v>
      </c>
      <c r="AA739" s="11" t="inlineStr">
        <is>
          <t>垫到90抽</t>
        </is>
      </c>
      <c r="AB739" s="12">
        <f>AE738</f>
        <v/>
      </c>
      <c r="AC739" s="12" t="n">
        <v>0</v>
      </c>
      <c r="AD739" s="12" t="n">
        <v>0</v>
      </c>
      <c r="AE739" s="12">
        <f>AB739+AC739+AD739</f>
        <v/>
      </c>
      <c r="AF739" s="13">
        <f>AI738</f>
        <v/>
      </c>
      <c r="AG739" s="13" t="n">
        <v>0</v>
      </c>
      <c r="AH739" s="13" t="n">
        <v>0</v>
      </c>
      <c r="AI739" s="13">
        <f>AF739+AG739+AH739</f>
        <v/>
      </c>
      <c r="AJ739" s="14" t="n">
        <v>0</v>
      </c>
      <c r="AK739" s="14" t="n">
        <v>0</v>
      </c>
      <c r="AL739" s="14" t="n">
        <v>0</v>
      </c>
      <c r="AM739" s="14">
        <f>AJ739+AK739+AL739</f>
        <v/>
      </c>
      <c r="AN739" s="14">
        <f>AN738+AM739</f>
        <v/>
      </c>
    </row>
    <row r="740">
      <c r="A740" s="8" t="n">
        <v>29</v>
      </c>
      <c r="B740" s="8" t="n">
        <v>6</v>
      </c>
      <c r="C740" s="8" t="n">
        <v>1</v>
      </c>
      <c r="D740" s="8" t="inlineStr">
        <is>
          <t>版本免费+义相逢 + 月卡收益 [月卡续费-30元]</t>
        </is>
      </c>
      <c r="E740" s="9">
        <f>K739</f>
        <v/>
      </c>
      <c r="F740" s="9" t="n">
        <v>1540</v>
      </c>
      <c r="G740" s="9" t="n">
        <v>4800</v>
      </c>
      <c r="H740" s="9" t="n">
        <v>0</v>
      </c>
      <c r="I740" s="9" t="n">
        <v>0</v>
      </c>
      <c r="J740" s="9" t="n">
        <v>0</v>
      </c>
      <c r="K740" s="9">
        <f>E740+F740+G740+H740+I740-J740</f>
        <v/>
      </c>
      <c r="L740" s="10">
        <f>Q739</f>
        <v/>
      </c>
      <c r="M740" s="10" t="n">
        <v>85</v>
      </c>
      <c r="N740" s="10" t="n">
        <v>11</v>
      </c>
      <c r="O740" s="10">
        <f>J740/160</f>
        <v/>
      </c>
      <c r="P740" s="10" t="n">
        <v>90</v>
      </c>
      <c r="Q740" s="10">
        <f>L740+M740+N740+O740-P740</f>
        <v/>
      </c>
      <c r="R740" s="11">
        <f>T739</f>
        <v/>
      </c>
      <c r="S740" s="11">
        <f>N(V740) + N(X740) + N(Z740)</f>
        <v/>
      </c>
      <c r="T740" s="11">
        <f>R740+P740-S740</f>
        <v/>
      </c>
      <c r="U740" s="11" t="inlineStr">
        <is>
          <t>是</t>
        </is>
      </c>
      <c r="V740" s="11" t="n">
        <v>47</v>
      </c>
      <c r="W740" s="11" t="inlineStr">
        <is>
          <t>是</t>
        </is>
      </c>
      <c r="X740" s="11" t="n">
        <v>49</v>
      </c>
      <c r="Y740" s="11" t="inlineStr">
        <is>
          <t>-</t>
        </is>
      </c>
      <c r="Z740" s="11" t="n">
        <v>0</v>
      </c>
      <c r="AA740" s="11" t="inlineStr">
        <is>
          <t>无</t>
        </is>
      </c>
      <c r="AB740" s="12">
        <f>AE739</f>
        <v/>
      </c>
      <c r="AC740" s="12" t="n">
        <v>4</v>
      </c>
      <c r="AD740" s="12" t="n">
        <v>0</v>
      </c>
      <c r="AE740" s="12">
        <f>AB740+AC740+AD740</f>
        <v/>
      </c>
      <c r="AF740" s="13">
        <f>AI739</f>
        <v/>
      </c>
      <c r="AG740" s="13" t="n">
        <v>0</v>
      </c>
      <c r="AH740" s="13" t="n">
        <v>0</v>
      </c>
      <c r="AI740" s="13">
        <f>AF740+AG740+AH740</f>
        <v/>
      </c>
      <c r="AJ740" s="14" t="n">
        <v>30</v>
      </c>
      <c r="AK740" s="14" t="n">
        <v>50</v>
      </c>
      <c r="AL740" s="14" t="n">
        <v>0</v>
      </c>
      <c r="AM740" s="14">
        <f>AJ740+AK740+AL740</f>
        <v/>
      </c>
      <c r="AN740" s="14">
        <f>AN739+AM740</f>
        <v/>
      </c>
    </row>
    <row r="741">
      <c r="A741" s="8" t="n">
        <v>29</v>
      </c>
      <c r="B741" s="8" t="n">
        <v>6</v>
      </c>
      <c r="C741" s="8" t="n">
        <v>2</v>
      </c>
      <c r="D741" s="8" t="inlineStr">
        <is>
          <t>月卡收益</t>
        </is>
      </c>
      <c r="E741" s="9">
        <f>K740</f>
        <v/>
      </c>
      <c r="F741" s="9" t="n">
        <v>1540</v>
      </c>
      <c r="G741" s="9" t="n">
        <v>0</v>
      </c>
      <c r="H741" s="9" t="n">
        <v>0</v>
      </c>
      <c r="I741" s="9" t="n">
        <v>0</v>
      </c>
      <c r="J741" s="9" t="n">
        <v>12480</v>
      </c>
      <c r="K741" s="9">
        <f>E741+F741+G741+H741+I741-J741</f>
        <v/>
      </c>
      <c r="L741" s="10">
        <f>Q740</f>
        <v/>
      </c>
      <c r="M741" s="10" t="n">
        <v>0</v>
      </c>
      <c r="N741" s="10" t="n">
        <v>11</v>
      </c>
      <c r="O741" s="10">
        <f>J741/160</f>
        <v/>
      </c>
      <c r="P741" s="10" t="n">
        <v>100</v>
      </c>
      <c r="Q741" s="10">
        <f>L741+M741+N741+O741-P741</f>
        <v/>
      </c>
      <c r="R741" s="11">
        <f>T740</f>
        <v/>
      </c>
      <c r="S741" s="11">
        <f>N(V741) + N(X741) + N(Z741)</f>
        <v/>
      </c>
      <c r="T741" s="11">
        <f>R741+P741-S741</f>
        <v/>
      </c>
      <c r="U741" s="11" t="inlineStr">
        <is>
          <t>是</t>
        </is>
      </c>
      <c r="V741" s="11" t="n">
        <v>50</v>
      </c>
      <c r="W741" s="11" t="inlineStr">
        <is>
          <t>是</t>
        </is>
      </c>
      <c r="X741" s="11" t="n">
        <v>51</v>
      </c>
      <c r="Y741" s="11" t="inlineStr">
        <is>
          <t>-</t>
        </is>
      </c>
      <c r="Z741" s="11" t="n">
        <v>0</v>
      </c>
      <c r="AA741" s="11" t="inlineStr">
        <is>
          <t>无</t>
        </is>
      </c>
      <c r="AB741" s="12">
        <f>AE740</f>
        <v/>
      </c>
      <c r="AC741" s="12" t="n">
        <v>0</v>
      </c>
      <c r="AD741" s="12" t="n">
        <v>0</v>
      </c>
      <c r="AE741" s="12">
        <f>AB741+AC741+AD741</f>
        <v/>
      </c>
      <c r="AF741" s="13">
        <f>AI740</f>
        <v/>
      </c>
      <c r="AG741" s="13" t="n">
        <v>0</v>
      </c>
      <c r="AH741" s="13" t="n">
        <v>0</v>
      </c>
      <c r="AI741" s="13">
        <f>AF741+AG741+AH741</f>
        <v/>
      </c>
      <c r="AJ741" s="14" t="n">
        <v>0</v>
      </c>
      <c r="AK741" s="14" t="n">
        <v>0</v>
      </c>
      <c r="AL741" s="14" t="n">
        <v>0</v>
      </c>
      <c r="AM741" s="14">
        <f>AJ741+AK741+AL741</f>
        <v/>
      </c>
      <c r="AN741" s="14">
        <f>AN740+AM741</f>
        <v/>
      </c>
    </row>
    <row r="742">
      <c r="A742" s="8" t="n">
        <v>29</v>
      </c>
      <c r="B742" s="8" t="n">
        <v>7</v>
      </c>
      <c r="C742" s="8" t="n">
        <v>1</v>
      </c>
      <c r="D742" s="8" t="inlineStr">
        <is>
          <t>版本免费+义相逢 + 月卡收益 [月卡续费-30元]</t>
        </is>
      </c>
      <c r="E742" s="9">
        <f>K741</f>
        <v/>
      </c>
      <c r="F742" s="9" t="n">
        <v>1540</v>
      </c>
      <c r="G742" s="9" t="n">
        <v>4800</v>
      </c>
      <c r="H742" s="9" t="n">
        <v>0</v>
      </c>
      <c r="I742" s="9" t="n">
        <v>0</v>
      </c>
      <c r="J742" s="9" t="n">
        <v>640</v>
      </c>
      <c r="K742" s="9">
        <f>E742+F742+G742+H742+I742-J742</f>
        <v/>
      </c>
      <c r="L742" s="10">
        <f>Q741</f>
        <v/>
      </c>
      <c r="M742" s="10" t="n">
        <v>85</v>
      </c>
      <c r="N742" s="10" t="n">
        <v>11</v>
      </c>
      <c r="O742" s="10">
        <f>J742/160</f>
        <v/>
      </c>
      <c r="P742" s="10" t="n">
        <v>100</v>
      </c>
      <c r="Q742" s="10">
        <f>L742+M742+N742+O742-P742</f>
        <v/>
      </c>
      <c r="R742" s="11">
        <f>T741</f>
        <v/>
      </c>
      <c r="S742" s="11">
        <f>N(V742) + N(X742) + N(Z742)</f>
        <v/>
      </c>
      <c r="T742" s="11">
        <f>R742+P742-S742</f>
        <v/>
      </c>
      <c r="U742" s="11" t="inlineStr">
        <is>
          <t>是</t>
        </is>
      </c>
      <c r="V742" s="11" t="n">
        <v>52</v>
      </c>
      <c r="W742" s="11" t="inlineStr">
        <is>
          <t>是</t>
        </is>
      </c>
      <c r="X742" s="11" t="n">
        <v>51</v>
      </c>
      <c r="Y742" s="11" t="inlineStr">
        <is>
          <t>-</t>
        </is>
      </c>
      <c r="Z742" s="11" t="n">
        <v>0</v>
      </c>
      <c r="AA742" s="11" t="inlineStr">
        <is>
          <t>无</t>
        </is>
      </c>
      <c r="AB742" s="12">
        <f>AE741</f>
        <v/>
      </c>
      <c r="AC742" s="12" t="n">
        <v>4</v>
      </c>
      <c r="AD742" s="12" t="n">
        <v>0</v>
      </c>
      <c r="AE742" s="12">
        <f>AB742+AC742+AD742</f>
        <v/>
      </c>
      <c r="AF742" s="13">
        <f>AI741</f>
        <v/>
      </c>
      <c r="AG742" s="13" t="n">
        <v>0</v>
      </c>
      <c r="AH742" s="13" t="n">
        <v>0</v>
      </c>
      <c r="AI742" s="13">
        <f>AF742+AG742+AH742</f>
        <v/>
      </c>
      <c r="AJ742" s="14" t="n">
        <v>30</v>
      </c>
      <c r="AK742" s="14" t="n">
        <v>50</v>
      </c>
      <c r="AL742" s="14" t="n">
        <v>0</v>
      </c>
      <c r="AM742" s="14">
        <f>AJ742+AK742+AL742</f>
        <v/>
      </c>
      <c r="AN742" s="14">
        <f>AN741+AM742</f>
        <v/>
      </c>
    </row>
    <row r="743">
      <c r="A743" s="8" t="n">
        <v>29</v>
      </c>
      <c r="B743" s="8" t="n">
        <v>7</v>
      </c>
      <c r="C743" s="8" t="n">
        <v>2</v>
      </c>
      <c r="D743" s="8" t="inlineStr">
        <is>
          <t>月卡收益</t>
        </is>
      </c>
      <c r="E743" s="9">
        <f>K742</f>
        <v/>
      </c>
      <c r="F743" s="9" t="n">
        <v>1540</v>
      </c>
      <c r="G743" s="9" t="n">
        <v>0</v>
      </c>
      <c r="H743" s="9" t="n">
        <v>0</v>
      </c>
      <c r="I743" s="9" t="n">
        <v>0</v>
      </c>
      <c r="J743" s="9" t="n">
        <v>14240</v>
      </c>
      <c r="K743" s="9">
        <f>E743+F743+G743+H743+I743-J743</f>
        <v/>
      </c>
      <c r="L743" s="10">
        <f>Q742</f>
        <v/>
      </c>
      <c r="M743" s="10" t="n">
        <v>0</v>
      </c>
      <c r="N743" s="10" t="n">
        <v>11</v>
      </c>
      <c r="O743" s="10">
        <f>J743/160</f>
        <v/>
      </c>
      <c r="P743" s="10" t="n">
        <v>100</v>
      </c>
      <c r="Q743" s="10">
        <f>L743+M743+N743+O743-P743</f>
        <v/>
      </c>
      <c r="R743" s="11">
        <f>T742</f>
        <v/>
      </c>
      <c r="S743" s="11">
        <f>N(V743) + N(X743) + N(Z743)</f>
        <v/>
      </c>
      <c r="T743" s="11">
        <f>R743+P743-S743</f>
        <v/>
      </c>
      <c r="U743" s="11" t="inlineStr">
        <is>
          <t>是</t>
        </is>
      </c>
      <c r="V743" s="11" t="n">
        <v>54</v>
      </c>
      <c r="W743" s="11" t="inlineStr">
        <is>
          <t>是</t>
        </is>
      </c>
      <c r="X743" s="11" t="n">
        <v>47</v>
      </c>
      <c r="Y743" s="11" t="inlineStr">
        <is>
          <t>-</t>
        </is>
      </c>
      <c r="Z743" s="11" t="n">
        <v>0</v>
      </c>
      <c r="AA743" s="11" t="inlineStr">
        <is>
          <t>无</t>
        </is>
      </c>
      <c r="AB743" s="12">
        <f>AE742</f>
        <v/>
      </c>
      <c r="AC743" s="12" t="n">
        <v>0</v>
      </c>
      <c r="AD743" s="12" t="n">
        <v>0</v>
      </c>
      <c r="AE743" s="12">
        <f>AB743+AC743+AD743</f>
        <v/>
      </c>
      <c r="AF743" s="13">
        <f>AI742</f>
        <v/>
      </c>
      <c r="AG743" s="13" t="n">
        <v>0</v>
      </c>
      <c r="AH743" s="13" t="n">
        <v>0</v>
      </c>
      <c r="AI743" s="13">
        <f>AF743+AG743+AH743</f>
        <v/>
      </c>
      <c r="AJ743" s="14" t="n">
        <v>0</v>
      </c>
      <c r="AK743" s="14" t="n">
        <v>0</v>
      </c>
      <c r="AL743" s="14" t="n">
        <v>0</v>
      </c>
      <c r="AM743" s="14">
        <f>AJ743+AK743+AL743</f>
        <v/>
      </c>
      <c r="AN743" s="14">
        <f>AN742+AM743</f>
        <v/>
      </c>
    </row>
    <row r="744">
      <c r="A744" s="8" t="n">
        <v>29</v>
      </c>
      <c r="B744" s="8" t="n">
        <v>8</v>
      </c>
      <c r="C744" s="8" t="n">
        <v>1</v>
      </c>
      <c r="D744" s="8" t="inlineStr">
        <is>
          <t>版本免费+义相逢 + 月卡收益 [月卡续费-30元]</t>
        </is>
      </c>
      <c r="E744" s="9">
        <f>K743</f>
        <v/>
      </c>
      <c r="F744" s="9" t="n">
        <v>1540</v>
      </c>
      <c r="G744" s="9" t="n">
        <v>4800</v>
      </c>
      <c r="H744" s="9" t="n">
        <v>0</v>
      </c>
      <c r="I744" s="9" t="n">
        <v>0</v>
      </c>
      <c r="J744" s="9" t="n">
        <v>640</v>
      </c>
      <c r="K744" s="9">
        <f>E744+F744+G744+H744+I744-J744</f>
        <v/>
      </c>
      <c r="L744" s="10">
        <f>Q743</f>
        <v/>
      </c>
      <c r="M744" s="10" t="n">
        <v>85</v>
      </c>
      <c r="N744" s="10" t="n">
        <v>11</v>
      </c>
      <c r="O744" s="10">
        <f>J744/160</f>
        <v/>
      </c>
      <c r="P744" s="10" t="n">
        <v>100</v>
      </c>
      <c r="Q744" s="10">
        <f>L744+M744+N744+O744-P744</f>
        <v/>
      </c>
      <c r="R744" s="11">
        <f>T743</f>
        <v/>
      </c>
      <c r="S744" s="11">
        <f>N(V744) + N(X744) + N(Z744)</f>
        <v/>
      </c>
      <c r="T744" s="11">
        <f>R744+P744-S744</f>
        <v/>
      </c>
      <c r="U744" s="11" t="inlineStr">
        <is>
          <t>是</t>
        </is>
      </c>
      <c r="V744" s="11" t="n">
        <v>51</v>
      </c>
      <c r="W744" s="11" t="inlineStr">
        <is>
          <t>是</t>
        </is>
      </c>
      <c r="X744" s="11" t="n">
        <v>51</v>
      </c>
      <c r="Y744" s="11" t="inlineStr">
        <is>
          <t>-</t>
        </is>
      </c>
      <c r="Z744" s="11" t="n">
        <v>0</v>
      </c>
      <c r="AA744" s="11" t="inlineStr">
        <is>
          <t>无</t>
        </is>
      </c>
      <c r="AB744" s="12">
        <f>AE743</f>
        <v/>
      </c>
      <c r="AC744" s="12" t="n">
        <v>4</v>
      </c>
      <c r="AD744" s="12" t="n">
        <v>0</v>
      </c>
      <c r="AE744" s="12">
        <f>AB744+AC744+AD744</f>
        <v/>
      </c>
      <c r="AF744" s="13">
        <f>AI743</f>
        <v/>
      </c>
      <c r="AG744" s="13" t="n">
        <v>0</v>
      </c>
      <c r="AH744" s="13" t="n">
        <v>0</v>
      </c>
      <c r="AI744" s="13">
        <f>AF744+AG744+AH744</f>
        <v/>
      </c>
      <c r="AJ744" s="14" t="n">
        <v>30</v>
      </c>
      <c r="AK744" s="14" t="n">
        <v>50</v>
      </c>
      <c r="AL744" s="14" t="n">
        <v>0</v>
      </c>
      <c r="AM744" s="14">
        <f>AJ744+AK744+AL744</f>
        <v/>
      </c>
      <c r="AN744" s="14">
        <f>AN743+AM744</f>
        <v/>
      </c>
    </row>
    <row r="745">
      <c r="A745" s="8" t="n">
        <v>29</v>
      </c>
      <c r="B745" s="8" t="n">
        <v>8</v>
      </c>
      <c r="C745" s="8" t="n">
        <v>2</v>
      </c>
      <c r="D745" s="8" t="inlineStr">
        <is>
          <t>月卡收益</t>
        </is>
      </c>
      <c r="E745" s="9">
        <f>K744</f>
        <v/>
      </c>
      <c r="F745" s="9" t="n">
        <v>1540</v>
      </c>
      <c r="G745" s="9" t="n">
        <v>0</v>
      </c>
      <c r="H745" s="9" t="n">
        <v>0</v>
      </c>
      <c r="I745" s="9" t="n">
        <v>0</v>
      </c>
      <c r="J745" s="9" t="n">
        <v>1600</v>
      </c>
      <c r="K745" s="9">
        <f>E745+F745+G745+H745+I745-J745</f>
        <v/>
      </c>
      <c r="L745" s="10">
        <f>Q744</f>
        <v/>
      </c>
      <c r="M745" s="10" t="n">
        <v>0</v>
      </c>
      <c r="N745" s="10" t="n">
        <v>1</v>
      </c>
      <c r="O745" s="10">
        <f>J745/160</f>
        <v/>
      </c>
      <c r="P745" s="10" t="n">
        <v>10</v>
      </c>
      <c r="Q745" s="10">
        <f>L745+M745+N745+O745-P745</f>
        <v/>
      </c>
      <c r="R745" s="11">
        <f>T744</f>
        <v/>
      </c>
      <c r="S745" s="11">
        <f>N(V745) + N(X745) + N(Z745)</f>
        <v/>
      </c>
      <c r="T745" s="11">
        <f>R745+P745-S745</f>
        <v/>
      </c>
      <c r="U745" s="11" t="inlineStr">
        <is>
          <t>是</t>
        </is>
      </c>
      <c r="V745" s="11" t="n">
        <v>2</v>
      </c>
      <c r="W745" s="11" t="inlineStr">
        <is>
          <t>否</t>
        </is>
      </c>
      <c r="X745" s="11" t="inlineStr">
        <is>
          <t>-</t>
        </is>
      </c>
      <c r="Y745" s="11" t="inlineStr">
        <is>
          <t>-</t>
        </is>
      </c>
      <c r="Z745" s="11" t="n">
        <v>0</v>
      </c>
      <c r="AA745" s="11" t="inlineStr">
        <is>
          <t>无</t>
        </is>
      </c>
      <c r="AB745" s="12">
        <f>AE744</f>
        <v/>
      </c>
      <c r="AC745" s="12" t="n">
        <v>0</v>
      </c>
      <c r="AD745" s="12" t="n">
        <v>0</v>
      </c>
      <c r="AE745" s="12">
        <f>AB745+AC745+AD745</f>
        <v/>
      </c>
      <c r="AF745" s="13">
        <f>AI744</f>
        <v/>
      </c>
      <c r="AG745" s="13" t="n">
        <v>0</v>
      </c>
      <c r="AH745" s="13" t="n">
        <v>0</v>
      </c>
      <c r="AI745" s="13">
        <f>AF745+AG745+AH745</f>
        <v/>
      </c>
      <c r="AJ745" s="14" t="n">
        <v>0</v>
      </c>
      <c r="AK745" s="14" t="n">
        <v>0</v>
      </c>
      <c r="AL745" s="14" t="n">
        <v>0</v>
      </c>
      <c r="AM745" s="14">
        <f>AJ745+AK745+AL745</f>
        <v/>
      </c>
      <c r="AN745" s="14">
        <f>AN744+AM745</f>
        <v/>
      </c>
    </row>
    <row r="746">
      <c r="A746" s="8" t="n">
        <v>29</v>
      </c>
      <c r="B746" s="8" t="n">
        <v>9</v>
      </c>
      <c r="C746" s="8" t="n">
        <v>1</v>
      </c>
      <c r="D746" s="8" t="inlineStr">
        <is>
          <t>版本免费+义相逢 + 月卡收益 [月卡续费-30元]</t>
        </is>
      </c>
      <c r="E746" s="9">
        <f>K745</f>
        <v/>
      </c>
      <c r="F746" s="9" t="n">
        <v>1540</v>
      </c>
      <c r="G746" s="9" t="n">
        <v>4800</v>
      </c>
      <c r="H746" s="9" t="n">
        <v>0</v>
      </c>
      <c r="I746" s="9" t="n">
        <v>0</v>
      </c>
      <c r="J746" s="9" t="n">
        <v>0</v>
      </c>
      <c r="K746" s="9">
        <f>E746+F746+G746+H746+I746-J746</f>
        <v/>
      </c>
      <c r="L746" s="10">
        <f>Q745</f>
        <v/>
      </c>
      <c r="M746" s="10" t="n">
        <v>85</v>
      </c>
      <c r="N746" s="10" t="n">
        <v>11</v>
      </c>
      <c r="O746" s="10">
        <f>J746/160</f>
        <v/>
      </c>
      <c r="P746" s="10" t="n">
        <v>90</v>
      </c>
      <c r="Q746" s="10">
        <f>L746+M746+N746+O746-P746</f>
        <v/>
      </c>
      <c r="R746" s="11">
        <f>T745</f>
        <v/>
      </c>
      <c r="S746" s="11">
        <f>N(V746) + N(X746) + N(Z746)</f>
        <v/>
      </c>
      <c r="T746" s="11">
        <f>R746+P746-S746</f>
        <v/>
      </c>
      <c r="U746" s="11" t="inlineStr">
        <is>
          <t>是</t>
        </is>
      </c>
      <c r="V746" s="11" t="n">
        <v>48</v>
      </c>
      <c r="W746" s="11" t="inlineStr">
        <is>
          <t>是</t>
        </is>
      </c>
      <c r="X746" s="11" t="n">
        <v>50</v>
      </c>
      <c r="Y746" s="11" t="inlineStr">
        <is>
          <t>-</t>
        </is>
      </c>
      <c r="Z746" s="11" t="n">
        <v>0</v>
      </c>
      <c r="AA746" s="11" t="inlineStr">
        <is>
          <t>无</t>
        </is>
      </c>
      <c r="AB746" s="12">
        <f>AE745</f>
        <v/>
      </c>
      <c r="AC746" s="12" t="n">
        <v>4</v>
      </c>
      <c r="AD746" s="12" t="n">
        <v>0</v>
      </c>
      <c r="AE746" s="12">
        <f>AB746+AC746+AD746</f>
        <v/>
      </c>
      <c r="AF746" s="13">
        <f>AI745</f>
        <v/>
      </c>
      <c r="AG746" s="13" t="n">
        <v>0</v>
      </c>
      <c r="AH746" s="13" t="n">
        <v>0</v>
      </c>
      <c r="AI746" s="13">
        <f>AF746+AG746+AH746</f>
        <v/>
      </c>
      <c r="AJ746" s="14" t="n">
        <v>30</v>
      </c>
      <c r="AK746" s="14" t="n">
        <v>50</v>
      </c>
      <c r="AL746" s="14" t="n">
        <v>0</v>
      </c>
      <c r="AM746" s="14">
        <f>AJ746+AK746+AL746</f>
        <v/>
      </c>
      <c r="AN746" s="14">
        <f>AN745+AM746</f>
        <v/>
      </c>
    </row>
    <row r="747">
      <c r="A747" s="8" t="n">
        <v>29</v>
      </c>
      <c r="B747" s="8" t="n">
        <v>9</v>
      </c>
      <c r="C747" s="8" t="n">
        <v>2</v>
      </c>
      <c r="D747" s="8" t="inlineStr">
        <is>
          <t>月卡收益</t>
        </is>
      </c>
      <c r="E747" s="9">
        <f>K746</f>
        <v/>
      </c>
      <c r="F747" s="9" t="n">
        <v>1540</v>
      </c>
      <c r="G747" s="9" t="n">
        <v>0</v>
      </c>
      <c r="H747" s="9" t="n">
        <v>0</v>
      </c>
      <c r="I747" s="9" t="n">
        <v>0</v>
      </c>
      <c r="J747" s="9" t="n">
        <v>8000</v>
      </c>
      <c r="K747" s="9">
        <f>E747+F747+G747+H747+I747-J747</f>
        <v/>
      </c>
      <c r="L747" s="10">
        <f>Q746</f>
        <v/>
      </c>
      <c r="M747" s="10" t="n">
        <v>0</v>
      </c>
      <c r="N747" s="10" t="n">
        <v>6</v>
      </c>
      <c r="O747" s="10">
        <f>J747/160</f>
        <v/>
      </c>
      <c r="P747" s="10" t="n">
        <v>60</v>
      </c>
      <c r="Q747" s="10">
        <f>L747+M747+N747+O747-P747</f>
        <v/>
      </c>
      <c r="R747" s="11">
        <f>T746</f>
        <v/>
      </c>
      <c r="S747" s="11">
        <f>N(V747) + N(X747) + N(Z747)</f>
        <v/>
      </c>
      <c r="T747" s="11">
        <f>R747+P747-S747</f>
        <v/>
      </c>
      <c r="U747" s="11" t="inlineStr">
        <is>
          <t>是</t>
        </is>
      </c>
      <c r="V747" s="11" t="n">
        <v>51</v>
      </c>
      <c r="W747" s="11" t="inlineStr">
        <is>
          <t>否</t>
        </is>
      </c>
      <c r="X747" s="11" t="inlineStr">
        <is>
          <t>-</t>
        </is>
      </c>
      <c r="Y747" s="11" t="inlineStr">
        <is>
          <t>-</t>
        </is>
      </c>
      <c r="Z747" s="11" t="n">
        <v>0</v>
      </c>
      <c r="AA747" s="11" t="inlineStr">
        <is>
          <t>无</t>
        </is>
      </c>
      <c r="AB747" s="12">
        <f>AE746</f>
        <v/>
      </c>
      <c r="AC747" s="12" t="n">
        <v>0</v>
      </c>
      <c r="AD747" s="12" t="n">
        <v>0</v>
      </c>
      <c r="AE747" s="12">
        <f>AB747+AC747+AD747</f>
        <v/>
      </c>
      <c r="AF747" s="13">
        <f>AI746</f>
        <v/>
      </c>
      <c r="AG747" s="13" t="n">
        <v>0</v>
      </c>
      <c r="AH747" s="13" t="n">
        <v>0</v>
      </c>
      <c r="AI747" s="13">
        <f>AF747+AG747+AH747</f>
        <v/>
      </c>
      <c r="AJ747" s="14" t="n">
        <v>0</v>
      </c>
      <c r="AK747" s="14" t="n">
        <v>0</v>
      </c>
      <c r="AL747" s="14" t="n">
        <v>0</v>
      </c>
      <c r="AM747" s="14">
        <f>AJ747+AK747+AL747</f>
        <v/>
      </c>
      <c r="AN747" s="14">
        <f>AN746+AM747</f>
        <v/>
      </c>
    </row>
    <row r="748">
      <c r="A748" s="8" t="n">
        <v>29</v>
      </c>
      <c r="B748" s="8" t="n">
        <v>10</v>
      </c>
      <c r="C748" s="8" t="n">
        <v>1</v>
      </c>
      <c r="D748" s="8" t="inlineStr">
        <is>
          <t>版本免费+义相逢 + 月卡收益 [月卡续费-30元]</t>
        </is>
      </c>
      <c r="E748" s="9">
        <f>K747</f>
        <v/>
      </c>
      <c r="F748" s="9" t="n">
        <v>1540</v>
      </c>
      <c r="G748" s="9" t="n">
        <v>4800</v>
      </c>
      <c r="H748" s="9" t="n">
        <v>0</v>
      </c>
      <c r="I748" s="9" t="n">
        <v>0</v>
      </c>
      <c r="J748" s="9" t="n">
        <v>0</v>
      </c>
      <c r="K748" s="9">
        <f>E748+F748+G748+H748+I748-J748</f>
        <v/>
      </c>
      <c r="L748" s="10">
        <f>Q747</f>
        <v/>
      </c>
      <c r="M748" s="10" t="n">
        <v>85</v>
      </c>
      <c r="N748" s="10" t="n">
        <v>3</v>
      </c>
      <c r="O748" s="10">
        <f>J748/160</f>
        <v/>
      </c>
      <c r="P748" s="10" t="n">
        <v>40</v>
      </c>
      <c r="Q748" s="10">
        <f>L748+M748+N748+O748-P748</f>
        <v/>
      </c>
      <c r="R748" s="11">
        <f>T747</f>
        <v/>
      </c>
      <c r="S748" s="11">
        <f>N(V748) + N(X748) + N(Z748)</f>
        <v/>
      </c>
      <c r="T748" s="11">
        <f>R748+P748-S748</f>
        <v/>
      </c>
      <c r="U748" s="11" t="inlineStr">
        <is>
          <t>是</t>
        </is>
      </c>
      <c r="V748" s="11" t="n">
        <v>49</v>
      </c>
      <c r="W748" s="11" t="inlineStr">
        <is>
          <t>否</t>
        </is>
      </c>
      <c r="X748" s="11" t="inlineStr">
        <is>
          <t>-</t>
        </is>
      </c>
      <c r="Y748" s="11" t="inlineStr">
        <is>
          <t>-</t>
        </is>
      </c>
      <c r="Z748" s="11" t="n">
        <v>0</v>
      </c>
      <c r="AA748" s="11" t="inlineStr">
        <is>
          <t>无</t>
        </is>
      </c>
      <c r="AB748" s="12">
        <f>AE747</f>
        <v/>
      </c>
      <c r="AC748" s="12" t="n">
        <v>4</v>
      </c>
      <c r="AD748" s="12" t="n">
        <v>0</v>
      </c>
      <c r="AE748" s="12">
        <f>AB748+AC748+AD748</f>
        <v/>
      </c>
      <c r="AF748" s="13">
        <f>AI747</f>
        <v/>
      </c>
      <c r="AG748" s="13" t="n">
        <v>0</v>
      </c>
      <c r="AH748" s="13" t="n">
        <v>0</v>
      </c>
      <c r="AI748" s="13">
        <f>AF748+AG748+AH748</f>
        <v/>
      </c>
      <c r="AJ748" s="14" t="n">
        <v>30</v>
      </c>
      <c r="AK748" s="14" t="n">
        <v>50</v>
      </c>
      <c r="AL748" s="14" t="n">
        <v>0</v>
      </c>
      <c r="AM748" s="14">
        <f>AJ748+AK748+AL748</f>
        <v/>
      </c>
      <c r="AN748" s="14">
        <f>AN747+AM748</f>
        <v/>
      </c>
    </row>
    <row r="749">
      <c r="A749" s="8" t="n">
        <v>29</v>
      </c>
      <c r="B749" s="8" t="n">
        <v>10</v>
      </c>
      <c r="C749" s="8" t="n">
        <v>2</v>
      </c>
      <c r="D749" s="8" t="inlineStr">
        <is>
          <t>月卡收益</t>
        </is>
      </c>
      <c r="E749" s="9">
        <f>K748</f>
        <v/>
      </c>
      <c r="F749" s="9" t="n">
        <v>1540</v>
      </c>
      <c r="G749" s="9" t="n">
        <v>0</v>
      </c>
      <c r="H749" s="9" t="n">
        <v>0</v>
      </c>
      <c r="I749" s="9" t="n">
        <v>0</v>
      </c>
      <c r="J749" s="9" t="n">
        <v>0</v>
      </c>
      <c r="K749" s="9">
        <f>E749+F749+G749+H749+I749-J749</f>
        <v/>
      </c>
      <c r="L749" s="10">
        <f>Q748</f>
        <v/>
      </c>
      <c r="M749" s="10" t="n">
        <v>0</v>
      </c>
      <c r="N749" s="10" t="n">
        <v>3</v>
      </c>
      <c r="O749" s="10">
        <f>J749/160</f>
        <v/>
      </c>
      <c r="P749" s="10" t="n">
        <v>40</v>
      </c>
      <c r="Q749" s="10">
        <f>L749+M749+N749+O749-P749</f>
        <v/>
      </c>
      <c r="R749" s="11">
        <f>T748</f>
        <v/>
      </c>
      <c r="S749" s="11">
        <f>N(V749) + N(X749) + N(Z749)</f>
        <v/>
      </c>
      <c r="T749" s="11">
        <f>R749+P749-S749</f>
        <v/>
      </c>
      <c r="U749" s="11" t="inlineStr">
        <is>
          <t>是</t>
        </is>
      </c>
      <c r="V749" s="11" t="n">
        <v>33</v>
      </c>
      <c r="W749" s="11" t="inlineStr">
        <is>
          <t>否</t>
        </is>
      </c>
      <c r="X749" s="11" t="inlineStr">
        <is>
          <t>-</t>
        </is>
      </c>
      <c r="Y749" s="11" t="inlineStr">
        <is>
          <t>-</t>
        </is>
      </c>
      <c r="Z749" s="11" t="n">
        <v>0</v>
      </c>
      <c r="AA749" s="11" t="inlineStr">
        <is>
          <t>无</t>
        </is>
      </c>
      <c r="AB749" s="12">
        <f>AE748</f>
        <v/>
      </c>
      <c r="AC749" s="12" t="n">
        <v>0</v>
      </c>
      <c r="AD749" s="12" t="n">
        <v>0</v>
      </c>
      <c r="AE749" s="12">
        <f>AB749+AC749+AD749</f>
        <v/>
      </c>
      <c r="AF749" s="13">
        <f>AI748</f>
        <v/>
      </c>
      <c r="AG749" s="13" t="n">
        <v>0</v>
      </c>
      <c r="AH749" s="13" t="n">
        <v>0</v>
      </c>
      <c r="AI749" s="13">
        <f>AF749+AG749+AH749</f>
        <v/>
      </c>
      <c r="AJ749" s="14" t="n">
        <v>0</v>
      </c>
      <c r="AK749" s="14" t="n">
        <v>0</v>
      </c>
      <c r="AL749" s="14" t="n">
        <v>0</v>
      </c>
      <c r="AM749" s="14">
        <f>AJ749+AK749+AL749</f>
        <v/>
      </c>
      <c r="AN749" s="14">
        <f>AN748+AM749</f>
        <v/>
      </c>
    </row>
    <row r="750">
      <c r="A750" s="8" t="n">
        <v>29</v>
      </c>
      <c r="B750" s="8" t="n">
        <v>11</v>
      </c>
      <c r="C750" s="8" t="n">
        <v>1</v>
      </c>
      <c r="D750" s="8" t="inlineStr">
        <is>
          <t>版本免费+义相逢 + 月卡收益 [月卡续费-30元]</t>
        </is>
      </c>
      <c r="E750" s="9">
        <f>K749</f>
        <v/>
      </c>
      <c r="F750" s="9" t="n">
        <v>1540</v>
      </c>
      <c r="G750" s="9" t="n">
        <v>4800</v>
      </c>
      <c r="H750" s="9" t="n">
        <v>0</v>
      </c>
      <c r="I750" s="9" t="n">
        <v>0</v>
      </c>
      <c r="J750" s="9" t="n">
        <v>0</v>
      </c>
      <c r="K750" s="9">
        <f>E750+F750+G750+H750+I750-J750</f>
        <v/>
      </c>
      <c r="L750" s="10">
        <f>Q749</f>
        <v/>
      </c>
      <c r="M750" s="10" t="n">
        <v>85</v>
      </c>
      <c r="N750" s="10" t="n">
        <v>3</v>
      </c>
      <c r="O750" s="10">
        <f>J750/160</f>
        <v/>
      </c>
      <c r="P750" s="10" t="n">
        <v>40</v>
      </c>
      <c r="Q750" s="10">
        <f>L750+M750+N750+O750-P750</f>
        <v/>
      </c>
      <c r="R750" s="11">
        <f>T749</f>
        <v/>
      </c>
      <c r="S750" s="11">
        <f>N(V750) + N(X750) + N(Z750)</f>
        <v/>
      </c>
      <c r="T750" s="11">
        <f>R750+P750-S750</f>
        <v/>
      </c>
      <c r="U750" s="11" t="inlineStr">
        <is>
          <t>是</t>
        </is>
      </c>
      <c r="V750" s="11" t="n">
        <v>47</v>
      </c>
      <c r="W750" s="11" t="inlineStr">
        <is>
          <t>否</t>
        </is>
      </c>
      <c r="X750" s="11" t="inlineStr">
        <is>
          <t>-</t>
        </is>
      </c>
      <c r="Y750" s="11" t="inlineStr">
        <is>
          <t>-</t>
        </is>
      </c>
      <c r="Z750" s="11" t="n">
        <v>0</v>
      </c>
      <c r="AA750" s="11" t="inlineStr">
        <is>
          <t>无</t>
        </is>
      </c>
      <c r="AB750" s="12">
        <f>AE749</f>
        <v/>
      </c>
      <c r="AC750" s="12" t="n">
        <v>4</v>
      </c>
      <c r="AD750" s="12" t="n">
        <v>0</v>
      </c>
      <c r="AE750" s="12">
        <f>AB750+AC750+AD750</f>
        <v/>
      </c>
      <c r="AF750" s="13">
        <f>AI749</f>
        <v/>
      </c>
      <c r="AG750" s="13" t="n">
        <v>0</v>
      </c>
      <c r="AH750" s="13" t="n">
        <v>0</v>
      </c>
      <c r="AI750" s="13">
        <f>AF750+AG750+AH750</f>
        <v/>
      </c>
      <c r="AJ750" s="14" t="n">
        <v>30</v>
      </c>
      <c r="AK750" s="14" t="n">
        <v>50</v>
      </c>
      <c r="AL750" s="14" t="n">
        <v>0</v>
      </c>
      <c r="AM750" s="14">
        <f>AJ750+AK750+AL750</f>
        <v/>
      </c>
      <c r="AN750" s="14">
        <f>AN749+AM750</f>
        <v/>
      </c>
    </row>
    <row r="751">
      <c r="A751" s="8" t="n">
        <v>29</v>
      </c>
      <c r="B751" s="8" t="n">
        <v>11</v>
      </c>
      <c r="C751" s="8" t="n">
        <v>2</v>
      </c>
      <c r="D751" s="8" t="inlineStr">
        <is>
          <t>月卡收益</t>
        </is>
      </c>
      <c r="E751" s="9">
        <f>K750</f>
        <v/>
      </c>
      <c r="F751" s="9" t="n">
        <v>1540</v>
      </c>
      <c r="G751" s="9" t="n">
        <v>0</v>
      </c>
      <c r="H751" s="9" t="n">
        <v>0</v>
      </c>
      <c r="I751" s="9" t="n">
        <v>0</v>
      </c>
      <c r="J751" s="9" t="n">
        <v>5920</v>
      </c>
      <c r="K751" s="9">
        <f>E751+F751+G751+H751+I751-J751</f>
        <v/>
      </c>
      <c r="L751" s="10">
        <f>Q750</f>
        <v/>
      </c>
      <c r="M751" s="10" t="n">
        <v>0</v>
      </c>
      <c r="N751" s="10" t="n">
        <v>11</v>
      </c>
      <c r="O751" s="10">
        <f>J751/160</f>
        <v/>
      </c>
      <c r="P751" s="10" t="n">
        <v>110</v>
      </c>
      <c r="Q751" s="10">
        <f>L751+M751+N751+O751-P751</f>
        <v/>
      </c>
      <c r="R751" s="11">
        <f>T750</f>
        <v/>
      </c>
      <c r="S751" s="11">
        <f>N(V751) + N(X751) + N(Z751)</f>
        <v/>
      </c>
      <c r="T751" s="11">
        <f>R751+P751-S751</f>
        <v/>
      </c>
      <c r="U751" s="11" t="inlineStr">
        <is>
          <t>是</t>
        </is>
      </c>
      <c r="V751" s="11" t="n">
        <v>51</v>
      </c>
      <c r="W751" s="11" t="inlineStr">
        <is>
          <t>是</t>
        </is>
      </c>
      <c r="X751" s="11" t="n">
        <v>51</v>
      </c>
      <c r="Y751" s="11" t="inlineStr">
        <is>
          <t>-</t>
        </is>
      </c>
      <c r="Z751" s="11" t="n">
        <v>0</v>
      </c>
      <c r="AA751" s="11" t="inlineStr">
        <is>
          <t>无</t>
        </is>
      </c>
      <c r="AB751" s="12">
        <f>AE750</f>
        <v/>
      </c>
      <c r="AC751" s="12" t="n">
        <v>0</v>
      </c>
      <c r="AD751" s="12" t="n">
        <v>0</v>
      </c>
      <c r="AE751" s="12">
        <f>AB751+AC751+AD751</f>
        <v/>
      </c>
      <c r="AF751" s="13">
        <f>AI750</f>
        <v/>
      </c>
      <c r="AG751" s="13" t="n">
        <v>0</v>
      </c>
      <c r="AH751" s="13" t="n">
        <v>0</v>
      </c>
      <c r="AI751" s="13">
        <f>AF751+AG751+AH751</f>
        <v/>
      </c>
      <c r="AJ751" s="14" t="n">
        <v>0</v>
      </c>
      <c r="AK751" s="14" t="n">
        <v>0</v>
      </c>
      <c r="AL751" s="14" t="n">
        <v>0</v>
      </c>
      <c r="AM751" s="14">
        <f>AJ751+AK751+AL751</f>
        <v/>
      </c>
      <c r="AN751" s="14">
        <f>AN750+AM751</f>
        <v/>
      </c>
    </row>
    <row r="752">
      <c r="A752" s="8" t="n">
        <v>29</v>
      </c>
      <c r="B752" s="8" t="n">
        <v>12</v>
      </c>
      <c r="C752" s="8" t="n">
        <v>1</v>
      </c>
      <c r="D752" s="8" t="inlineStr">
        <is>
          <t>版本免费+义相逢 + 月卡收益</t>
        </is>
      </c>
      <c r="E752" s="9">
        <f>K751</f>
        <v/>
      </c>
      <c r="F752" s="9" t="n">
        <v>1540</v>
      </c>
      <c r="G752" s="9" t="n">
        <v>4800</v>
      </c>
      <c r="H752" s="9" t="n">
        <v>0</v>
      </c>
      <c r="I752" s="9" t="n">
        <v>0</v>
      </c>
      <c r="J752" s="9" t="n">
        <v>640</v>
      </c>
      <c r="K752" s="9">
        <f>E752+F752+G752+H752+I752-J752</f>
        <v/>
      </c>
      <c r="L752" s="10">
        <f>Q751</f>
        <v/>
      </c>
      <c r="M752" s="10" t="n">
        <v>85</v>
      </c>
      <c r="N752" s="10" t="n">
        <v>11</v>
      </c>
      <c r="O752" s="10">
        <f>J752/160</f>
        <v/>
      </c>
      <c r="P752" s="10" t="n">
        <v>100</v>
      </c>
      <c r="Q752" s="10">
        <f>L752+M752+N752+O752-P752</f>
        <v/>
      </c>
      <c r="R752" s="11">
        <f>T751</f>
        <v/>
      </c>
      <c r="S752" s="11">
        <f>N(V752) + N(X752) + N(Z752)</f>
        <v/>
      </c>
      <c r="T752" s="11">
        <f>R752+P752-S752</f>
        <v/>
      </c>
      <c r="U752" s="11" t="inlineStr">
        <is>
          <t>是</t>
        </is>
      </c>
      <c r="V752" s="11" t="n">
        <v>49</v>
      </c>
      <c r="W752" s="11" t="inlineStr">
        <is>
          <t>是</t>
        </is>
      </c>
      <c r="X752" s="11" t="n">
        <v>50</v>
      </c>
      <c r="Y752" s="11" t="inlineStr">
        <is>
          <t>-</t>
        </is>
      </c>
      <c r="Z752" s="11" t="n">
        <v>0</v>
      </c>
      <c r="AA752" s="11" t="inlineStr">
        <is>
          <t>无</t>
        </is>
      </c>
      <c r="AB752" s="12">
        <f>AE751</f>
        <v/>
      </c>
      <c r="AC752" s="12" t="n">
        <v>4</v>
      </c>
      <c r="AD752" s="12" t="n">
        <v>0</v>
      </c>
      <c r="AE752" s="12">
        <f>AB752+AC752+AD752</f>
        <v/>
      </c>
      <c r="AF752" s="13">
        <f>AI751</f>
        <v/>
      </c>
      <c r="AG752" s="13" t="n">
        <v>0</v>
      </c>
      <c r="AH752" s="13" t="n">
        <v>0</v>
      </c>
      <c r="AI752" s="13">
        <f>AF752+AG752+AH752</f>
        <v/>
      </c>
      <c r="AJ752" s="14" t="n">
        <v>0</v>
      </c>
      <c r="AK752" s="14" t="n">
        <v>50</v>
      </c>
      <c r="AL752" s="14" t="n">
        <v>0</v>
      </c>
      <c r="AM752" s="14">
        <f>AJ752+AK752+AL752</f>
        <v/>
      </c>
      <c r="AN752" s="14">
        <f>AN751+AM752</f>
        <v/>
      </c>
    </row>
    <row r="753">
      <c r="A753" s="8" t="n">
        <v>29</v>
      </c>
      <c r="B753" s="8" t="n">
        <v>12</v>
      </c>
      <c r="C753" s="8" t="n">
        <v>2</v>
      </c>
      <c r="D753" s="8" t="inlineStr">
        <is>
          <t>月卡收益 [月卡续费-30元]</t>
        </is>
      </c>
      <c r="E753" s="9">
        <f>K752</f>
        <v/>
      </c>
      <c r="F753" s="9" t="n">
        <v>1540</v>
      </c>
      <c r="G753" s="9" t="n">
        <v>0</v>
      </c>
      <c r="H753" s="9" t="n">
        <v>0</v>
      </c>
      <c r="I753" s="9" t="n">
        <v>0</v>
      </c>
      <c r="J753" s="9" t="n">
        <v>13440</v>
      </c>
      <c r="K753" s="9">
        <f>E753+F753+G753+H753+I753-J753</f>
        <v/>
      </c>
      <c r="L753" s="10">
        <f>Q752</f>
        <v/>
      </c>
      <c r="M753" s="10" t="n">
        <v>0</v>
      </c>
      <c r="N753" s="10" t="n">
        <v>11</v>
      </c>
      <c r="O753" s="10">
        <f>J753/160</f>
        <v/>
      </c>
      <c r="P753" s="10" t="n">
        <v>90</v>
      </c>
      <c r="Q753" s="10">
        <f>L753+M753+N753+O753-P753</f>
        <v/>
      </c>
      <c r="R753" s="11">
        <f>T752</f>
        <v/>
      </c>
      <c r="S753" s="11">
        <f>N(V753) + N(X753) + N(Z753)</f>
        <v/>
      </c>
      <c r="T753" s="11">
        <f>R753+P753-S753</f>
        <v/>
      </c>
      <c r="U753" s="11" t="inlineStr">
        <is>
          <t>是</t>
        </is>
      </c>
      <c r="V753" s="11" t="n">
        <v>50</v>
      </c>
      <c r="W753" s="11" t="inlineStr">
        <is>
          <t>是</t>
        </is>
      </c>
      <c r="X753" s="11" t="n">
        <v>42</v>
      </c>
      <c r="Y753" s="11" t="inlineStr">
        <is>
          <t>-</t>
        </is>
      </c>
      <c r="Z753" s="11" t="n">
        <v>0</v>
      </c>
      <c r="AA753" s="11" t="inlineStr">
        <is>
          <t>无</t>
        </is>
      </c>
      <c r="AB753" s="12">
        <f>AE752</f>
        <v/>
      </c>
      <c r="AC753" s="12" t="n">
        <v>0</v>
      </c>
      <c r="AD753" s="12" t="n">
        <v>0</v>
      </c>
      <c r="AE753" s="12">
        <f>AB753+AC753+AD753</f>
        <v/>
      </c>
      <c r="AF753" s="13">
        <f>AI752</f>
        <v/>
      </c>
      <c r="AG753" s="13" t="n">
        <v>0</v>
      </c>
      <c r="AH753" s="13" t="n">
        <v>0</v>
      </c>
      <c r="AI753" s="13">
        <f>AF753+AG753+AH753</f>
        <v/>
      </c>
      <c r="AJ753" s="14" t="n">
        <v>30</v>
      </c>
      <c r="AK753" s="14" t="n">
        <v>0</v>
      </c>
      <c r="AL753" s="14" t="n">
        <v>0</v>
      </c>
      <c r="AM753" s="14">
        <f>AJ753+AK753+AL753</f>
        <v/>
      </c>
      <c r="AN753" s="14">
        <f>AN752+AM753</f>
        <v/>
      </c>
    </row>
    <row r="754">
      <c r="A754" s="8" t="n">
        <v>29</v>
      </c>
      <c r="B754" s="8" t="n">
        <v>13</v>
      </c>
      <c r="C754" s="8" t="n">
        <v>1</v>
      </c>
      <c r="D754" s="8" t="inlineStr">
        <is>
          <t>版本免费+义相逢 + 月卡收益</t>
        </is>
      </c>
      <c r="E754" s="9">
        <f>K753</f>
        <v/>
      </c>
      <c r="F754" s="9" t="n">
        <v>1540</v>
      </c>
      <c r="G754" s="9" t="n">
        <v>4800</v>
      </c>
      <c r="H754" s="9" t="n">
        <v>0</v>
      </c>
      <c r="I754" s="9" t="n">
        <v>0</v>
      </c>
      <c r="J754" s="9" t="n">
        <v>0</v>
      </c>
      <c r="K754" s="9">
        <f>E754+F754+G754+H754+I754-J754</f>
        <v/>
      </c>
      <c r="L754" s="10">
        <f>Q753</f>
        <v/>
      </c>
      <c r="M754" s="10" t="n">
        <v>85</v>
      </c>
      <c r="N754" s="10" t="n">
        <v>6</v>
      </c>
      <c r="O754" s="10">
        <f>J754/160</f>
        <v/>
      </c>
      <c r="P754" s="10" t="n">
        <v>60</v>
      </c>
      <c r="Q754" s="10">
        <f>L754+M754+N754+O754-P754</f>
        <v/>
      </c>
      <c r="R754" s="11">
        <f>T753</f>
        <v/>
      </c>
      <c r="S754" s="11">
        <f>N(V754) + N(X754) + N(Z754)</f>
        <v/>
      </c>
      <c r="T754" s="11">
        <f>R754+P754-S754</f>
        <v/>
      </c>
      <c r="U754" s="11" t="inlineStr">
        <is>
          <t>是</t>
        </is>
      </c>
      <c r="V754" s="11" t="n">
        <v>49</v>
      </c>
      <c r="W754" s="11" t="inlineStr">
        <is>
          <t>否</t>
        </is>
      </c>
      <c r="X754" s="11" t="inlineStr">
        <is>
          <t>-</t>
        </is>
      </c>
      <c r="Y754" s="11" t="inlineStr">
        <is>
          <t>-</t>
        </is>
      </c>
      <c r="Z754" s="11" t="n">
        <v>0</v>
      </c>
      <c r="AA754" s="11" t="inlineStr">
        <is>
          <t>垫到60抽</t>
        </is>
      </c>
      <c r="AB754" s="12">
        <f>AE753</f>
        <v/>
      </c>
      <c r="AC754" s="12" t="n">
        <v>4</v>
      </c>
      <c r="AD754" s="12" t="n">
        <v>0</v>
      </c>
      <c r="AE754" s="12">
        <f>AB754+AC754+AD754</f>
        <v/>
      </c>
      <c r="AF754" s="13">
        <f>AI753</f>
        <v/>
      </c>
      <c r="AG754" s="13" t="n">
        <v>0</v>
      </c>
      <c r="AH754" s="13" t="n">
        <v>0</v>
      </c>
      <c r="AI754" s="13">
        <f>AF754+AG754+AH754</f>
        <v/>
      </c>
      <c r="AJ754" s="14" t="n">
        <v>0</v>
      </c>
      <c r="AK754" s="14" t="n">
        <v>50</v>
      </c>
      <c r="AL754" s="14" t="n">
        <v>0</v>
      </c>
      <c r="AM754" s="14">
        <f>AJ754+AK754+AL754</f>
        <v/>
      </c>
      <c r="AN754" s="14">
        <f>AN753+AM754</f>
        <v/>
      </c>
    </row>
    <row r="755">
      <c r="A755" s="8" t="n">
        <v>29</v>
      </c>
      <c r="B755" s="8" t="n">
        <v>13</v>
      </c>
      <c r="C755" s="8" t="n">
        <v>2</v>
      </c>
      <c r="D755" s="8" t="inlineStr">
        <is>
          <t>月卡收益 [月卡续费-30元]</t>
        </is>
      </c>
      <c r="E755" s="9">
        <f>K754</f>
        <v/>
      </c>
      <c r="F755" s="9" t="n">
        <v>1540</v>
      </c>
      <c r="G755" s="9" t="n">
        <v>0</v>
      </c>
      <c r="H755" s="9" t="n">
        <v>0</v>
      </c>
      <c r="I755" s="9" t="n">
        <v>0</v>
      </c>
      <c r="J755" s="9" t="n">
        <v>160</v>
      </c>
      <c r="K755" s="9">
        <f>E755+F755+G755+H755+I755-J755</f>
        <v/>
      </c>
      <c r="L755" s="10">
        <f>Q754</f>
        <v/>
      </c>
      <c r="M755" s="10" t="n">
        <v>0</v>
      </c>
      <c r="N755" s="10" t="n">
        <v>3</v>
      </c>
      <c r="O755" s="10">
        <f>J755/160</f>
        <v/>
      </c>
      <c r="P755" s="10" t="n">
        <v>40</v>
      </c>
      <c r="Q755" s="10">
        <f>L755+M755+N755+O755-P755</f>
        <v/>
      </c>
      <c r="R755" s="11">
        <f>T754</f>
        <v/>
      </c>
      <c r="S755" s="11">
        <f>N(V755) + N(X755) + N(Z755)</f>
        <v/>
      </c>
      <c r="T755" s="11">
        <f>R755+P755-S755</f>
        <v/>
      </c>
      <c r="U755" s="11" t="inlineStr">
        <is>
          <t>是</t>
        </is>
      </c>
      <c r="V755" s="11" t="n">
        <v>50</v>
      </c>
      <c r="W755" s="11" t="inlineStr">
        <is>
          <t>否</t>
        </is>
      </c>
      <c r="X755" s="11" t="inlineStr">
        <is>
          <t>-</t>
        </is>
      </c>
      <c r="Y755" s="11" t="inlineStr">
        <is>
          <t>-</t>
        </is>
      </c>
      <c r="Z755" s="11" t="n">
        <v>0</v>
      </c>
      <c r="AA755" s="11" t="inlineStr">
        <is>
          <t>无</t>
        </is>
      </c>
      <c r="AB755" s="12">
        <f>AE754</f>
        <v/>
      </c>
      <c r="AC755" s="12" t="n">
        <v>0</v>
      </c>
      <c r="AD755" s="12" t="n">
        <v>0</v>
      </c>
      <c r="AE755" s="12">
        <f>AB755+AC755+AD755</f>
        <v/>
      </c>
      <c r="AF755" s="13">
        <f>AI754</f>
        <v/>
      </c>
      <c r="AG755" s="13" t="n">
        <v>0</v>
      </c>
      <c r="AH755" s="13" t="n">
        <v>0</v>
      </c>
      <c r="AI755" s="13">
        <f>AF755+AG755+AH755</f>
        <v/>
      </c>
      <c r="AJ755" s="14" t="n">
        <v>30</v>
      </c>
      <c r="AK755" s="14" t="n">
        <v>0</v>
      </c>
      <c r="AL755" s="14" t="n">
        <v>0</v>
      </c>
      <c r="AM755" s="14">
        <f>AJ755+AK755+AL755</f>
        <v/>
      </c>
      <c r="AN755" s="14">
        <f>AN754+AM755</f>
        <v/>
      </c>
    </row>
    <row r="756">
      <c r="A756" s="8" t="n">
        <v>30</v>
      </c>
      <c r="B756" s="8" t="n">
        <v>1</v>
      </c>
      <c r="C756" s="8" t="n">
        <v>1</v>
      </c>
      <c r="D756" s="8" t="inlineStr">
        <is>
          <t>版本免费+义相逢 + 月卡收益</t>
        </is>
      </c>
      <c r="E756" s="9" t="n">
        <v>23720</v>
      </c>
      <c r="F756" s="9" t="n">
        <v>1540</v>
      </c>
      <c r="G756" s="9" t="n">
        <v>4800</v>
      </c>
      <c r="H756" s="9" t="n">
        <v>0</v>
      </c>
      <c r="I756" s="9" t="n">
        <v>0</v>
      </c>
      <c r="J756" s="9" t="n">
        <v>0</v>
      </c>
      <c r="K756" s="9">
        <f>E756+F756+G756+H756+I756-J756</f>
        <v/>
      </c>
      <c r="L756" s="10" t="n">
        <v>0</v>
      </c>
      <c r="M756" s="10" t="n">
        <v>85</v>
      </c>
      <c r="N756" s="10" t="n">
        <v>3</v>
      </c>
      <c r="O756" s="10">
        <f>J756/160</f>
        <v/>
      </c>
      <c r="P756" s="10" t="n">
        <v>40</v>
      </c>
      <c r="Q756" s="10">
        <f>L756+M756+N756+O756-P756</f>
        <v/>
      </c>
      <c r="R756" s="11" t="n">
        <v>8</v>
      </c>
      <c r="S756" s="11">
        <f>N(V756) + N(X756) + N(Z756)</f>
        <v/>
      </c>
      <c r="T756" s="11">
        <f>R756+P756-S756</f>
        <v/>
      </c>
      <c r="U756" s="11" t="inlineStr">
        <is>
          <t>是</t>
        </is>
      </c>
      <c r="V756" s="11" t="n">
        <v>48</v>
      </c>
      <c r="W756" s="11" t="inlineStr">
        <is>
          <t>否</t>
        </is>
      </c>
      <c r="X756" s="11" t="inlineStr">
        <is>
          <t>-</t>
        </is>
      </c>
      <c r="Y756" s="11" t="inlineStr">
        <is>
          <t>-</t>
        </is>
      </c>
      <c r="Z756" s="11" t="n">
        <v>0</v>
      </c>
      <c r="AA756" s="11" t="inlineStr">
        <is>
          <t>无</t>
        </is>
      </c>
      <c r="AB756" s="12" t="n">
        <v>1553</v>
      </c>
      <c r="AC756" s="12" t="n">
        <v>4</v>
      </c>
      <c r="AD756" s="12" t="n">
        <v>0</v>
      </c>
      <c r="AE756" s="12">
        <f>AB756+AC756+AD756</f>
        <v/>
      </c>
      <c r="AF756" s="13" t="n">
        <v>225000</v>
      </c>
      <c r="AG756" s="13" t="n">
        <v>0</v>
      </c>
      <c r="AH756" s="13" t="n">
        <v>0</v>
      </c>
      <c r="AI756" s="13">
        <f>AF756+AG756+AH756</f>
        <v/>
      </c>
      <c r="AJ756" s="14" t="n">
        <v>0</v>
      </c>
      <c r="AK756" s="14" t="n">
        <v>50</v>
      </c>
      <c r="AL756" s="14" t="n">
        <v>0</v>
      </c>
      <c r="AM756" s="14">
        <f>AJ756+AK756+AL756</f>
        <v/>
      </c>
      <c r="AN756" s="14">
        <f>AM756</f>
        <v/>
      </c>
    </row>
    <row r="757">
      <c r="A757" s="8" t="n">
        <v>30</v>
      </c>
      <c r="B757" s="8" t="n">
        <v>1</v>
      </c>
      <c r="C757" s="8" t="n">
        <v>2</v>
      </c>
      <c r="D757" s="8" t="inlineStr">
        <is>
          <t>月卡收益 [月卡续费-30元]</t>
        </is>
      </c>
      <c r="E757" s="9">
        <f>K756</f>
        <v/>
      </c>
      <c r="F757" s="9" t="n">
        <v>1540</v>
      </c>
      <c r="G757" s="9" t="n">
        <v>0</v>
      </c>
      <c r="H757" s="9" t="n">
        <v>0</v>
      </c>
      <c r="I757" s="9" t="n">
        <v>0</v>
      </c>
      <c r="J757" s="9" t="n">
        <v>1440</v>
      </c>
      <c r="K757" s="9">
        <f>E757+F757+G757+H757+I757-J757</f>
        <v/>
      </c>
      <c r="L757" s="10">
        <f>Q756</f>
        <v/>
      </c>
      <c r="M757" s="10" t="n">
        <v>0</v>
      </c>
      <c r="N757" s="10" t="n">
        <v>6</v>
      </c>
      <c r="O757" s="10">
        <f>J757/160</f>
        <v/>
      </c>
      <c r="P757" s="10" t="n">
        <v>60</v>
      </c>
      <c r="Q757" s="10">
        <f>L757+M757+N757+O757-P757</f>
        <v/>
      </c>
      <c r="R757" s="11">
        <f>T756</f>
        <v/>
      </c>
      <c r="S757" s="11">
        <f>N(V757) + N(X757) + N(Z757)</f>
        <v/>
      </c>
      <c r="T757" s="11">
        <f>R757+P757-S757</f>
        <v/>
      </c>
      <c r="U757" s="11" t="inlineStr">
        <is>
          <t>是</t>
        </is>
      </c>
      <c r="V757" s="11" t="n">
        <v>50</v>
      </c>
      <c r="W757" s="11" t="inlineStr">
        <is>
          <t>否</t>
        </is>
      </c>
      <c r="X757" s="11" t="inlineStr">
        <is>
          <t>-</t>
        </is>
      </c>
      <c r="Y757" s="11" t="inlineStr">
        <is>
          <t>-</t>
        </is>
      </c>
      <c r="Z757" s="11" t="n">
        <v>0</v>
      </c>
      <c r="AA757" s="11" t="inlineStr">
        <is>
          <t>垫到60抽</t>
        </is>
      </c>
      <c r="AB757" s="12">
        <f>AE756</f>
        <v/>
      </c>
      <c r="AC757" s="12" t="n">
        <v>0</v>
      </c>
      <c r="AD757" s="12" t="n">
        <v>0</v>
      </c>
      <c r="AE757" s="12">
        <f>AB757+AC757+AD757</f>
        <v/>
      </c>
      <c r="AF757" s="13">
        <f>AI756</f>
        <v/>
      </c>
      <c r="AG757" s="13" t="n">
        <v>0</v>
      </c>
      <c r="AH757" s="13" t="n">
        <v>0</v>
      </c>
      <c r="AI757" s="13">
        <f>AF757+AG757+AH757</f>
        <v/>
      </c>
      <c r="AJ757" s="14" t="n">
        <v>30</v>
      </c>
      <c r="AK757" s="14" t="n">
        <v>0</v>
      </c>
      <c r="AL757" s="14" t="n">
        <v>0</v>
      </c>
      <c r="AM757" s="14">
        <f>AJ757+AK757+AL757</f>
        <v/>
      </c>
      <c r="AN757" s="14">
        <f>AN756+AM757</f>
        <v/>
      </c>
    </row>
    <row r="758">
      <c r="A758" s="8" t="n">
        <v>30</v>
      </c>
      <c r="B758" s="8" t="n">
        <v>2</v>
      </c>
      <c r="C758" s="8" t="n">
        <v>1</v>
      </c>
      <c r="D758" s="8" t="inlineStr">
        <is>
          <t>版本免费+义相逢 + 月卡收益</t>
        </is>
      </c>
      <c r="E758" s="9">
        <f>K757</f>
        <v/>
      </c>
      <c r="F758" s="9" t="n">
        <v>1540</v>
      </c>
      <c r="G758" s="9" t="n">
        <v>4800</v>
      </c>
      <c r="H758" s="9" t="n">
        <v>0</v>
      </c>
      <c r="I758" s="9" t="n">
        <v>0</v>
      </c>
      <c r="J758" s="9" t="n">
        <v>0</v>
      </c>
      <c r="K758" s="9">
        <f>E758+F758+G758+H758+I758-J758</f>
        <v/>
      </c>
      <c r="L758" s="10">
        <f>Q757</f>
        <v/>
      </c>
      <c r="M758" s="10" t="n">
        <v>85</v>
      </c>
      <c r="N758" s="10" t="n">
        <v>6</v>
      </c>
      <c r="O758" s="10">
        <f>J758/160</f>
        <v/>
      </c>
      <c r="P758" s="10" t="n">
        <v>60</v>
      </c>
      <c r="Q758" s="10">
        <f>L758+M758+N758+O758-P758</f>
        <v/>
      </c>
      <c r="R758" s="11">
        <f>T757</f>
        <v/>
      </c>
      <c r="S758" s="11">
        <f>N(V758) + N(X758) + N(Z758)</f>
        <v/>
      </c>
      <c r="T758" s="11">
        <f>R758+P758-S758</f>
        <v/>
      </c>
      <c r="U758" s="11" t="inlineStr">
        <is>
          <t>是</t>
        </is>
      </c>
      <c r="V758" s="11" t="n">
        <v>52</v>
      </c>
      <c r="W758" s="11" t="inlineStr">
        <is>
          <t>否</t>
        </is>
      </c>
      <c r="X758" s="11" t="inlineStr">
        <is>
          <t>-</t>
        </is>
      </c>
      <c r="Y758" s="11" t="inlineStr">
        <is>
          <t>-</t>
        </is>
      </c>
      <c r="Z758" s="11" t="n">
        <v>0</v>
      </c>
      <c r="AA758" s="11" t="inlineStr">
        <is>
          <t>垫到60抽</t>
        </is>
      </c>
      <c r="AB758" s="12">
        <f>AE757</f>
        <v/>
      </c>
      <c r="AC758" s="12" t="n">
        <v>4</v>
      </c>
      <c r="AD758" s="12" t="n">
        <v>0</v>
      </c>
      <c r="AE758" s="12">
        <f>AB758+AC758+AD758</f>
        <v/>
      </c>
      <c r="AF758" s="13">
        <f>AI757</f>
        <v/>
      </c>
      <c r="AG758" s="13" t="n">
        <v>0</v>
      </c>
      <c r="AH758" s="13" t="n">
        <v>0</v>
      </c>
      <c r="AI758" s="13">
        <f>AF758+AG758+AH758</f>
        <v/>
      </c>
      <c r="AJ758" s="14" t="n">
        <v>0</v>
      </c>
      <c r="AK758" s="14" t="n">
        <v>50</v>
      </c>
      <c r="AL758" s="14" t="n">
        <v>0</v>
      </c>
      <c r="AM758" s="14">
        <f>AJ758+AK758+AL758</f>
        <v/>
      </c>
      <c r="AN758" s="14">
        <f>AN757+AM758</f>
        <v/>
      </c>
    </row>
    <row r="759">
      <c r="A759" s="8" t="n">
        <v>30</v>
      </c>
      <c r="B759" s="8" t="n">
        <v>2</v>
      </c>
      <c r="C759" s="8" t="n">
        <v>2</v>
      </c>
      <c r="D759" s="8" t="inlineStr">
        <is>
          <t>月卡收益 [月卡续费-30元]</t>
        </is>
      </c>
      <c r="E759" s="9">
        <f>K758</f>
        <v/>
      </c>
      <c r="F759" s="9" t="n">
        <v>1540</v>
      </c>
      <c r="G759" s="9" t="n">
        <v>0</v>
      </c>
      <c r="H759" s="9" t="n">
        <v>0</v>
      </c>
      <c r="I759" s="9" t="n">
        <v>0</v>
      </c>
      <c r="J759" s="9" t="n">
        <v>480</v>
      </c>
      <c r="K759" s="9">
        <f>E759+F759+G759+H759+I759-J759</f>
        <v/>
      </c>
      <c r="L759" s="10">
        <f>Q758</f>
        <v/>
      </c>
      <c r="M759" s="10" t="n">
        <v>0</v>
      </c>
      <c r="N759" s="10" t="n">
        <v>3</v>
      </c>
      <c r="O759" s="10">
        <f>J759/160</f>
        <v/>
      </c>
      <c r="P759" s="10" t="n">
        <v>40</v>
      </c>
      <c r="Q759" s="10">
        <f>L759+M759+N759+O759-P759</f>
        <v/>
      </c>
      <c r="R759" s="11">
        <f>T758</f>
        <v/>
      </c>
      <c r="S759" s="11">
        <f>N(V759) + N(X759) + N(Z759)</f>
        <v/>
      </c>
      <c r="T759" s="11">
        <f>R759+P759-S759</f>
        <v/>
      </c>
      <c r="U759" s="11" t="inlineStr">
        <is>
          <t>是</t>
        </is>
      </c>
      <c r="V759" s="11" t="n">
        <v>52</v>
      </c>
      <c r="W759" s="11" t="inlineStr">
        <is>
          <t>否</t>
        </is>
      </c>
      <c r="X759" s="11" t="inlineStr">
        <is>
          <t>-</t>
        </is>
      </c>
      <c r="Y759" s="11" t="inlineStr">
        <is>
          <t>-</t>
        </is>
      </c>
      <c r="Z759" s="11" t="n">
        <v>0</v>
      </c>
      <c r="AA759" s="11" t="inlineStr">
        <is>
          <t>无</t>
        </is>
      </c>
      <c r="AB759" s="12">
        <f>AE758</f>
        <v/>
      </c>
      <c r="AC759" s="12" t="n">
        <v>0</v>
      </c>
      <c r="AD759" s="12" t="n">
        <v>0</v>
      </c>
      <c r="AE759" s="12">
        <f>AB759+AC759+AD759</f>
        <v/>
      </c>
      <c r="AF759" s="13">
        <f>AI758</f>
        <v/>
      </c>
      <c r="AG759" s="13" t="n">
        <v>0</v>
      </c>
      <c r="AH759" s="13" t="n">
        <v>0</v>
      </c>
      <c r="AI759" s="13">
        <f>AF759+AG759+AH759</f>
        <v/>
      </c>
      <c r="AJ759" s="14" t="n">
        <v>30</v>
      </c>
      <c r="AK759" s="14" t="n">
        <v>0</v>
      </c>
      <c r="AL759" s="14" t="n">
        <v>0</v>
      </c>
      <c r="AM759" s="14">
        <f>AJ759+AK759+AL759</f>
        <v/>
      </c>
      <c r="AN759" s="14">
        <f>AN758+AM759</f>
        <v/>
      </c>
    </row>
    <row r="760">
      <c r="A760" s="8" t="n">
        <v>30</v>
      </c>
      <c r="B760" s="8" t="n">
        <v>3</v>
      </c>
      <c r="C760" s="8" t="n">
        <v>1</v>
      </c>
      <c r="D760" s="8" t="inlineStr">
        <is>
          <t>版本免费+义相逢 + 月卡收益</t>
        </is>
      </c>
      <c r="E760" s="9">
        <f>K759</f>
        <v/>
      </c>
      <c r="F760" s="9" t="n">
        <v>1540</v>
      </c>
      <c r="G760" s="9" t="n">
        <v>4800</v>
      </c>
      <c r="H760" s="9" t="n">
        <v>0</v>
      </c>
      <c r="I760" s="9" t="n">
        <v>0</v>
      </c>
      <c r="J760" s="9" t="n">
        <v>0</v>
      </c>
      <c r="K760" s="9">
        <f>E760+F760+G760+H760+I760-J760</f>
        <v/>
      </c>
      <c r="L760" s="10">
        <f>Q759</f>
        <v/>
      </c>
      <c r="M760" s="10" t="n">
        <v>85</v>
      </c>
      <c r="N760" s="10" t="n">
        <v>6</v>
      </c>
      <c r="O760" s="10">
        <f>J760/160</f>
        <v/>
      </c>
      <c r="P760" s="10" t="n">
        <v>60</v>
      </c>
      <c r="Q760" s="10">
        <f>L760+M760+N760+O760-P760</f>
        <v/>
      </c>
      <c r="R760" s="11">
        <f>T759</f>
        <v/>
      </c>
      <c r="S760" s="11">
        <f>N(V760) + N(X760) + N(Z760)</f>
        <v/>
      </c>
      <c r="T760" s="11">
        <f>R760+P760-S760</f>
        <v/>
      </c>
      <c r="U760" s="11" t="inlineStr">
        <is>
          <t>是</t>
        </is>
      </c>
      <c r="V760" s="11" t="n">
        <v>49</v>
      </c>
      <c r="W760" s="11" t="inlineStr">
        <is>
          <t>否</t>
        </is>
      </c>
      <c r="X760" s="11" t="inlineStr">
        <is>
          <t>-</t>
        </is>
      </c>
      <c r="Y760" s="11" t="inlineStr">
        <is>
          <t>-</t>
        </is>
      </c>
      <c r="Z760" s="11" t="n">
        <v>0</v>
      </c>
      <c r="AA760" s="11" t="inlineStr">
        <is>
          <t>垫到60抽</t>
        </is>
      </c>
      <c r="AB760" s="12">
        <f>AE759</f>
        <v/>
      </c>
      <c r="AC760" s="12" t="n">
        <v>4</v>
      </c>
      <c r="AD760" s="12" t="n">
        <v>0</v>
      </c>
      <c r="AE760" s="12">
        <f>AB760+AC760+AD760</f>
        <v/>
      </c>
      <c r="AF760" s="13">
        <f>AI759</f>
        <v/>
      </c>
      <c r="AG760" s="13" t="n">
        <v>0</v>
      </c>
      <c r="AH760" s="13" t="n">
        <v>0</v>
      </c>
      <c r="AI760" s="13">
        <f>AF760+AG760+AH760</f>
        <v/>
      </c>
      <c r="AJ760" s="14" t="n">
        <v>0</v>
      </c>
      <c r="AK760" s="14" t="n">
        <v>50</v>
      </c>
      <c r="AL760" s="14" t="n">
        <v>0</v>
      </c>
      <c r="AM760" s="14">
        <f>AJ760+AK760+AL760</f>
        <v/>
      </c>
      <c r="AN760" s="14">
        <f>AN759+AM760</f>
        <v/>
      </c>
    </row>
    <row r="761">
      <c r="A761" s="8" t="n">
        <v>30</v>
      </c>
      <c r="B761" s="8" t="n">
        <v>3</v>
      </c>
      <c r="C761" s="8" t="n">
        <v>2</v>
      </c>
      <c r="D761" s="8" t="inlineStr">
        <is>
          <t>月卡收益 [月卡续费-30元]</t>
        </is>
      </c>
      <c r="E761" s="9">
        <f>K760</f>
        <v/>
      </c>
      <c r="F761" s="9" t="n">
        <v>1540</v>
      </c>
      <c r="G761" s="9" t="n">
        <v>0</v>
      </c>
      <c r="H761" s="9" t="n">
        <v>0</v>
      </c>
      <c r="I761" s="9" t="n">
        <v>0</v>
      </c>
      <c r="J761" s="9" t="n">
        <v>960</v>
      </c>
      <c r="K761" s="9">
        <f>E761+F761+G761+H761+I761-J761</f>
        <v/>
      </c>
      <c r="L761" s="10">
        <f>Q760</f>
        <v/>
      </c>
      <c r="M761" s="10" t="n">
        <v>0</v>
      </c>
      <c r="N761" s="10" t="n">
        <v>3</v>
      </c>
      <c r="O761" s="10">
        <f>J761/160</f>
        <v/>
      </c>
      <c r="P761" s="10" t="n">
        <v>40</v>
      </c>
      <c r="Q761" s="10">
        <f>L761+M761+N761+O761-P761</f>
        <v/>
      </c>
      <c r="R761" s="11">
        <f>T760</f>
        <v/>
      </c>
      <c r="S761" s="11">
        <f>N(V761) + N(X761) + N(Z761)</f>
        <v/>
      </c>
      <c r="T761" s="11">
        <f>R761+P761-S761</f>
        <v/>
      </c>
      <c r="U761" s="11" t="inlineStr">
        <is>
          <t>是</t>
        </is>
      </c>
      <c r="V761" s="11" t="n">
        <v>53</v>
      </c>
      <c r="W761" s="11" t="inlineStr">
        <is>
          <t>否</t>
        </is>
      </c>
      <c r="X761" s="11" t="inlineStr">
        <is>
          <t>-</t>
        </is>
      </c>
      <c r="Y761" s="11" t="inlineStr">
        <is>
          <t>-</t>
        </is>
      </c>
      <c r="Z761" s="11" t="n">
        <v>0</v>
      </c>
      <c r="AA761" s="11" t="inlineStr">
        <is>
          <t>无</t>
        </is>
      </c>
      <c r="AB761" s="12">
        <f>AE760</f>
        <v/>
      </c>
      <c r="AC761" s="12" t="n">
        <v>0</v>
      </c>
      <c r="AD761" s="12" t="n">
        <v>0</v>
      </c>
      <c r="AE761" s="12">
        <f>AB761+AC761+AD761</f>
        <v/>
      </c>
      <c r="AF761" s="13">
        <f>AI760</f>
        <v/>
      </c>
      <c r="AG761" s="13" t="n">
        <v>0</v>
      </c>
      <c r="AH761" s="13" t="n">
        <v>0</v>
      </c>
      <c r="AI761" s="13">
        <f>AF761+AG761+AH761</f>
        <v/>
      </c>
      <c r="AJ761" s="14" t="n">
        <v>30</v>
      </c>
      <c r="AK761" s="14" t="n">
        <v>0</v>
      </c>
      <c r="AL761" s="14" t="n">
        <v>0</v>
      </c>
      <c r="AM761" s="14">
        <f>AJ761+AK761+AL761</f>
        <v/>
      </c>
      <c r="AN761" s="14">
        <f>AN760+AM761</f>
        <v/>
      </c>
    </row>
    <row r="762">
      <c r="A762" s="8" t="n">
        <v>30</v>
      </c>
      <c r="B762" s="8" t="n">
        <v>4</v>
      </c>
      <c r="C762" s="8" t="n">
        <v>1</v>
      </c>
      <c r="D762" s="8" t="inlineStr">
        <is>
          <t>版本免费+义相逢 + 月卡收益</t>
        </is>
      </c>
      <c r="E762" s="9">
        <f>K761</f>
        <v/>
      </c>
      <c r="F762" s="9" t="n">
        <v>1540</v>
      </c>
      <c r="G762" s="9" t="n">
        <v>4800</v>
      </c>
      <c r="H762" s="9" t="n">
        <v>0</v>
      </c>
      <c r="I762" s="9" t="n">
        <v>0</v>
      </c>
      <c r="J762" s="9" t="n">
        <v>0</v>
      </c>
      <c r="K762" s="9">
        <f>E762+F762+G762+H762+I762-J762</f>
        <v/>
      </c>
      <c r="L762" s="10">
        <f>Q761</f>
        <v/>
      </c>
      <c r="M762" s="10" t="n">
        <v>85</v>
      </c>
      <c r="N762" s="10" t="n">
        <v>6</v>
      </c>
      <c r="O762" s="10">
        <f>J762/160</f>
        <v/>
      </c>
      <c r="P762" s="10" t="n">
        <v>60</v>
      </c>
      <c r="Q762" s="10">
        <f>L762+M762+N762+O762-P762</f>
        <v/>
      </c>
      <c r="R762" s="11">
        <f>T761</f>
        <v/>
      </c>
      <c r="S762" s="11">
        <f>N(V762) + N(X762) + N(Z762)</f>
        <v/>
      </c>
      <c r="T762" s="11">
        <f>R762+P762-S762</f>
        <v/>
      </c>
      <c r="U762" s="11" t="inlineStr">
        <is>
          <t>是</t>
        </is>
      </c>
      <c r="V762" s="11" t="n">
        <v>51</v>
      </c>
      <c r="W762" s="11" t="inlineStr">
        <is>
          <t>否</t>
        </is>
      </c>
      <c r="X762" s="11" t="inlineStr">
        <is>
          <t>-</t>
        </is>
      </c>
      <c r="Y762" s="11" t="inlineStr">
        <is>
          <t>-</t>
        </is>
      </c>
      <c r="Z762" s="11" t="n">
        <v>0</v>
      </c>
      <c r="AA762" s="11" t="inlineStr">
        <is>
          <t>垫到60抽</t>
        </is>
      </c>
      <c r="AB762" s="12">
        <f>AE761</f>
        <v/>
      </c>
      <c r="AC762" s="12" t="n">
        <v>4</v>
      </c>
      <c r="AD762" s="12" t="n">
        <v>0</v>
      </c>
      <c r="AE762" s="12">
        <f>AB762+AC762+AD762</f>
        <v/>
      </c>
      <c r="AF762" s="13">
        <f>AI761</f>
        <v/>
      </c>
      <c r="AG762" s="13" t="n">
        <v>0</v>
      </c>
      <c r="AH762" s="13" t="n">
        <v>0</v>
      </c>
      <c r="AI762" s="13">
        <f>AF762+AG762+AH762</f>
        <v/>
      </c>
      <c r="AJ762" s="14" t="n">
        <v>0</v>
      </c>
      <c r="AK762" s="14" t="n">
        <v>50</v>
      </c>
      <c r="AL762" s="14" t="n">
        <v>0</v>
      </c>
      <c r="AM762" s="14">
        <f>AJ762+AK762+AL762</f>
        <v/>
      </c>
      <c r="AN762" s="14">
        <f>AN761+AM762</f>
        <v/>
      </c>
    </row>
    <row r="763">
      <c r="A763" s="8" t="n">
        <v>30</v>
      </c>
      <c r="B763" s="8" t="n">
        <v>4</v>
      </c>
      <c r="C763" s="8" t="n">
        <v>2</v>
      </c>
      <c r="D763" s="8" t="inlineStr">
        <is>
          <t>月卡收益 [月卡续费-30元]</t>
        </is>
      </c>
      <c r="E763" s="9">
        <f>K762</f>
        <v/>
      </c>
      <c r="F763" s="9" t="n">
        <v>1540</v>
      </c>
      <c r="G763" s="9" t="n">
        <v>0</v>
      </c>
      <c r="H763" s="9" t="n">
        <v>0</v>
      </c>
      <c r="I763" s="9" t="n">
        <v>0</v>
      </c>
      <c r="J763" s="9" t="n">
        <v>960</v>
      </c>
      <c r="K763" s="9">
        <f>E763+F763+G763+H763+I763-J763</f>
        <v/>
      </c>
      <c r="L763" s="10">
        <f>Q762</f>
        <v/>
      </c>
      <c r="M763" s="10" t="n">
        <v>0</v>
      </c>
      <c r="N763" s="10" t="n">
        <v>3</v>
      </c>
      <c r="O763" s="10">
        <f>J763/160</f>
        <v/>
      </c>
      <c r="P763" s="10" t="n">
        <v>40</v>
      </c>
      <c r="Q763" s="10">
        <f>L763+M763+N763+O763-P763</f>
        <v/>
      </c>
      <c r="R763" s="11">
        <f>T762</f>
        <v/>
      </c>
      <c r="S763" s="11">
        <f>N(V763) + N(X763) + N(Z763)</f>
        <v/>
      </c>
      <c r="T763" s="11">
        <f>R763+P763-S763</f>
        <v/>
      </c>
      <c r="U763" s="11" t="inlineStr">
        <is>
          <t>是</t>
        </is>
      </c>
      <c r="V763" s="11" t="n">
        <v>52</v>
      </c>
      <c r="W763" s="11" t="inlineStr">
        <is>
          <t>否</t>
        </is>
      </c>
      <c r="X763" s="11" t="inlineStr">
        <is>
          <t>-</t>
        </is>
      </c>
      <c r="Y763" s="11" t="inlineStr">
        <is>
          <t>-</t>
        </is>
      </c>
      <c r="Z763" s="11" t="n">
        <v>0</v>
      </c>
      <c r="AA763" s="11" t="inlineStr">
        <is>
          <t>无</t>
        </is>
      </c>
      <c r="AB763" s="12">
        <f>AE762</f>
        <v/>
      </c>
      <c r="AC763" s="12" t="n">
        <v>0</v>
      </c>
      <c r="AD763" s="12" t="n">
        <v>0</v>
      </c>
      <c r="AE763" s="12">
        <f>AB763+AC763+AD763</f>
        <v/>
      </c>
      <c r="AF763" s="13">
        <f>AI762</f>
        <v/>
      </c>
      <c r="AG763" s="13" t="n">
        <v>0</v>
      </c>
      <c r="AH763" s="13" t="n">
        <v>0</v>
      </c>
      <c r="AI763" s="13">
        <f>AF763+AG763+AH763</f>
        <v/>
      </c>
      <c r="AJ763" s="14" t="n">
        <v>30</v>
      </c>
      <c r="AK763" s="14" t="n">
        <v>0</v>
      </c>
      <c r="AL763" s="14" t="n">
        <v>0</v>
      </c>
      <c r="AM763" s="14">
        <f>AJ763+AK763+AL763</f>
        <v/>
      </c>
      <c r="AN763" s="14">
        <f>AN762+AM763</f>
        <v/>
      </c>
    </row>
    <row r="764">
      <c r="A764" s="8" t="n">
        <v>30</v>
      </c>
      <c r="B764" s="8" t="n">
        <v>5</v>
      </c>
      <c r="C764" s="8" t="n">
        <v>1</v>
      </c>
      <c r="D764" s="8" t="inlineStr">
        <is>
          <t>版本免费+义相逢 + 月卡收益</t>
        </is>
      </c>
      <c r="E764" s="9">
        <f>K763</f>
        <v/>
      </c>
      <c r="F764" s="9" t="n">
        <v>1540</v>
      </c>
      <c r="G764" s="9" t="n">
        <v>4800</v>
      </c>
      <c r="H764" s="9" t="n">
        <v>0</v>
      </c>
      <c r="I764" s="9" t="n">
        <v>0</v>
      </c>
      <c r="J764" s="9" t="n">
        <v>0</v>
      </c>
      <c r="K764" s="9">
        <f>E764+F764+G764+H764+I764-J764</f>
        <v/>
      </c>
      <c r="L764" s="10">
        <f>Q763</f>
        <v/>
      </c>
      <c r="M764" s="10" t="n">
        <v>85</v>
      </c>
      <c r="N764" s="10" t="n">
        <v>6</v>
      </c>
      <c r="O764" s="10">
        <f>J764/160</f>
        <v/>
      </c>
      <c r="P764" s="10" t="n">
        <v>60</v>
      </c>
      <c r="Q764" s="10">
        <f>L764+M764+N764+O764-P764</f>
        <v/>
      </c>
      <c r="R764" s="11">
        <f>T763</f>
        <v/>
      </c>
      <c r="S764" s="11">
        <f>N(V764) + N(X764) + N(Z764)</f>
        <v/>
      </c>
      <c r="T764" s="11">
        <f>R764+P764-S764</f>
        <v/>
      </c>
      <c r="U764" s="11" t="inlineStr">
        <is>
          <t>是</t>
        </is>
      </c>
      <c r="V764" s="11" t="n">
        <v>50</v>
      </c>
      <c r="W764" s="11" t="inlineStr">
        <is>
          <t>否</t>
        </is>
      </c>
      <c r="X764" s="11" t="inlineStr">
        <is>
          <t>-</t>
        </is>
      </c>
      <c r="Y764" s="11" t="inlineStr">
        <is>
          <t>-</t>
        </is>
      </c>
      <c r="Z764" s="11" t="n">
        <v>0</v>
      </c>
      <c r="AA764" s="11" t="inlineStr">
        <is>
          <t>垫到60抽</t>
        </is>
      </c>
      <c r="AB764" s="12">
        <f>AE763</f>
        <v/>
      </c>
      <c r="AC764" s="12" t="n">
        <v>4</v>
      </c>
      <c r="AD764" s="12" t="n">
        <v>0</v>
      </c>
      <c r="AE764" s="12">
        <f>AB764+AC764+AD764</f>
        <v/>
      </c>
      <c r="AF764" s="13">
        <f>AI763</f>
        <v/>
      </c>
      <c r="AG764" s="13" t="n">
        <v>0</v>
      </c>
      <c r="AH764" s="13" t="n">
        <v>0</v>
      </c>
      <c r="AI764" s="13">
        <f>AF764+AG764+AH764</f>
        <v/>
      </c>
      <c r="AJ764" s="14" t="n">
        <v>0</v>
      </c>
      <c r="AK764" s="14" t="n">
        <v>50</v>
      </c>
      <c r="AL764" s="14" t="n">
        <v>0</v>
      </c>
      <c r="AM764" s="14">
        <f>AJ764+AK764+AL764</f>
        <v/>
      </c>
      <c r="AN764" s="14">
        <f>AN763+AM764</f>
        <v/>
      </c>
    </row>
    <row r="765">
      <c r="A765" s="8" t="n">
        <v>30</v>
      </c>
      <c r="B765" s="8" t="n">
        <v>5</v>
      </c>
      <c r="C765" s="8" t="n">
        <v>2</v>
      </c>
      <c r="D765" s="8" t="inlineStr">
        <is>
          <t>月卡收益 [月卡续费-30元]</t>
        </is>
      </c>
      <c r="E765" s="9">
        <f>K764</f>
        <v/>
      </c>
      <c r="F765" s="9" t="n">
        <v>1540</v>
      </c>
      <c r="G765" s="9" t="n">
        <v>0</v>
      </c>
      <c r="H765" s="9" t="n">
        <v>0</v>
      </c>
      <c r="I765" s="9" t="n">
        <v>0</v>
      </c>
      <c r="J765" s="9" t="n">
        <v>23680</v>
      </c>
      <c r="K765" s="9">
        <f>E765+F765+G765+H765+I765-J765</f>
        <v/>
      </c>
      <c r="L765" s="10">
        <f>Q764</f>
        <v/>
      </c>
      <c r="M765" s="10" t="n">
        <v>0</v>
      </c>
      <c r="N765" s="10" t="n">
        <v>21</v>
      </c>
      <c r="O765" s="10">
        <f>J765/160</f>
        <v/>
      </c>
      <c r="P765" s="10" t="n">
        <v>200</v>
      </c>
      <c r="Q765" s="10">
        <f>L765+M765+N765+O765-P765</f>
        <v/>
      </c>
      <c r="R765" s="11">
        <f>T764</f>
        <v/>
      </c>
      <c r="S765" s="11">
        <f>N(V765) + N(X765) + N(Z765)</f>
        <v/>
      </c>
      <c r="T765" s="11">
        <f>R765+P765-S765</f>
        <v/>
      </c>
      <c r="U765" s="11" t="inlineStr">
        <is>
          <t>是</t>
        </is>
      </c>
      <c r="V765" s="11" t="n">
        <v>49</v>
      </c>
      <c r="W765" s="11" t="inlineStr">
        <is>
          <t>是</t>
        </is>
      </c>
      <c r="X765" s="11" t="n">
        <v>52</v>
      </c>
      <c r="Y765" s="11" t="inlineStr">
        <is>
          <t>UP(48), UP(50)</t>
        </is>
      </c>
      <c r="Z765" s="11" t="n">
        <v>98</v>
      </c>
      <c r="AA765" s="11" t="inlineStr">
        <is>
          <t>冲刺200(动态80)</t>
        </is>
      </c>
      <c r="AB765" s="12">
        <f>AE764</f>
        <v/>
      </c>
      <c r="AC765" s="12" t="n">
        <v>0</v>
      </c>
      <c r="AD765" s="12" t="n">
        <v>1</v>
      </c>
      <c r="AE765" s="12">
        <f>AB765+AC765+AD765</f>
        <v/>
      </c>
      <c r="AF765" s="13">
        <f>AI764</f>
        <v/>
      </c>
      <c r="AG765" s="13" t="n">
        <v>0</v>
      </c>
      <c r="AH765" s="13" t="n">
        <v>5000</v>
      </c>
      <c r="AI765" s="13">
        <f>AF765+AG765+AH765</f>
        <v/>
      </c>
      <c r="AJ765" s="14" t="n">
        <v>30</v>
      </c>
      <c r="AK765" s="14" t="n">
        <v>0</v>
      </c>
      <c r="AL765" s="14" t="n">
        <v>0</v>
      </c>
      <c r="AM765" s="14">
        <f>AJ765+AK765+AL765</f>
        <v/>
      </c>
      <c r="AN765" s="14">
        <f>AN764+AM765</f>
        <v/>
      </c>
    </row>
    <row r="766">
      <c r="A766" s="8" t="n">
        <v>30</v>
      </c>
      <c r="B766" s="8" t="n">
        <v>6</v>
      </c>
      <c r="C766" s="8" t="n">
        <v>1</v>
      </c>
      <c r="D766" s="8" t="inlineStr">
        <is>
          <t>版本免费+义相逢 + 月卡收益</t>
        </is>
      </c>
      <c r="E766" s="9">
        <f>K765</f>
        <v/>
      </c>
      <c r="F766" s="9" t="n">
        <v>1540</v>
      </c>
      <c r="G766" s="9" t="n">
        <v>4800</v>
      </c>
      <c r="H766" s="9" t="n">
        <v>0</v>
      </c>
      <c r="I766" s="9" t="n">
        <v>0</v>
      </c>
      <c r="J766" s="9" t="n">
        <v>0</v>
      </c>
      <c r="K766" s="9">
        <f>E766+F766+G766+H766+I766-J766</f>
        <v/>
      </c>
      <c r="L766" s="10">
        <f>Q765</f>
        <v/>
      </c>
      <c r="M766" s="10" t="n">
        <v>85</v>
      </c>
      <c r="N766" s="10" t="n">
        <v>3</v>
      </c>
      <c r="O766" s="10">
        <f>J766/160</f>
        <v/>
      </c>
      <c r="P766" s="10" t="n">
        <v>40</v>
      </c>
      <c r="Q766" s="10">
        <f>L766+M766+N766+O766-P766</f>
        <v/>
      </c>
      <c r="R766" s="11">
        <f>T765</f>
        <v/>
      </c>
      <c r="S766" s="11">
        <f>N(V766) + N(X766) + N(Z766)</f>
        <v/>
      </c>
      <c r="T766" s="11">
        <f>R766+P766-S766</f>
        <v/>
      </c>
      <c r="U766" s="11" t="inlineStr">
        <is>
          <t>是</t>
        </is>
      </c>
      <c r="V766" s="11" t="n">
        <v>50</v>
      </c>
      <c r="W766" s="11" t="inlineStr">
        <is>
          <t>否</t>
        </is>
      </c>
      <c r="X766" s="11" t="inlineStr">
        <is>
          <t>-</t>
        </is>
      </c>
      <c r="Y766" s="11" t="inlineStr">
        <is>
          <t>-</t>
        </is>
      </c>
      <c r="Z766" s="11" t="n">
        <v>0</v>
      </c>
      <c r="AA766" s="11" t="inlineStr">
        <is>
          <t>无</t>
        </is>
      </c>
      <c r="AB766" s="12">
        <f>AE765</f>
        <v/>
      </c>
      <c r="AC766" s="12" t="n">
        <v>4</v>
      </c>
      <c r="AD766" s="12" t="n">
        <v>0</v>
      </c>
      <c r="AE766" s="12">
        <f>AB766+AC766+AD766</f>
        <v/>
      </c>
      <c r="AF766" s="13">
        <f>AI765</f>
        <v/>
      </c>
      <c r="AG766" s="13" t="n">
        <v>0</v>
      </c>
      <c r="AH766" s="13" t="n">
        <v>0</v>
      </c>
      <c r="AI766" s="13">
        <f>AF766+AG766+AH766</f>
        <v/>
      </c>
      <c r="AJ766" s="14" t="n">
        <v>0</v>
      </c>
      <c r="AK766" s="14" t="n">
        <v>50</v>
      </c>
      <c r="AL766" s="14" t="n">
        <v>0</v>
      </c>
      <c r="AM766" s="14">
        <f>AJ766+AK766+AL766</f>
        <v/>
      </c>
      <c r="AN766" s="14">
        <f>AN765+AM766</f>
        <v/>
      </c>
    </row>
    <row r="767">
      <c r="A767" s="8" t="n">
        <v>30</v>
      </c>
      <c r="B767" s="8" t="n">
        <v>6</v>
      </c>
      <c r="C767" s="8" t="n">
        <v>2</v>
      </c>
      <c r="D767" s="8" t="inlineStr">
        <is>
          <t>月卡收益</t>
        </is>
      </c>
      <c r="E767" s="9">
        <f>K766</f>
        <v/>
      </c>
      <c r="F767" s="9" t="n">
        <v>1540</v>
      </c>
      <c r="G767" s="9" t="n">
        <v>0</v>
      </c>
      <c r="H767" s="9" t="n">
        <v>0</v>
      </c>
      <c r="I767" s="9" t="n">
        <v>0</v>
      </c>
      <c r="J767" s="9" t="n">
        <v>20960</v>
      </c>
      <c r="K767" s="9">
        <f>E767+F767+G767+H767+I767-J767</f>
        <v/>
      </c>
      <c r="L767" s="10">
        <f>Q766</f>
        <v/>
      </c>
      <c r="M767" s="10" t="n">
        <v>0</v>
      </c>
      <c r="N767" s="10" t="n">
        <v>21</v>
      </c>
      <c r="O767" s="10">
        <f>J767/160</f>
        <v/>
      </c>
      <c r="P767" s="10" t="n">
        <v>200</v>
      </c>
      <c r="Q767" s="10">
        <f>L767+M767+N767+O767-P767</f>
        <v/>
      </c>
      <c r="R767" s="11">
        <f>T766</f>
        <v/>
      </c>
      <c r="S767" s="11">
        <f>N(V767) + N(X767) + N(Z767)</f>
        <v/>
      </c>
      <c r="T767" s="11">
        <f>R767+P767-S767</f>
        <v/>
      </c>
      <c r="U767" s="11" t="inlineStr">
        <is>
          <t>是</t>
        </is>
      </c>
      <c r="V767" s="11" t="n">
        <v>51</v>
      </c>
      <c r="W767" s="11" t="inlineStr">
        <is>
          <t>是</t>
        </is>
      </c>
      <c r="X767" s="11" t="n">
        <v>47</v>
      </c>
      <c r="Y767" s="11" t="inlineStr">
        <is>
          <t>UP(49), 歪(51)</t>
        </is>
      </c>
      <c r="Z767" s="11" t="n">
        <v>100</v>
      </c>
      <c r="AA767" s="11" t="inlineStr">
        <is>
          <t>冲刺200(动态100)</t>
        </is>
      </c>
      <c r="AB767" s="12">
        <f>AE766</f>
        <v/>
      </c>
      <c r="AC767" s="12" t="n">
        <v>0</v>
      </c>
      <c r="AD767" s="12" t="n">
        <v>1</v>
      </c>
      <c r="AE767" s="12">
        <f>AB767+AC767+AD767</f>
        <v/>
      </c>
      <c r="AF767" s="13">
        <f>AI766</f>
        <v/>
      </c>
      <c r="AG767" s="13" t="n">
        <v>0</v>
      </c>
      <c r="AH767" s="13" t="n">
        <v>5000</v>
      </c>
      <c r="AI767" s="13">
        <f>AF767+AG767+AH767</f>
        <v/>
      </c>
      <c r="AJ767" s="14" t="n">
        <v>0</v>
      </c>
      <c r="AK767" s="14" t="n">
        <v>0</v>
      </c>
      <c r="AL767" s="14" t="n">
        <v>0</v>
      </c>
      <c r="AM767" s="14">
        <f>AJ767+AK767+AL767</f>
        <v/>
      </c>
      <c r="AN767" s="14">
        <f>AN766+AM767</f>
        <v/>
      </c>
    </row>
    <row r="768">
      <c r="A768" s="8" t="n">
        <v>30</v>
      </c>
      <c r="B768" s="8" t="n">
        <v>7</v>
      </c>
      <c r="C768" s="8" t="n">
        <v>1</v>
      </c>
      <c r="D768" s="8" t="inlineStr">
        <is>
          <t>版本免费+义相逢 + 月卡收益 [月卡续费-30元]</t>
        </is>
      </c>
      <c r="E768" s="9">
        <f>K767</f>
        <v/>
      </c>
      <c r="F768" s="9" t="n">
        <v>1540</v>
      </c>
      <c r="G768" s="9" t="n">
        <v>4800</v>
      </c>
      <c r="H768" s="9" t="n">
        <v>0</v>
      </c>
      <c r="I768" s="9" t="n">
        <v>0</v>
      </c>
      <c r="J768" s="9" t="n">
        <v>0</v>
      </c>
      <c r="K768" s="9">
        <f>E768+F768+G768+H768+I768-J768</f>
        <v/>
      </c>
      <c r="L768" s="10">
        <f>Q767</f>
        <v/>
      </c>
      <c r="M768" s="10" t="n">
        <v>85</v>
      </c>
      <c r="N768" s="10" t="n">
        <v>6</v>
      </c>
      <c r="O768" s="10">
        <f>J768/160</f>
        <v/>
      </c>
      <c r="P768" s="10" t="n">
        <v>60</v>
      </c>
      <c r="Q768" s="10">
        <f>L768+M768+N768+O768-P768</f>
        <v/>
      </c>
      <c r="R768" s="11">
        <f>T767</f>
        <v/>
      </c>
      <c r="S768" s="11">
        <f>N(V768) + N(X768) + N(Z768)</f>
        <v/>
      </c>
      <c r="T768" s="11">
        <f>R768+P768-S768</f>
        <v/>
      </c>
      <c r="U768" s="11" t="inlineStr">
        <is>
          <t>是</t>
        </is>
      </c>
      <c r="V768" s="11" t="n">
        <v>49</v>
      </c>
      <c r="W768" s="11" t="inlineStr">
        <is>
          <t>否</t>
        </is>
      </c>
      <c r="X768" s="11" t="inlineStr">
        <is>
          <t>-</t>
        </is>
      </c>
      <c r="Y768" s="11" t="inlineStr">
        <is>
          <t>-</t>
        </is>
      </c>
      <c r="Z768" s="11" t="n">
        <v>0</v>
      </c>
      <c r="AA768" s="11" t="inlineStr">
        <is>
          <t>垫到60抽</t>
        </is>
      </c>
      <c r="AB768" s="12">
        <f>AE767</f>
        <v/>
      </c>
      <c r="AC768" s="12" t="n">
        <v>4</v>
      </c>
      <c r="AD768" s="12" t="n">
        <v>0</v>
      </c>
      <c r="AE768" s="12">
        <f>AB768+AC768+AD768</f>
        <v/>
      </c>
      <c r="AF768" s="13">
        <f>AI767</f>
        <v/>
      </c>
      <c r="AG768" s="13" t="n">
        <v>0</v>
      </c>
      <c r="AH768" s="13" t="n">
        <v>0</v>
      </c>
      <c r="AI768" s="13">
        <f>AF768+AG768+AH768</f>
        <v/>
      </c>
      <c r="AJ768" s="14" t="n">
        <v>30</v>
      </c>
      <c r="AK768" s="14" t="n">
        <v>50</v>
      </c>
      <c r="AL768" s="14" t="n">
        <v>0</v>
      </c>
      <c r="AM768" s="14">
        <f>AJ768+AK768+AL768</f>
        <v/>
      </c>
      <c r="AN768" s="14">
        <f>AN767+AM768</f>
        <v/>
      </c>
    </row>
    <row r="769">
      <c r="A769" s="8" t="n">
        <v>30</v>
      </c>
      <c r="B769" s="8" t="n">
        <v>7</v>
      </c>
      <c r="C769" s="8" t="n">
        <v>2</v>
      </c>
      <c r="D769" s="8" t="inlineStr">
        <is>
          <t>月卡收益</t>
        </is>
      </c>
      <c r="E769" s="9">
        <f>K768</f>
        <v/>
      </c>
      <c r="F769" s="9" t="n">
        <v>1540</v>
      </c>
      <c r="G769" s="9" t="n">
        <v>0</v>
      </c>
      <c r="H769" s="9" t="n">
        <v>0</v>
      </c>
      <c r="I769" s="9" t="n">
        <v>0</v>
      </c>
      <c r="J769" s="9" t="n">
        <v>960</v>
      </c>
      <c r="K769" s="9">
        <f>E769+F769+G769+H769+I769-J769</f>
        <v/>
      </c>
      <c r="L769" s="10">
        <f>Q768</f>
        <v/>
      </c>
      <c r="M769" s="10" t="n">
        <v>0</v>
      </c>
      <c r="N769" s="10" t="n">
        <v>3</v>
      </c>
      <c r="O769" s="10">
        <f>J769/160</f>
        <v/>
      </c>
      <c r="P769" s="10" t="n">
        <v>40</v>
      </c>
      <c r="Q769" s="10">
        <f>L769+M769+N769+O769-P769</f>
        <v/>
      </c>
      <c r="R769" s="11">
        <f>T768</f>
        <v/>
      </c>
      <c r="S769" s="11">
        <f>N(V769) + N(X769) + N(Z769)</f>
        <v/>
      </c>
      <c r="T769" s="11">
        <f>R769+P769-S769</f>
        <v/>
      </c>
      <c r="U769" s="11" t="inlineStr">
        <is>
          <t>是</t>
        </is>
      </c>
      <c r="V769" s="11" t="n">
        <v>55</v>
      </c>
      <c r="W769" s="11" t="inlineStr">
        <is>
          <t>否</t>
        </is>
      </c>
      <c r="X769" s="11" t="inlineStr">
        <is>
          <t>-</t>
        </is>
      </c>
      <c r="Y769" s="11" t="inlineStr">
        <is>
          <t>-</t>
        </is>
      </c>
      <c r="Z769" s="11" t="n">
        <v>0</v>
      </c>
      <c r="AA769" s="11" t="inlineStr">
        <is>
          <t>无</t>
        </is>
      </c>
      <c r="AB769" s="12">
        <f>AE768</f>
        <v/>
      </c>
      <c r="AC769" s="12" t="n">
        <v>0</v>
      </c>
      <c r="AD769" s="12" t="n">
        <v>0</v>
      </c>
      <c r="AE769" s="12">
        <f>AB769+AC769+AD769</f>
        <v/>
      </c>
      <c r="AF769" s="13">
        <f>AI768</f>
        <v/>
      </c>
      <c r="AG769" s="13" t="n">
        <v>0</v>
      </c>
      <c r="AH769" s="13" t="n">
        <v>0</v>
      </c>
      <c r="AI769" s="13">
        <f>AF769+AG769+AH769</f>
        <v/>
      </c>
      <c r="AJ769" s="14" t="n">
        <v>0</v>
      </c>
      <c r="AK769" s="14" t="n">
        <v>0</v>
      </c>
      <c r="AL769" s="14" t="n">
        <v>0</v>
      </c>
      <c r="AM769" s="14">
        <f>AJ769+AK769+AL769</f>
        <v/>
      </c>
      <c r="AN769" s="14">
        <f>AN768+AM769</f>
        <v/>
      </c>
    </row>
    <row r="770">
      <c r="A770" s="8" t="n">
        <v>30</v>
      </c>
      <c r="B770" s="8" t="n">
        <v>8</v>
      </c>
      <c r="C770" s="8" t="n">
        <v>1</v>
      </c>
      <c r="D770" s="8" t="inlineStr">
        <is>
          <t>版本免费+义相逢 + 月卡收益 [月卡续费-30元]</t>
        </is>
      </c>
      <c r="E770" s="9">
        <f>K769</f>
        <v/>
      </c>
      <c r="F770" s="9" t="n">
        <v>1540</v>
      </c>
      <c r="G770" s="9" t="n">
        <v>4800</v>
      </c>
      <c r="H770" s="9" t="n">
        <v>0</v>
      </c>
      <c r="I770" s="9" t="n">
        <v>0</v>
      </c>
      <c r="J770" s="9" t="n">
        <v>15040</v>
      </c>
      <c r="K770" s="9">
        <f>E770+F770+G770+H770+I770-J770</f>
        <v/>
      </c>
      <c r="L770" s="10">
        <f>Q769</f>
        <v/>
      </c>
      <c r="M770" s="10" t="n">
        <v>85</v>
      </c>
      <c r="N770" s="10" t="n">
        <v>21</v>
      </c>
      <c r="O770" s="10">
        <f>J770/160</f>
        <v/>
      </c>
      <c r="P770" s="10" t="n">
        <v>200</v>
      </c>
      <c r="Q770" s="10">
        <f>L770+M770+N770+O770-P770</f>
        <v/>
      </c>
      <c r="R770" s="11">
        <f>T769</f>
        <v/>
      </c>
      <c r="S770" s="11">
        <f>N(V770) + N(X770) + N(Z770)</f>
        <v/>
      </c>
      <c r="T770" s="11">
        <f>R770+P770-S770</f>
        <v/>
      </c>
      <c r="U770" s="11" t="inlineStr">
        <is>
          <t>是</t>
        </is>
      </c>
      <c r="V770" s="11" t="n">
        <v>48</v>
      </c>
      <c r="W770" s="11" t="inlineStr">
        <is>
          <t>是</t>
        </is>
      </c>
      <c r="X770" s="11" t="n">
        <v>51</v>
      </c>
      <c r="Y770" s="11" t="inlineStr">
        <is>
          <t>歪(47), UP(48)</t>
        </is>
      </c>
      <c r="Z770" s="11" t="n">
        <v>95</v>
      </c>
      <c r="AA770" s="11" t="inlineStr">
        <is>
          <t>冲刺200(动态100)</t>
        </is>
      </c>
      <c r="AB770" s="12">
        <f>AE769</f>
        <v/>
      </c>
      <c r="AC770" s="12" t="n">
        <v>4</v>
      </c>
      <c r="AD770" s="12" t="n">
        <v>1</v>
      </c>
      <c r="AE770" s="12">
        <f>AB770+AC770+AD770</f>
        <v/>
      </c>
      <c r="AF770" s="13">
        <f>AI769</f>
        <v/>
      </c>
      <c r="AG770" s="13" t="n">
        <v>0</v>
      </c>
      <c r="AH770" s="13" t="n">
        <v>5000</v>
      </c>
      <c r="AI770" s="13">
        <f>AF770+AG770+AH770</f>
        <v/>
      </c>
      <c r="AJ770" s="14" t="n">
        <v>30</v>
      </c>
      <c r="AK770" s="14" t="n">
        <v>50</v>
      </c>
      <c r="AL770" s="14" t="n">
        <v>0</v>
      </c>
      <c r="AM770" s="14">
        <f>AJ770+AK770+AL770</f>
        <v/>
      </c>
      <c r="AN770" s="14">
        <f>AN769+AM770</f>
        <v/>
      </c>
    </row>
    <row r="771">
      <c r="A771" s="8" t="n">
        <v>30</v>
      </c>
      <c r="B771" s="8" t="n">
        <v>8</v>
      </c>
      <c r="C771" s="8" t="n">
        <v>2</v>
      </c>
      <c r="D771" s="8" t="inlineStr">
        <is>
          <t>月卡收益</t>
        </is>
      </c>
      <c r="E771" s="9">
        <f>K770</f>
        <v/>
      </c>
      <c r="F771" s="9" t="n">
        <v>1540</v>
      </c>
      <c r="G771" s="9" t="n">
        <v>0</v>
      </c>
      <c r="H771" s="9" t="n">
        <v>0</v>
      </c>
      <c r="I771" s="9" t="n">
        <v>0</v>
      </c>
      <c r="J771" s="9" t="n">
        <v>9120</v>
      </c>
      <c r="K771" s="9">
        <f>E771+F771+G771+H771+I771-J771</f>
        <v/>
      </c>
      <c r="L771" s="10">
        <f>Q770</f>
        <v/>
      </c>
      <c r="M771" s="10" t="n">
        <v>0</v>
      </c>
      <c r="N771" s="10" t="n">
        <v>6</v>
      </c>
      <c r="O771" s="10">
        <f>J771/160</f>
        <v/>
      </c>
      <c r="P771" s="10" t="n">
        <v>60</v>
      </c>
      <c r="Q771" s="10">
        <f>L771+M771+N771+O771-P771</f>
        <v/>
      </c>
      <c r="R771" s="11">
        <f>T770</f>
        <v/>
      </c>
      <c r="S771" s="11">
        <f>N(V771) + N(X771) + N(Z771)</f>
        <v/>
      </c>
      <c r="T771" s="11">
        <f>R771+P771-S771</f>
        <v/>
      </c>
      <c r="U771" s="11" t="inlineStr">
        <is>
          <t>是</t>
        </is>
      </c>
      <c r="V771" s="11" t="n">
        <v>50</v>
      </c>
      <c r="W771" s="11" t="inlineStr">
        <is>
          <t>否</t>
        </is>
      </c>
      <c r="X771" s="11" t="inlineStr">
        <is>
          <t>-</t>
        </is>
      </c>
      <c r="Y771" s="11" t="inlineStr">
        <is>
          <t>-</t>
        </is>
      </c>
      <c r="Z771" s="11" t="n">
        <v>0</v>
      </c>
      <c r="AA771" s="11" t="inlineStr">
        <is>
          <t>垫到60抽</t>
        </is>
      </c>
      <c r="AB771" s="12">
        <f>AE770</f>
        <v/>
      </c>
      <c r="AC771" s="12" t="n">
        <v>0</v>
      </c>
      <c r="AD771" s="12" t="n">
        <v>0</v>
      </c>
      <c r="AE771" s="12">
        <f>AB771+AC771+AD771</f>
        <v/>
      </c>
      <c r="AF771" s="13">
        <f>AI770</f>
        <v/>
      </c>
      <c r="AG771" s="13" t="n">
        <v>0</v>
      </c>
      <c r="AH771" s="13" t="n">
        <v>0</v>
      </c>
      <c r="AI771" s="13">
        <f>AF771+AG771+AH771</f>
        <v/>
      </c>
      <c r="AJ771" s="14" t="n">
        <v>0</v>
      </c>
      <c r="AK771" s="14" t="n">
        <v>0</v>
      </c>
      <c r="AL771" s="14" t="n">
        <v>0</v>
      </c>
      <c r="AM771" s="14">
        <f>AJ771+AK771+AL771</f>
        <v/>
      </c>
      <c r="AN771" s="14">
        <f>AN770+AM771</f>
        <v/>
      </c>
    </row>
    <row r="772">
      <c r="A772" s="8" t="n">
        <v>30</v>
      </c>
      <c r="B772" s="8" t="n">
        <v>9</v>
      </c>
      <c r="C772" s="8" t="n">
        <v>1</v>
      </c>
      <c r="D772" s="8" t="inlineStr">
        <is>
          <t>版本免费+义相逢 + 月卡收益 [月卡续费-30元]</t>
        </is>
      </c>
      <c r="E772" s="9">
        <f>K771</f>
        <v/>
      </c>
      <c r="F772" s="9" t="n">
        <v>1540</v>
      </c>
      <c r="G772" s="9" t="n">
        <v>4800</v>
      </c>
      <c r="H772" s="9" t="n">
        <v>0</v>
      </c>
      <c r="I772" s="9" t="n">
        <v>0</v>
      </c>
      <c r="J772" s="9" t="n">
        <v>0</v>
      </c>
      <c r="K772" s="9">
        <f>E772+F772+G772+H772+I772-J772</f>
        <v/>
      </c>
      <c r="L772" s="10">
        <f>Q771</f>
        <v/>
      </c>
      <c r="M772" s="10" t="n">
        <v>85</v>
      </c>
      <c r="N772" s="10" t="n">
        <v>11</v>
      </c>
      <c r="O772" s="10">
        <f>J772/160</f>
        <v/>
      </c>
      <c r="P772" s="10" t="n">
        <v>90</v>
      </c>
      <c r="Q772" s="10">
        <f>L772+M772+N772+O772-P772</f>
        <v/>
      </c>
      <c r="R772" s="11">
        <f>T771</f>
        <v/>
      </c>
      <c r="S772" s="11">
        <f>N(V772) + N(X772) + N(Z772)</f>
        <v/>
      </c>
      <c r="T772" s="11">
        <f>R772+P772-S772</f>
        <v/>
      </c>
      <c r="U772" s="11" t="inlineStr">
        <is>
          <t>是</t>
        </is>
      </c>
      <c r="V772" s="11" t="n">
        <v>49</v>
      </c>
      <c r="W772" s="11" t="inlineStr">
        <is>
          <t>是</t>
        </is>
      </c>
      <c r="X772" s="11" t="n">
        <v>50</v>
      </c>
      <c r="Y772" s="11" t="inlineStr">
        <is>
          <t>-</t>
        </is>
      </c>
      <c r="Z772" s="11" t="n">
        <v>0</v>
      </c>
      <c r="AA772" s="11" t="inlineStr">
        <is>
          <t>无</t>
        </is>
      </c>
      <c r="AB772" s="12">
        <f>AE771</f>
        <v/>
      </c>
      <c r="AC772" s="12" t="n">
        <v>4</v>
      </c>
      <c r="AD772" s="12" t="n">
        <v>0</v>
      </c>
      <c r="AE772" s="12">
        <f>AB772+AC772+AD772</f>
        <v/>
      </c>
      <c r="AF772" s="13">
        <f>AI771</f>
        <v/>
      </c>
      <c r="AG772" s="13" t="n">
        <v>0</v>
      </c>
      <c r="AH772" s="13" t="n">
        <v>0</v>
      </c>
      <c r="AI772" s="13">
        <f>AF772+AG772+AH772</f>
        <v/>
      </c>
      <c r="AJ772" s="14" t="n">
        <v>30</v>
      </c>
      <c r="AK772" s="14" t="n">
        <v>50</v>
      </c>
      <c r="AL772" s="14" t="n">
        <v>0</v>
      </c>
      <c r="AM772" s="14">
        <f>AJ772+AK772+AL772</f>
        <v/>
      </c>
      <c r="AN772" s="14">
        <f>AN771+AM772</f>
        <v/>
      </c>
    </row>
    <row r="773">
      <c r="A773" s="8" t="n">
        <v>30</v>
      </c>
      <c r="B773" s="8" t="n">
        <v>9</v>
      </c>
      <c r="C773" s="8" t="n">
        <v>2</v>
      </c>
      <c r="D773" s="8" t="inlineStr">
        <is>
          <t>月卡收益</t>
        </is>
      </c>
      <c r="E773" s="9">
        <f>K772</f>
        <v/>
      </c>
      <c r="F773" s="9" t="n">
        <v>1540</v>
      </c>
      <c r="G773" s="9" t="n">
        <v>0</v>
      </c>
      <c r="H773" s="9" t="n">
        <v>0</v>
      </c>
      <c r="I773" s="9" t="n">
        <v>0</v>
      </c>
      <c r="J773" s="9" t="n">
        <v>7680</v>
      </c>
      <c r="K773" s="9">
        <f>E773+F773+G773+H773+I773-J773</f>
        <v/>
      </c>
      <c r="L773" s="10">
        <f>Q772</f>
        <v/>
      </c>
      <c r="M773" s="10" t="n">
        <v>0</v>
      </c>
      <c r="N773" s="10" t="n">
        <v>6</v>
      </c>
      <c r="O773" s="10">
        <f>J773/160</f>
        <v/>
      </c>
      <c r="P773" s="10" t="n">
        <v>60</v>
      </c>
      <c r="Q773" s="10">
        <f>L773+M773+N773+O773-P773</f>
        <v/>
      </c>
      <c r="R773" s="11">
        <f>T772</f>
        <v/>
      </c>
      <c r="S773" s="11">
        <f>N(V773) + N(X773) + N(Z773)</f>
        <v/>
      </c>
      <c r="T773" s="11">
        <f>R773+P773-S773</f>
        <v/>
      </c>
      <c r="U773" s="11" t="inlineStr">
        <is>
          <t>是</t>
        </is>
      </c>
      <c r="V773" s="11" t="n">
        <v>52</v>
      </c>
      <c r="W773" s="11" t="inlineStr">
        <is>
          <t>否</t>
        </is>
      </c>
      <c r="X773" s="11" t="inlineStr">
        <is>
          <t>-</t>
        </is>
      </c>
      <c r="Y773" s="11" t="inlineStr">
        <is>
          <t>-</t>
        </is>
      </c>
      <c r="Z773" s="11" t="n">
        <v>0</v>
      </c>
      <c r="AA773" s="11" t="inlineStr">
        <is>
          <t>垫到60抽</t>
        </is>
      </c>
      <c r="AB773" s="12">
        <f>AE772</f>
        <v/>
      </c>
      <c r="AC773" s="12" t="n">
        <v>0</v>
      </c>
      <c r="AD773" s="12" t="n">
        <v>0</v>
      </c>
      <c r="AE773" s="12">
        <f>AB773+AC773+AD773</f>
        <v/>
      </c>
      <c r="AF773" s="13">
        <f>AI772</f>
        <v/>
      </c>
      <c r="AG773" s="13" t="n">
        <v>0</v>
      </c>
      <c r="AH773" s="13" t="n">
        <v>0</v>
      </c>
      <c r="AI773" s="13">
        <f>AF773+AG773+AH773</f>
        <v/>
      </c>
      <c r="AJ773" s="14" t="n">
        <v>0</v>
      </c>
      <c r="AK773" s="14" t="n">
        <v>0</v>
      </c>
      <c r="AL773" s="14" t="n">
        <v>0</v>
      </c>
      <c r="AM773" s="14">
        <f>AJ773+AK773+AL773</f>
        <v/>
      </c>
      <c r="AN773" s="14">
        <f>AN772+AM773</f>
        <v/>
      </c>
    </row>
    <row r="774">
      <c r="A774" s="8" t="n">
        <v>30</v>
      </c>
      <c r="B774" s="8" t="n">
        <v>10</v>
      </c>
      <c r="C774" s="8" t="n">
        <v>1</v>
      </c>
      <c r="D774" s="8" t="inlineStr">
        <is>
          <t>版本免费+义相逢 + 月卡收益 [月卡续费-30元]</t>
        </is>
      </c>
      <c r="E774" s="9">
        <f>K773</f>
        <v/>
      </c>
      <c r="F774" s="9" t="n">
        <v>1540</v>
      </c>
      <c r="G774" s="9" t="n">
        <v>4800</v>
      </c>
      <c r="H774" s="9" t="n">
        <v>0</v>
      </c>
      <c r="I774" s="9" t="n">
        <v>0</v>
      </c>
      <c r="J774" s="9" t="n">
        <v>0</v>
      </c>
      <c r="K774" s="9">
        <f>E774+F774+G774+H774+I774-J774</f>
        <v/>
      </c>
      <c r="L774" s="10">
        <f>Q773</f>
        <v/>
      </c>
      <c r="M774" s="10" t="n">
        <v>85</v>
      </c>
      <c r="N774" s="10" t="n">
        <v>3</v>
      </c>
      <c r="O774" s="10">
        <f>J774/160</f>
        <v/>
      </c>
      <c r="P774" s="10" t="n">
        <v>40</v>
      </c>
      <c r="Q774" s="10">
        <f>L774+M774+N774+O774-P774</f>
        <v/>
      </c>
      <c r="R774" s="11">
        <f>T773</f>
        <v/>
      </c>
      <c r="S774" s="11">
        <f>N(V774) + N(X774) + N(Z774)</f>
        <v/>
      </c>
      <c r="T774" s="11">
        <f>R774+P774-S774</f>
        <v/>
      </c>
      <c r="U774" s="11" t="inlineStr">
        <is>
          <t>是</t>
        </is>
      </c>
      <c r="V774" s="11" t="n">
        <v>48</v>
      </c>
      <c r="W774" s="11" t="inlineStr">
        <is>
          <t>否</t>
        </is>
      </c>
      <c r="X774" s="11" t="inlineStr">
        <is>
          <t>-</t>
        </is>
      </c>
      <c r="Y774" s="11" t="inlineStr">
        <is>
          <t>-</t>
        </is>
      </c>
      <c r="Z774" s="11" t="n">
        <v>0</v>
      </c>
      <c r="AA774" s="11" t="inlineStr">
        <is>
          <t>无</t>
        </is>
      </c>
      <c r="AB774" s="12">
        <f>AE773</f>
        <v/>
      </c>
      <c r="AC774" s="12" t="n">
        <v>4</v>
      </c>
      <c r="AD774" s="12" t="n">
        <v>0</v>
      </c>
      <c r="AE774" s="12">
        <f>AB774+AC774+AD774</f>
        <v/>
      </c>
      <c r="AF774" s="13">
        <f>AI773</f>
        <v/>
      </c>
      <c r="AG774" s="13" t="n">
        <v>0</v>
      </c>
      <c r="AH774" s="13" t="n">
        <v>0</v>
      </c>
      <c r="AI774" s="13">
        <f>AF774+AG774+AH774</f>
        <v/>
      </c>
      <c r="AJ774" s="14" t="n">
        <v>30</v>
      </c>
      <c r="AK774" s="14" t="n">
        <v>50</v>
      </c>
      <c r="AL774" s="14" t="n">
        <v>0</v>
      </c>
      <c r="AM774" s="14">
        <f>AJ774+AK774+AL774</f>
        <v/>
      </c>
      <c r="AN774" s="14">
        <f>AN773+AM774</f>
        <v/>
      </c>
    </row>
    <row r="775">
      <c r="A775" s="8" t="n">
        <v>30</v>
      </c>
      <c r="B775" s="8" t="n">
        <v>10</v>
      </c>
      <c r="C775" s="8" t="n">
        <v>2</v>
      </c>
      <c r="D775" s="8" t="inlineStr">
        <is>
          <t>月卡收益</t>
        </is>
      </c>
      <c r="E775" s="9">
        <f>K774</f>
        <v/>
      </c>
      <c r="F775" s="9" t="n">
        <v>1540</v>
      </c>
      <c r="G775" s="9" t="n">
        <v>0</v>
      </c>
      <c r="H775" s="9" t="n">
        <v>0</v>
      </c>
      <c r="I775" s="9" t="n">
        <v>0</v>
      </c>
      <c r="J775" s="9" t="n">
        <v>960</v>
      </c>
      <c r="K775" s="9">
        <f>E775+F775+G775+H775+I775-J775</f>
        <v/>
      </c>
      <c r="L775" s="10">
        <f>Q774</f>
        <v/>
      </c>
      <c r="M775" s="10" t="n">
        <v>0</v>
      </c>
      <c r="N775" s="10" t="n">
        <v>6</v>
      </c>
      <c r="O775" s="10">
        <f>J775/160</f>
        <v/>
      </c>
      <c r="P775" s="10" t="n">
        <v>60</v>
      </c>
      <c r="Q775" s="10">
        <f>L775+M775+N775+O775-P775</f>
        <v/>
      </c>
      <c r="R775" s="11">
        <f>T774</f>
        <v/>
      </c>
      <c r="S775" s="11">
        <f>N(V775) + N(X775) + N(Z775)</f>
        <v/>
      </c>
      <c r="T775" s="11">
        <f>R775+P775-S775</f>
        <v/>
      </c>
      <c r="U775" s="11" t="inlineStr">
        <is>
          <t>是</t>
        </is>
      </c>
      <c r="V775" s="11" t="n">
        <v>50</v>
      </c>
      <c r="W775" s="11" t="inlineStr">
        <is>
          <t>否</t>
        </is>
      </c>
      <c r="X775" s="11" t="inlineStr">
        <is>
          <t>-</t>
        </is>
      </c>
      <c r="Y775" s="11" t="inlineStr">
        <is>
          <t>-</t>
        </is>
      </c>
      <c r="Z775" s="11" t="n">
        <v>0</v>
      </c>
      <c r="AA775" s="11" t="inlineStr">
        <is>
          <t>垫到60抽</t>
        </is>
      </c>
      <c r="AB775" s="12">
        <f>AE774</f>
        <v/>
      </c>
      <c r="AC775" s="12" t="n">
        <v>0</v>
      </c>
      <c r="AD775" s="12" t="n">
        <v>0</v>
      </c>
      <c r="AE775" s="12">
        <f>AB775+AC775+AD775</f>
        <v/>
      </c>
      <c r="AF775" s="13">
        <f>AI774</f>
        <v/>
      </c>
      <c r="AG775" s="13" t="n">
        <v>0</v>
      </c>
      <c r="AH775" s="13" t="n">
        <v>0</v>
      </c>
      <c r="AI775" s="13">
        <f>AF775+AG775+AH775</f>
        <v/>
      </c>
      <c r="AJ775" s="14" t="n">
        <v>0</v>
      </c>
      <c r="AK775" s="14" t="n">
        <v>0</v>
      </c>
      <c r="AL775" s="14" t="n">
        <v>0</v>
      </c>
      <c r="AM775" s="14">
        <f>AJ775+AK775+AL775</f>
        <v/>
      </c>
      <c r="AN775" s="14">
        <f>AN774+AM775</f>
        <v/>
      </c>
    </row>
    <row r="776">
      <c r="A776" s="8" t="n">
        <v>30</v>
      </c>
      <c r="B776" s="8" t="n">
        <v>11</v>
      </c>
      <c r="C776" s="8" t="n">
        <v>1</v>
      </c>
      <c r="D776" s="8" t="inlineStr">
        <is>
          <t>版本免费+义相逢 + 月卡收益 [月卡续费-30元]</t>
        </is>
      </c>
      <c r="E776" s="9">
        <f>K775</f>
        <v/>
      </c>
      <c r="F776" s="9" t="n">
        <v>1540</v>
      </c>
      <c r="G776" s="9" t="n">
        <v>4800</v>
      </c>
      <c r="H776" s="9" t="n">
        <v>0</v>
      </c>
      <c r="I776" s="9" t="n">
        <v>0</v>
      </c>
      <c r="J776" s="9" t="n">
        <v>0</v>
      </c>
      <c r="K776" s="9">
        <f>E776+F776+G776+H776+I776-J776</f>
        <v/>
      </c>
      <c r="L776" s="10">
        <f>Q775</f>
        <v/>
      </c>
      <c r="M776" s="10" t="n">
        <v>85</v>
      </c>
      <c r="N776" s="10" t="n">
        <v>11</v>
      </c>
      <c r="O776" s="10">
        <f>J776/160</f>
        <v/>
      </c>
      <c r="P776" s="10" t="n">
        <v>90</v>
      </c>
      <c r="Q776" s="10">
        <f>L776+M776+N776+O776-P776</f>
        <v/>
      </c>
      <c r="R776" s="11">
        <f>T775</f>
        <v/>
      </c>
      <c r="S776" s="11">
        <f>N(V776) + N(X776) + N(Z776)</f>
        <v/>
      </c>
      <c r="T776" s="11">
        <f>R776+P776-S776</f>
        <v/>
      </c>
      <c r="U776" s="11" t="inlineStr">
        <is>
          <t>是</t>
        </is>
      </c>
      <c r="V776" s="11" t="n">
        <v>49</v>
      </c>
      <c r="W776" s="11" t="inlineStr">
        <is>
          <t>是</t>
        </is>
      </c>
      <c r="X776" s="11" t="n">
        <v>50</v>
      </c>
      <c r="Y776" s="11" t="inlineStr">
        <is>
          <t>-</t>
        </is>
      </c>
      <c r="Z776" s="11" t="n">
        <v>0</v>
      </c>
      <c r="AA776" s="11" t="inlineStr">
        <is>
          <t>无</t>
        </is>
      </c>
      <c r="AB776" s="12">
        <f>AE775</f>
        <v/>
      </c>
      <c r="AC776" s="12" t="n">
        <v>4</v>
      </c>
      <c r="AD776" s="12" t="n">
        <v>0</v>
      </c>
      <c r="AE776" s="12">
        <f>AB776+AC776+AD776</f>
        <v/>
      </c>
      <c r="AF776" s="13">
        <f>AI775</f>
        <v/>
      </c>
      <c r="AG776" s="13" t="n">
        <v>0</v>
      </c>
      <c r="AH776" s="13" t="n">
        <v>0</v>
      </c>
      <c r="AI776" s="13">
        <f>AF776+AG776+AH776</f>
        <v/>
      </c>
      <c r="AJ776" s="14" t="n">
        <v>30</v>
      </c>
      <c r="AK776" s="14" t="n">
        <v>50</v>
      </c>
      <c r="AL776" s="14" t="n">
        <v>0</v>
      </c>
      <c r="AM776" s="14">
        <f>AJ776+AK776+AL776</f>
        <v/>
      </c>
      <c r="AN776" s="14">
        <f>AN775+AM776</f>
        <v/>
      </c>
    </row>
    <row r="777">
      <c r="A777" s="8" t="n">
        <v>30</v>
      </c>
      <c r="B777" s="8" t="n">
        <v>11</v>
      </c>
      <c r="C777" s="8" t="n">
        <v>2</v>
      </c>
      <c r="D777" s="8" t="inlineStr">
        <is>
          <t>月卡收益</t>
        </is>
      </c>
      <c r="E777" s="9">
        <f>K776</f>
        <v/>
      </c>
      <c r="F777" s="9" t="n">
        <v>1540</v>
      </c>
      <c r="G777" s="9" t="n">
        <v>0</v>
      </c>
      <c r="H777" s="9" t="n">
        <v>0</v>
      </c>
      <c r="I777" s="9" t="n">
        <v>0</v>
      </c>
      <c r="J777" s="9" t="n">
        <v>7680</v>
      </c>
      <c r="K777" s="9">
        <f>E777+F777+G777+H777+I777-J777</f>
        <v/>
      </c>
      <c r="L777" s="10">
        <f>Q776</f>
        <v/>
      </c>
      <c r="M777" s="10" t="n">
        <v>0</v>
      </c>
      <c r="N777" s="10" t="n">
        <v>6</v>
      </c>
      <c r="O777" s="10">
        <f>J777/160</f>
        <v/>
      </c>
      <c r="P777" s="10" t="n">
        <v>60</v>
      </c>
      <c r="Q777" s="10">
        <f>L777+M777+N777+O777-P777</f>
        <v/>
      </c>
      <c r="R777" s="11">
        <f>T776</f>
        <v/>
      </c>
      <c r="S777" s="11">
        <f>N(V777) + N(X777) + N(Z777)</f>
        <v/>
      </c>
      <c r="T777" s="11">
        <f>R777+P777-S777</f>
        <v/>
      </c>
      <c r="U777" s="11" t="inlineStr">
        <is>
          <t>是</t>
        </is>
      </c>
      <c r="V777" s="11" t="n">
        <v>52</v>
      </c>
      <c r="W777" s="11" t="inlineStr">
        <is>
          <t>否</t>
        </is>
      </c>
      <c r="X777" s="11" t="inlineStr">
        <is>
          <t>-</t>
        </is>
      </c>
      <c r="Y777" s="11" t="inlineStr">
        <is>
          <t>-</t>
        </is>
      </c>
      <c r="Z777" s="11" t="n">
        <v>0</v>
      </c>
      <c r="AA777" s="11" t="inlineStr">
        <is>
          <t>垫到60抽</t>
        </is>
      </c>
      <c r="AB777" s="12">
        <f>AE776</f>
        <v/>
      </c>
      <c r="AC777" s="12" t="n">
        <v>0</v>
      </c>
      <c r="AD777" s="12" t="n">
        <v>0</v>
      </c>
      <c r="AE777" s="12">
        <f>AB777+AC777+AD777</f>
        <v/>
      </c>
      <c r="AF777" s="13">
        <f>AI776</f>
        <v/>
      </c>
      <c r="AG777" s="13" t="n">
        <v>0</v>
      </c>
      <c r="AH777" s="13" t="n">
        <v>0</v>
      </c>
      <c r="AI777" s="13">
        <f>AF777+AG777+AH777</f>
        <v/>
      </c>
      <c r="AJ777" s="14" t="n">
        <v>0</v>
      </c>
      <c r="AK777" s="14" t="n">
        <v>0</v>
      </c>
      <c r="AL777" s="14" t="n">
        <v>0</v>
      </c>
      <c r="AM777" s="14">
        <f>AJ777+AK777+AL777</f>
        <v/>
      </c>
      <c r="AN777" s="14">
        <f>AN776+AM777</f>
        <v/>
      </c>
    </row>
    <row r="778">
      <c r="A778" s="8" t="n">
        <v>30</v>
      </c>
      <c r="B778" s="8" t="n">
        <v>12</v>
      </c>
      <c r="C778" s="8" t="n">
        <v>1</v>
      </c>
      <c r="D778" s="8" t="inlineStr">
        <is>
          <t>版本免费+义相逢 + 月卡收益 [月卡续费-30元]</t>
        </is>
      </c>
      <c r="E778" s="9">
        <f>K777</f>
        <v/>
      </c>
      <c r="F778" s="9" t="n">
        <v>1540</v>
      </c>
      <c r="G778" s="9" t="n">
        <v>4800</v>
      </c>
      <c r="H778" s="9" t="n">
        <v>0</v>
      </c>
      <c r="I778" s="9" t="n">
        <v>0</v>
      </c>
      <c r="J778" s="9" t="n">
        <v>0</v>
      </c>
      <c r="K778" s="9">
        <f>E778+F778+G778+H778+I778-J778</f>
        <v/>
      </c>
      <c r="L778" s="10">
        <f>Q777</f>
        <v/>
      </c>
      <c r="M778" s="10" t="n">
        <v>85</v>
      </c>
      <c r="N778" s="10" t="n">
        <v>11</v>
      </c>
      <c r="O778" s="10">
        <f>J778/160</f>
        <v/>
      </c>
      <c r="P778" s="10" t="n">
        <v>90</v>
      </c>
      <c r="Q778" s="10">
        <f>L778+M778+N778+O778-P778</f>
        <v/>
      </c>
      <c r="R778" s="11">
        <f>T777</f>
        <v/>
      </c>
      <c r="S778" s="11">
        <f>N(V778) + N(X778) + N(Z778)</f>
        <v/>
      </c>
      <c r="T778" s="11">
        <f>R778+P778-S778</f>
        <v/>
      </c>
      <c r="U778" s="11" t="inlineStr">
        <is>
          <t>是</t>
        </is>
      </c>
      <c r="V778" s="11" t="n">
        <v>50</v>
      </c>
      <c r="W778" s="11" t="inlineStr">
        <is>
          <t>是</t>
        </is>
      </c>
      <c r="X778" s="11" t="n">
        <v>53</v>
      </c>
      <c r="Y778" s="11" t="inlineStr">
        <is>
          <t>-</t>
        </is>
      </c>
      <c r="Z778" s="11" t="n">
        <v>0</v>
      </c>
      <c r="AA778" s="11" t="inlineStr">
        <is>
          <t>无</t>
        </is>
      </c>
      <c r="AB778" s="12">
        <f>AE777</f>
        <v/>
      </c>
      <c r="AC778" s="12" t="n">
        <v>4</v>
      </c>
      <c r="AD778" s="12" t="n">
        <v>0</v>
      </c>
      <c r="AE778" s="12">
        <f>AB778+AC778+AD778</f>
        <v/>
      </c>
      <c r="AF778" s="13">
        <f>AI777</f>
        <v/>
      </c>
      <c r="AG778" s="13" t="n">
        <v>0</v>
      </c>
      <c r="AH778" s="13" t="n">
        <v>0</v>
      </c>
      <c r="AI778" s="13">
        <f>AF778+AG778+AH778</f>
        <v/>
      </c>
      <c r="AJ778" s="14" t="n">
        <v>30</v>
      </c>
      <c r="AK778" s="14" t="n">
        <v>50</v>
      </c>
      <c r="AL778" s="14" t="n">
        <v>0</v>
      </c>
      <c r="AM778" s="14">
        <f>AJ778+AK778+AL778</f>
        <v/>
      </c>
      <c r="AN778" s="14">
        <f>AN777+AM778</f>
        <v/>
      </c>
    </row>
    <row r="779">
      <c r="A779" s="8" t="n">
        <v>30</v>
      </c>
      <c r="B779" s="8" t="n">
        <v>12</v>
      </c>
      <c r="C779" s="8" t="n">
        <v>2</v>
      </c>
      <c r="D779" s="8" t="inlineStr">
        <is>
          <t>月卡收益</t>
        </is>
      </c>
      <c r="E779" s="9">
        <f>K778</f>
        <v/>
      </c>
      <c r="F779" s="9" t="n">
        <v>1540</v>
      </c>
      <c r="G779" s="9" t="n">
        <v>0</v>
      </c>
      <c r="H779" s="9" t="n">
        <v>0</v>
      </c>
      <c r="I779" s="9" t="n">
        <v>0</v>
      </c>
      <c r="J779" s="9" t="n">
        <v>7680</v>
      </c>
      <c r="K779" s="9">
        <f>E779+F779+G779+H779+I779-J779</f>
        <v/>
      </c>
      <c r="L779" s="10">
        <f>Q778</f>
        <v/>
      </c>
      <c r="M779" s="10" t="n">
        <v>0</v>
      </c>
      <c r="N779" s="10" t="n">
        <v>6</v>
      </c>
      <c r="O779" s="10">
        <f>J779/160</f>
        <v/>
      </c>
      <c r="P779" s="10" t="n">
        <v>60</v>
      </c>
      <c r="Q779" s="10">
        <f>L779+M779+N779+O779-P779</f>
        <v/>
      </c>
      <c r="R779" s="11">
        <f>T778</f>
        <v/>
      </c>
      <c r="S779" s="11">
        <f>N(V779) + N(X779) + N(Z779)</f>
        <v/>
      </c>
      <c r="T779" s="11">
        <f>R779+P779-S779</f>
        <v/>
      </c>
      <c r="U779" s="11" t="inlineStr">
        <is>
          <t>是</t>
        </is>
      </c>
      <c r="V779" s="11" t="n">
        <v>47</v>
      </c>
      <c r="W779" s="11" t="inlineStr">
        <is>
          <t>否</t>
        </is>
      </c>
      <c r="X779" s="11" t="inlineStr">
        <is>
          <t>-</t>
        </is>
      </c>
      <c r="Y779" s="11" t="inlineStr">
        <is>
          <t>-</t>
        </is>
      </c>
      <c r="Z779" s="11" t="n">
        <v>0</v>
      </c>
      <c r="AA779" s="11" t="inlineStr">
        <is>
          <t>垫到60抽</t>
        </is>
      </c>
      <c r="AB779" s="12">
        <f>AE778</f>
        <v/>
      </c>
      <c r="AC779" s="12" t="n">
        <v>0</v>
      </c>
      <c r="AD779" s="12" t="n">
        <v>0</v>
      </c>
      <c r="AE779" s="12">
        <f>AB779+AC779+AD779</f>
        <v/>
      </c>
      <c r="AF779" s="13">
        <f>AI778</f>
        <v/>
      </c>
      <c r="AG779" s="13" t="n">
        <v>0</v>
      </c>
      <c r="AH779" s="13" t="n">
        <v>0</v>
      </c>
      <c r="AI779" s="13">
        <f>AF779+AG779+AH779</f>
        <v/>
      </c>
      <c r="AJ779" s="14" t="n">
        <v>0</v>
      </c>
      <c r="AK779" s="14" t="n">
        <v>0</v>
      </c>
      <c r="AL779" s="14" t="n">
        <v>0</v>
      </c>
      <c r="AM779" s="14">
        <f>AJ779+AK779+AL779</f>
        <v/>
      </c>
      <c r="AN779" s="14">
        <f>AN778+AM779</f>
        <v/>
      </c>
    </row>
    <row r="780">
      <c r="A780" s="8" t="n">
        <v>30</v>
      </c>
      <c r="B780" s="8" t="n">
        <v>13</v>
      </c>
      <c r="C780" s="8" t="n">
        <v>1</v>
      </c>
      <c r="D780" s="8" t="inlineStr">
        <is>
          <t>版本免费+义相逢 + 月卡收益 [月卡续费-30元]</t>
        </is>
      </c>
      <c r="E780" s="9">
        <f>K779</f>
        <v/>
      </c>
      <c r="F780" s="9" t="n">
        <v>1540</v>
      </c>
      <c r="G780" s="9" t="n">
        <v>4800</v>
      </c>
      <c r="H780" s="9" t="n">
        <v>0</v>
      </c>
      <c r="I780" s="9" t="n">
        <v>0</v>
      </c>
      <c r="J780" s="9" t="n">
        <v>0</v>
      </c>
      <c r="K780" s="9">
        <f>E780+F780+G780+H780+I780-J780</f>
        <v/>
      </c>
      <c r="L780" s="10">
        <f>Q779</f>
        <v/>
      </c>
      <c r="M780" s="10" t="n">
        <v>85</v>
      </c>
      <c r="N780" s="10" t="n">
        <v>11</v>
      </c>
      <c r="O780" s="10">
        <f>J780/160</f>
        <v/>
      </c>
      <c r="P780" s="10" t="n">
        <v>90</v>
      </c>
      <c r="Q780" s="10">
        <f>L780+M780+N780+O780-P780</f>
        <v/>
      </c>
      <c r="R780" s="11">
        <f>T779</f>
        <v/>
      </c>
      <c r="S780" s="11">
        <f>N(V780) + N(X780) + N(Z780)</f>
        <v/>
      </c>
      <c r="T780" s="11">
        <f>R780+P780-S780</f>
        <v/>
      </c>
      <c r="U780" s="11" t="inlineStr">
        <is>
          <t>是</t>
        </is>
      </c>
      <c r="V780" s="11" t="n">
        <v>53</v>
      </c>
      <c r="W780" s="11" t="inlineStr">
        <is>
          <t>是</t>
        </is>
      </c>
      <c r="X780" s="11" t="n">
        <v>51</v>
      </c>
      <c r="Y780" s="11" t="inlineStr">
        <is>
          <t>-</t>
        </is>
      </c>
      <c r="Z780" s="11" t="n">
        <v>0</v>
      </c>
      <c r="AA780" s="11" t="inlineStr">
        <is>
          <t>无</t>
        </is>
      </c>
      <c r="AB780" s="12">
        <f>AE779</f>
        <v/>
      </c>
      <c r="AC780" s="12" t="n">
        <v>4</v>
      </c>
      <c r="AD780" s="12" t="n">
        <v>0</v>
      </c>
      <c r="AE780" s="12">
        <f>AB780+AC780+AD780</f>
        <v/>
      </c>
      <c r="AF780" s="13">
        <f>AI779</f>
        <v/>
      </c>
      <c r="AG780" s="13" t="n">
        <v>0</v>
      </c>
      <c r="AH780" s="13" t="n">
        <v>0</v>
      </c>
      <c r="AI780" s="13">
        <f>AF780+AG780+AH780</f>
        <v/>
      </c>
      <c r="AJ780" s="14" t="n">
        <v>30</v>
      </c>
      <c r="AK780" s="14" t="n">
        <v>50</v>
      </c>
      <c r="AL780" s="14" t="n">
        <v>0</v>
      </c>
      <c r="AM780" s="14">
        <f>AJ780+AK780+AL780</f>
        <v/>
      </c>
      <c r="AN780" s="14">
        <f>AN779+AM780</f>
        <v/>
      </c>
    </row>
    <row r="781">
      <c r="A781" s="8" t="n">
        <v>30</v>
      </c>
      <c r="B781" s="8" t="n">
        <v>13</v>
      </c>
      <c r="C781" s="8" t="n">
        <v>2</v>
      </c>
      <c r="D781" s="8" t="inlineStr">
        <is>
          <t>月卡收益</t>
        </is>
      </c>
      <c r="E781" s="9">
        <f>K780</f>
        <v/>
      </c>
      <c r="F781" s="9" t="n">
        <v>1540</v>
      </c>
      <c r="G781" s="9" t="n">
        <v>0</v>
      </c>
      <c r="H781" s="9" t="n">
        <v>0</v>
      </c>
      <c r="I781" s="9" t="n">
        <v>0</v>
      </c>
      <c r="J781" s="9" t="n">
        <v>1600</v>
      </c>
      <c r="K781" s="9">
        <f>E781+F781+G781+H781+I781-J781</f>
        <v/>
      </c>
      <c r="L781" s="10">
        <f>Q780</f>
        <v/>
      </c>
      <c r="M781" s="10" t="n">
        <v>0</v>
      </c>
      <c r="N781" s="10" t="n">
        <v>1</v>
      </c>
      <c r="O781" s="10">
        <f>J781/160</f>
        <v/>
      </c>
      <c r="P781" s="10" t="n">
        <v>20</v>
      </c>
      <c r="Q781" s="10">
        <f>L781+M781+N781+O781-P781</f>
        <v/>
      </c>
      <c r="R781" s="11">
        <f>T780</f>
        <v/>
      </c>
      <c r="S781" s="11">
        <f>N(V781) + N(X781) + N(Z781)</f>
        <v/>
      </c>
      <c r="T781" s="11">
        <f>R781+P781-S781</f>
        <v/>
      </c>
      <c r="U781" s="11" t="inlineStr">
        <is>
          <t>是</t>
        </is>
      </c>
      <c r="V781" s="11" t="n">
        <v>20</v>
      </c>
      <c r="W781" s="11" t="inlineStr">
        <is>
          <t>否</t>
        </is>
      </c>
      <c r="X781" s="11" t="inlineStr">
        <is>
          <t>-</t>
        </is>
      </c>
      <c r="Y781" s="11" t="inlineStr">
        <is>
          <t>-</t>
        </is>
      </c>
      <c r="Z781" s="11" t="n">
        <v>0</v>
      </c>
      <c r="AA781" s="11" t="inlineStr">
        <is>
          <t>无</t>
        </is>
      </c>
      <c r="AB781" s="12">
        <f>AE780</f>
        <v/>
      </c>
      <c r="AC781" s="12" t="n">
        <v>0</v>
      </c>
      <c r="AD781" s="12" t="n">
        <v>0</v>
      </c>
      <c r="AE781" s="12">
        <f>AB781+AC781+AD781</f>
        <v/>
      </c>
      <c r="AF781" s="13">
        <f>AI780</f>
        <v/>
      </c>
      <c r="AG781" s="13" t="n">
        <v>0</v>
      </c>
      <c r="AH781" s="13" t="n">
        <v>0</v>
      </c>
      <c r="AI781" s="13">
        <f>AF781+AG781+AH781</f>
        <v/>
      </c>
      <c r="AJ781" s="14" t="n">
        <v>0</v>
      </c>
      <c r="AK781" s="14" t="n">
        <v>0</v>
      </c>
      <c r="AL781" s="14" t="n">
        <v>0</v>
      </c>
      <c r="AM781" s="14">
        <f>AJ781+AK781+AL781</f>
        <v/>
      </c>
      <c r="AN781" s="14">
        <f>AN780+AM781</f>
        <v/>
      </c>
    </row>
    <row r="782">
      <c r="A782" s="8" t="n">
        <v>31</v>
      </c>
      <c r="B782" s="8" t="n">
        <v>1</v>
      </c>
      <c r="C782" s="8" t="n">
        <v>1</v>
      </c>
      <c r="D782" s="8" t="inlineStr">
        <is>
          <t>版本免费+义相逢 + 月卡收益</t>
        </is>
      </c>
      <c r="E782" s="9" t="n">
        <v>26960</v>
      </c>
      <c r="F782" s="9" t="n">
        <v>1540</v>
      </c>
      <c r="G782" s="9" t="n">
        <v>4800</v>
      </c>
      <c r="H782" s="9" t="n">
        <v>0</v>
      </c>
      <c r="I782" s="9" t="n">
        <v>0</v>
      </c>
      <c r="J782" s="9" t="n">
        <v>0</v>
      </c>
      <c r="K782" s="9">
        <f>E782+F782+G782+H782+I782-J782</f>
        <v/>
      </c>
      <c r="L782" s="10" t="n">
        <v>0</v>
      </c>
      <c r="M782" s="10" t="n">
        <v>85</v>
      </c>
      <c r="N782" s="10" t="n">
        <v>6</v>
      </c>
      <c r="O782" s="10">
        <f>J782/160</f>
        <v/>
      </c>
      <c r="P782" s="10" t="n">
        <v>60</v>
      </c>
      <c r="Q782" s="10">
        <f>L782+M782+N782+O782-P782</f>
        <v/>
      </c>
      <c r="R782" s="11" t="n">
        <v>2</v>
      </c>
      <c r="S782" s="11">
        <f>N(V782) + N(X782) + N(Z782)</f>
        <v/>
      </c>
      <c r="T782" s="11">
        <f>R782+P782-S782</f>
        <v/>
      </c>
      <c r="U782" s="11" t="inlineStr">
        <is>
          <t>是</t>
        </is>
      </c>
      <c r="V782" s="11" t="n">
        <v>46</v>
      </c>
      <c r="W782" s="11" t="inlineStr">
        <is>
          <t>否</t>
        </is>
      </c>
      <c r="X782" s="11" t="inlineStr">
        <is>
          <t>-</t>
        </is>
      </c>
      <c r="Y782" s="11" t="inlineStr">
        <is>
          <t>-</t>
        </is>
      </c>
      <c r="Z782" s="11" t="n">
        <v>0</v>
      </c>
      <c r="AA782" s="11" t="inlineStr">
        <is>
          <t>垫到60抽</t>
        </is>
      </c>
      <c r="AB782" s="12" t="n">
        <v>1608</v>
      </c>
      <c r="AC782" s="12" t="n">
        <v>4</v>
      </c>
      <c r="AD782" s="12" t="n">
        <v>0</v>
      </c>
      <c r="AE782" s="12">
        <f>AB782+AC782+AD782</f>
        <v/>
      </c>
      <c r="AF782" s="13" t="n">
        <v>240000</v>
      </c>
      <c r="AG782" s="13" t="n">
        <v>0</v>
      </c>
      <c r="AH782" s="13" t="n">
        <v>0</v>
      </c>
      <c r="AI782" s="13">
        <f>AF782+AG782+AH782</f>
        <v/>
      </c>
      <c r="AJ782" s="14" t="n">
        <v>0</v>
      </c>
      <c r="AK782" s="14" t="n">
        <v>50</v>
      </c>
      <c r="AL782" s="14" t="n">
        <v>0</v>
      </c>
      <c r="AM782" s="14">
        <f>AJ782+AK782+AL782</f>
        <v/>
      </c>
      <c r="AN782" s="14">
        <f>AM782</f>
        <v/>
      </c>
    </row>
    <row r="783">
      <c r="A783" s="8" t="n">
        <v>31</v>
      </c>
      <c r="B783" s="8" t="n">
        <v>1</v>
      </c>
      <c r="C783" s="8" t="n">
        <v>2</v>
      </c>
      <c r="D783" s="8" t="inlineStr">
        <is>
          <t>月卡收益 [月卡续费-30元]</t>
        </is>
      </c>
      <c r="E783" s="9">
        <f>K782</f>
        <v/>
      </c>
      <c r="F783" s="9" t="n">
        <v>1540</v>
      </c>
      <c r="G783" s="9" t="n">
        <v>0</v>
      </c>
      <c r="H783" s="9" t="n">
        <v>0</v>
      </c>
      <c r="I783" s="9" t="n">
        <v>0</v>
      </c>
      <c r="J783" s="9" t="n">
        <v>8480</v>
      </c>
      <c r="K783" s="9">
        <f>E783+F783+G783+H783+I783-J783</f>
        <v/>
      </c>
      <c r="L783" s="10">
        <f>Q782</f>
        <v/>
      </c>
      <c r="M783" s="10" t="n">
        <v>0</v>
      </c>
      <c r="N783" s="10" t="n">
        <v>11</v>
      </c>
      <c r="O783" s="10">
        <f>J783/160</f>
        <v/>
      </c>
      <c r="P783" s="10" t="n">
        <v>90</v>
      </c>
      <c r="Q783" s="10">
        <f>L783+M783+N783+O783-P783</f>
        <v/>
      </c>
      <c r="R783" s="11">
        <f>T782</f>
        <v/>
      </c>
      <c r="S783" s="11">
        <f>N(V783) + N(X783) + N(Z783)</f>
        <v/>
      </c>
      <c r="T783" s="11">
        <f>R783+P783-S783</f>
        <v/>
      </c>
      <c r="U783" s="11" t="inlineStr">
        <is>
          <t>是</t>
        </is>
      </c>
      <c r="V783" s="11" t="n">
        <v>46</v>
      </c>
      <c r="W783" s="11" t="inlineStr">
        <is>
          <t>是</t>
        </is>
      </c>
      <c r="X783" s="11" t="n">
        <v>52</v>
      </c>
      <c r="Y783" s="11" t="inlineStr">
        <is>
          <t>-</t>
        </is>
      </c>
      <c r="Z783" s="11" t="n">
        <v>0</v>
      </c>
      <c r="AA783" s="11" t="inlineStr">
        <is>
          <t>无</t>
        </is>
      </c>
      <c r="AB783" s="12">
        <f>AE782</f>
        <v/>
      </c>
      <c r="AC783" s="12" t="n">
        <v>0</v>
      </c>
      <c r="AD783" s="12" t="n">
        <v>0</v>
      </c>
      <c r="AE783" s="12">
        <f>AB783+AC783+AD783</f>
        <v/>
      </c>
      <c r="AF783" s="13">
        <f>AI782</f>
        <v/>
      </c>
      <c r="AG783" s="13" t="n">
        <v>0</v>
      </c>
      <c r="AH783" s="13" t="n">
        <v>0</v>
      </c>
      <c r="AI783" s="13">
        <f>AF783+AG783+AH783</f>
        <v/>
      </c>
      <c r="AJ783" s="14" t="n">
        <v>30</v>
      </c>
      <c r="AK783" s="14" t="n">
        <v>0</v>
      </c>
      <c r="AL783" s="14" t="n">
        <v>0</v>
      </c>
      <c r="AM783" s="14">
        <f>AJ783+AK783+AL783</f>
        <v/>
      </c>
      <c r="AN783" s="14">
        <f>AN782+AM783</f>
        <v/>
      </c>
    </row>
    <row r="784">
      <c r="A784" s="8" t="n">
        <v>31</v>
      </c>
      <c r="B784" s="8" t="n">
        <v>2</v>
      </c>
      <c r="C784" s="8" t="n">
        <v>1</v>
      </c>
      <c r="D784" s="8" t="inlineStr">
        <is>
          <t>版本免费+义相逢 + 月卡收益</t>
        </is>
      </c>
      <c r="E784" s="9">
        <f>K783</f>
        <v/>
      </c>
      <c r="F784" s="9" t="n">
        <v>1540</v>
      </c>
      <c r="G784" s="9" t="n">
        <v>4800</v>
      </c>
      <c r="H784" s="9" t="n">
        <v>0</v>
      </c>
      <c r="I784" s="9" t="n">
        <v>0</v>
      </c>
      <c r="J784" s="9" t="n">
        <v>0</v>
      </c>
      <c r="K784" s="9">
        <f>E784+F784+G784+H784+I784-J784</f>
        <v/>
      </c>
      <c r="L784" s="10">
        <f>Q783</f>
        <v/>
      </c>
      <c r="M784" s="10" t="n">
        <v>85</v>
      </c>
      <c r="N784" s="10" t="n">
        <v>6</v>
      </c>
      <c r="O784" s="10">
        <f>J784/160</f>
        <v/>
      </c>
      <c r="P784" s="10" t="n">
        <v>60</v>
      </c>
      <c r="Q784" s="10">
        <f>L784+M784+N784+O784-P784</f>
        <v/>
      </c>
      <c r="R784" s="11">
        <f>T783</f>
        <v/>
      </c>
      <c r="S784" s="11">
        <f>N(V784) + N(X784) + N(Z784)</f>
        <v/>
      </c>
      <c r="T784" s="11">
        <f>R784+P784-S784</f>
        <v/>
      </c>
      <c r="U784" s="11" t="inlineStr">
        <is>
          <t>是</t>
        </is>
      </c>
      <c r="V784" s="11" t="n">
        <v>51</v>
      </c>
      <c r="W784" s="11" t="inlineStr">
        <is>
          <t>否</t>
        </is>
      </c>
      <c r="X784" s="11" t="inlineStr">
        <is>
          <t>-</t>
        </is>
      </c>
      <c r="Y784" s="11" t="inlineStr">
        <is>
          <t>-</t>
        </is>
      </c>
      <c r="Z784" s="11" t="n">
        <v>0</v>
      </c>
      <c r="AA784" s="11" t="inlineStr">
        <is>
          <t>垫到60抽</t>
        </is>
      </c>
      <c r="AB784" s="12">
        <f>AE783</f>
        <v/>
      </c>
      <c r="AC784" s="12" t="n">
        <v>4</v>
      </c>
      <c r="AD784" s="12" t="n">
        <v>0</v>
      </c>
      <c r="AE784" s="12">
        <f>AB784+AC784+AD784</f>
        <v/>
      </c>
      <c r="AF784" s="13">
        <f>AI783</f>
        <v/>
      </c>
      <c r="AG784" s="13" t="n">
        <v>0</v>
      </c>
      <c r="AH784" s="13" t="n">
        <v>0</v>
      </c>
      <c r="AI784" s="13">
        <f>AF784+AG784+AH784</f>
        <v/>
      </c>
      <c r="AJ784" s="14" t="n">
        <v>0</v>
      </c>
      <c r="AK784" s="14" t="n">
        <v>50</v>
      </c>
      <c r="AL784" s="14" t="n">
        <v>0</v>
      </c>
      <c r="AM784" s="14">
        <f>AJ784+AK784+AL784</f>
        <v/>
      </c>
      <c r="AN784" s="14">
        <f>AN783+AM784</f>
        <v/>
      </c>
    </row>
    <row r="785">
      <c r="A785" s="8" t="n">
        <v>31</v>
      </c>
      <c r="B785" s="8" t="n">
        <v>2</v>
      </c>
      <c r="C785" s="8" t="n">
        <v>2</v>
      </c>
      <c r="D785" s="8" t="inlineStr">
        <is>
          <t>月卡收益 [月卡续费-30元]</t>
        </is>
      </c>
      <c r="E785" s="9">
        <f>K784</f>
        <v/>
      </c>
      <c r="F785" s="9" t="n">
        <v>1540</v>
      </c>
      <c r="G785" s="9" t="n">
        <v>0</v>
      </c>
      <c r="H785" s="9" t="n">
        <v>0</v>
      </c>
      <c r="I785" s="9" t="n">
        <v>0</v>
      </c>
      <c r="J785" s="9" t="n">
        <v>7680</v>
      </c>
      <c r="K785" s="9">
        <f>E785+F785+G785+H785+I785-J785</f>
        <v/>
      </c>
      <c r="L785" s="10">
        <f>Q784</f>
        <v/>
      </c>
      <c r="M785" s="10" t="n">
        <v>0</v>
      </c>
      <c r="N785" s="10" t="n">
        <v>11</v>
      </c>
      <c r="O785" s="10">
        <f>J785/160</f>
        <v/>
      </c>
      <c r="P785" s="10" t="n">
        <v>90</v>
      </c>
      <c r="Q785" s="10">
        <f>L785+M785+N785+O785-P785</f>
        <v/>
      </c>
      <c r="R785" s="11">
        <f>T784</f>
        <v/>
      </c>
      <c r="S785" s="11">
        <f>N(V785) + N(X785) + N(Z785)</f>
        <v/>
      </c>
      <c r="T785" s="11">
        <f>R785+P785-S785</f>
        <v/>
      </c>
      <c r="U785" s="11" t="inlineStr">
        <is>
          <t>是</t>
        </is>
      </c>
      <c r="V785" s="11" t="n">
        <v>50</v>
      </c>
      <c r="W785" s="11" t="inlineStr">
        <is>
          <t>是</t>
        </is>
      </c>
      <c r="X785" s="11" t="n">
        <v>49</v>
      </c>
      <c r="Y785" s="11" t="inlineStr">
        <is>
          <t>-</t>
        </is>
      </c>
      <c r="Z785" s="11" t="n">
        <v>0</v>
      </c>
      <c r="AA785" s="11" t="inlineStr">
        <is>
          <t>无</t>
        </is>
      </c>
      <c r="AB785" s="12">
        <f>AE784</f>
        <v/>
      </c>
      <c r="AC785" s="12" t="n">
        <v>0</v>
      </c>
      <c r="AD785" s="12" t="n">
        <v>0</v>
      </c>
      <c r="AE785" s="12">
        <f>AB785+AC785+AD785</f>
        <v/>
      </c>
      <c r="AF785" s="13">
        <f>AI784</f>
        <v/>
      </c>
      <c r="AG785" s="13" t="n">
        <v>0</v>
      </c>
      <c r="AH785" s="13" t="n">
        <v>0</v>
      </c>
      <c r="AI785" s="13">
        <f>AF785+AG785+AH785</f>
        <v/>
      </c>
      <c r="AJ785" s="14" t="n">
        <v>30</v>
      </c>
      <c r="AK785" s="14" t="n">
        <v>0</v>
      </c>
      <c r="AL785" s="14" t="n">
        <v>0</v>
      </c>
      <c r="AM785" s="14">
        <f>AJ785+AK785+AL785</f>
        <v/>
      </c>
      <c r="AN785" s="14">
        <f>AN784+AM785</f>
        <v/>
      </c>
    </row>
    <row r="786">
      <c r="A786" s="8" t="n">
        <v>31</v>
      </c>
      <c r="B786" s="8" t="n">
        <v>3</v>
      </c>
      <c r="C786" s="8" t="n">
        <v>1</v>
      </c>
      <c r="D786" s="8" t="inlineStr">
        <is>
          <t>版本免费+义相逢 + 月卡收益</t>
        </is>
      </c>
      <c r="E786" s="9">
        <f>K785</f>
        <v/>
      </c>
      <c r="F786" s="9" t="n">
        <v>1540</v>
      </c>
      <c r="G786" s="9" t="n">
        <v>4800</v>
      </c>
      <c r="H786" s="9" t="n">
        <v>0</v>
      </c>
      <c r="I786" s="9" t="n">
        <v>0</v>
      </c>
      <c r="J786" s="9" t="n">
        <v>0</v>
      </c>
      <c r="K786" s="9">
        <f>E786+F786+G786+H786+I786-J786</f>
        <v/>
      </c>
      <c r="L786" s="10">
        <f>Q785</f>
        <v/>
      </c>
      <c r="M786" s="10" t="n">
        <v>85</v>
      </c>
      <c r="N786" s="10" t="n">
        <v>3</v>
      </c>
      <c r="O786" s="10">
        <f>J786/160</f>
        <v/>
      </c>
      <c r="P786" s="10" t="n">
        <v>40</v>
      </c>
      <c r="Q786" s="10">
        <f>L786+M786+N786+O786-P786</f>
        <v/>
      </c>
      <c r="R786" s="11">
        <f>T785</f>
        <v/>
      </c>
      <c r="S786" s="11">
        <f>N(V786) + N(X786) + N(Z786)</f>
        <v/>
      </c>
      <c r="T786" s="11">
        <f>R786+P786-S786</f>
        <v/>
      </c>
      <c r="U786" s="11" t="inlineStr">
        <is>
          <t>是</t>
        </is>
      </c>
      <c r="V786" s="11" t="n">
        <v>46</v>
      </c>
      <c r="W786" s="11" t="inlineStr">
        <is>
          <t>否</t>
        </is>
      </c>
      <c r="X786" s="11" t="inlineStr">
        <is>
          <t>-</t>
        </is>
      </c>
      <c r="Y786" s="11" t="inlineStr">
        <is>
          <t>-</t>
        </is>
      </c>
      <c r="Z786" s="11" t="n">
        <v>0</v>
      </c>
      <c r="AA786" s="11" t="inlineStr">
        <is>
          <t>无</t>
        </is>
      </c>
      <c r="AB786" s="12">
        <f>AE785</f>
        <v/>
      </c>
      <c r="AC786" s="12" t="n">
        <v>4</v>
      </c>
      <c r="AD786" s="12" t="n">
        <v>0</v>
      </c>
      <c r="AE786" s="12">
        <f>AB786+AC786+AD786</f>
        <v/>
      </c>
      <c r="AF786" s="13">
        <f>AI785</f>
        <v/>
      </c>
      <c r="AG786" s="13" t="n">
        <v>0</v>
      </c>
      <c r="AH786" s="13" t="n">
        <v>0</v>
      </c>
      <c r="AI786" s="13">
        <f>AF786+AG786+AH786</f>
        <v/>
      </c>
      <c r="AJ786" s="14" t="n">
        <v>0</v>
      </c>
      <c r="AK786" s="14" t="n">
        <v>50</v>
      </c>
      <c r="AL786" s="14" t="n">
        <v>0</v>
      </c>
      <c r="AM786" s="14">
        <f>AJ786+AK786+AL786</f>
        <v/>
      </c>
      <c r="AN786" s="14">
        <f>AN785+AM786</f>
        <v/>
      </c>
    </row>
    <row r="787">
      <c r="A787" s="8" t="n">
        <v>31</v>
      </c>
      <c r="B787" s="8" t="n">
        <v>3</v>
      </c>
      <c r="C787" s="8" t="n">
        <v>2</v>
      </c>
      <c r="D787" s="8" t="inlineStr">
        <is>
          <t>月卡收益 [月卡续费-30元]</t>
        </is>
      </c>
      <c r="E787" s="9">
        <f>K786</f>
        <v/>
      </c>
      <c r="F787" s="9" t="n">
        <v>1540</v>
      </c>
      <c r="G787" s="9" t="n">
        <v>0</v>
      </c>
      <c r="H787" s="9" t="n">
        <v>0</v>
      </c>
      <c r="I787" s="9" t="n">
        <v>0</v>
      </c>
      <c r="J787" s="9" t="n">
        <v>640</v>
      </c>
      <c r="K787" s="9">
        <f>E787+F787+G787+H787+I787-J787</f>
        <v/>
      </c>
      <c r="L787" s="10">
        <f>Q786</f>
        <v/>
      </c>
      <c r="M787" s="10" t="n">
        <v>0</v>
      </c>
      <c r="N787" s="10" t="n">
        <v>6</v>
      </c>
      <c r="O787" s="10">
        <f>J787/160</f>
        <v/>
      </c>
      <c r="P787" s="10" t="n">
        <v>60</v>
      </c>
      <c r="Q787" s="10">
        <f>L787+M787+N787+O787-P787</f>
        <v/>
      </c>
      <c r="R787" s="11">
        <f>T786</f>
        <v/>
      </c>
      <c r="S787" s="11">
        <f>N(V787) + N(X787) + N(Z787)</f>
        <v/>
      </c>
      <c r="T787" s="11">
        <f>R787+P787-S787</f>
        <v/>
      </c>
      <c r="U787" s="11" t="inlineStr">
        <is>
          <t>是</t>
        </is>
      </c>
      <c r="V787" s="11" t="n">
        <v>49</v>
      </c>
      <c r="W787" s="11" t="inlineStr">
        <is>
          <t>否</t>
        </is>
      </c>
      <c r="X787" s="11" t="inlineStr">
        <is>
          <t>-</t>
        </is>
      </c>
      <c r="Y787" s="11" t="inlineStr">
        <is>
          <t>-</t>
        </is>
      </c>
      <c r="Z787" s="11" t="n">
        <v>0</v>
      </c>
      <c r="AA787" s="11" t="inlineStr">
        <is>
          <t>垫到60抽</t>
        </is>
      </c>
      <c r="AB787" s="12">
        <f>AE786</f>
        <v/>
      </c>
      <c r="AC787" s="12" t="n">
        <v>0</v>
      </c>
      <c r="AD787" s="12" t="n">
        <v>0</v>
      </c>
      <c r="AE787" s="12">
        <f>AB787+AC787+AD787</f>
        <v/>
      </c>
      <c r="AF787" s="13">
        <f>AI786</f>
        <v/>
      </c>
      <c r="AG787" s="13" t="n">
        <v>0</v>
      </c>
      <c r="AH787" s="13" t="n">
        <v>0</v>
      </c>
      <c r="AI787" s="13">
        <f>AF787+AG787+AH787</f>
        <v/>
      </c>
      <c r="AJ787" s="14" t="n">
        <v>30</v>
      </c>
      <c r="AK787" s="14" t="n">
        <v>0</v>
      </c>
      <c r="AL787" s="14" t="n">
        <v>0</v>
      </c>
      <c r="AM787" s="14">
        <f>AJ787+AK787+AL787</f>
        <v/>
      </c>
      <c r="AN787" s="14">
        <f>AN786+AM787</f>
        <v/>
      </c>
    </row>
    <row r="788">
      <c r="A788" s="8" t="n">
        <v>31</v>
      </c>
      <c r="B788" s="8" t="n">
        <v>4</v>
      </c>
      <c r="C788" s="8" t="n">
        <v>1</v>
      </c>
      <c r="D788" s="8" t="inlineStr">
        <is>
          <t>版本免费+义相逢 + 月卡收益</t>
        </is>
      </c>
      <c r="E788" s="9">
        <f>K787</f>
        <v/>
      </c>
      <c r="F788" s="9" t="n">
        <v>1540</v>
      </c>
      <c r="G788" s="9" t="n">
        <v>4800</v>
      </c>
      <c r="H788" s="9" t="n">
        <v>0</v>
      </c>
      <c r="I788" s="9" t="n">
        <v>0</v>
      </c>
      <c r="J788" s="9" t="n">
        <v>0</v>
      </c>
      <c r="K788" s="9">
        <f>E788+F788+G788+H788+I788-J788</f>
        <v/>
      </c>
      <c r="L788" s="10">
        <f>Q787</f>
        <v/>
      </c>
      <c r="M788" s="10" t="n">
        <v>85</v>
      </c>
      <c r="N788" s="10" t="n">
        <v>3</v>
      </c>
      <c r="O788" s="10">
        <f>J788/160</f>
        <v/>
      </c>
      <c r="P788" s="10" t="n">
        <v>40</v>
      </c>
      <c r="Q788" s="10">
        <f>L788+M788+N788+O788-P788</f>
        <v/>
      </c>
      <c r="R788" s="11">
        <f>T787</f>
        <v/>
      </c>
      <c r="S788" s="11">
        <f>N(V788) + N(X788) + N(Z788)</f>
        <v/>
      </c>
      <c r="T788" s="11">
        <f>R788+P788-S788</f>
        <v/>
      </c>
      <c r="U788" s="11" t="inlineStr">
        <is>
          <t>是</t>
        </is>
      </c>
      <c r="V788" s="11" t="n">
        <v>49</v>
      </c>
      <c r="W788" s="11" t="inlineStr">
        <is>
          <t>否</t>
        </is>
      </c>
      <c r="X788" s="11" t="inlineStr">
        <is>
          <t>-</t>
        </is>
      </c>
      <c r="Y788" s="11" t="inlineStr">
        <is>
          <t>-</t>
        </is>
      </c>
      <c r="Z788" s="11" t="n">
        <v>0</v>
      </c>
      <c r="AA788" s="11" t="inlineStr">
        <is>
          <t>无</t>
        </is>
      </c>
      <c r="AB788" s="12">
        <f>AE787</f>
        <v/>
      </c>
      <c r="AC788" s="12" t="n">
        <v>4</v>
      </c>
      <c r="AD788" s="12" t="n">
        <v>0</v>
      </c>
      <c r="AE788" s="12">
        <f>AB788+AC788+AD788</f>
        <v/>
      </c>
      <c r="AF788" s="13">
        <f>AI787</f>
        <v/>
      </c>
      <c r="AG788" s="13" t="n">
        <v>0</v>
      </c>
      <c r="AH788" s="13" t="n">
        <v>0</v>
      </c>
      <c r="AI788" s="13">
        <f>AF788+AG788+AH788</f>
        <v/>
      </c>
      <c r="AJ788" s="14" t="n">
        <v>0</v>
      </c>
      <c r="AK788" s="14" t="n">
        <v>50</v>
      </c>
      <c r="AL788" s="14" t="n">
        <v>0</v>
      </c>
      <c r="AM788" s="14">
        <f>AJ788+AK788+AL788</f>
        <v/>
      </c>
      <c r="AN788" s="14">
        <f>AN787+AM788</f>
        <v/>
      </c>
    </row>
    <row r="789">
      <c r="A789" s="8" t="n">
        <v>31</v>
      </c>
      <c r="B789" s="8" t="n">
        <v>4</v>
      </c>
      <c r="C789" s="8" t="n">
        <v>2</v>
      </c>
      <c r="D789" s="8" t="inlineStr">
        <is>
          <t>月卡收益 [月卡续费-30元]</t>
        </is>
      </c>
      <c r="E789" s="9">
        <f>K788</f>
        <v/>
      </c>
      <c r="F789" s="9" t="n">
        <v>1540</v>
      </c>
      <c r="G789" s="9" t="n">
        <v>0</v>
      </c>
      <c r="H789" s="9" t="n">
        <v>0</v>
      </c>
      <c r="I789" s="9" t="n">
        <v>0</v>
      </c>
      <c r="J789" s="9" t="n">
        <v>20480</v>
      </c>
      <c r="K789" s="9">
        <f>E789+F789+G789+H789+I789-J789</f>
        <v/>
      </c>
      <c r="L789" s="10">
        <f>Q788</f>
        <v/>
      </c>
      <c r="M789" s="10" t="n">
        <v>0</v>
      </c>
      <c r="N789" s="10" t="n">
        <v>21</v>
      </c>
      <c r="O789" s="10">
        <f>J789/160</f>
        <v/>
      </c>
      <c r="P789" s="10" t="n">
        <v>200</v>
      </c>
      <c r="Q789" s="10">
        <f>L789+M789+N789+O789-P789</f>
        <v/>
      </c>
      <c r="R789" s="11">
        <f>T788</f>
        <v/>
      </c>
      <c r="S789" s="11">
        <f>N(V789) + N(X789) + N(Z789)</f>
        <v/>
      </c>
      <c r="T789" s="11">
        <f>R789+P789-S789</f>
        <v/>
      </c>
      <c r="U789" s="11" t="inlineStr">
        <is>
          <t>是</t>
        </is>
      </c>
      <c r="V789" s="11" t="n">
        <v>48</v>
      </c>
      <c r="W789" s="11" t="inlineStr">
        <is>
          <t>是</t>
        </is>
      </c>
      <c r="X789" s="11" t="n">
        <v>49</v>
      </c>
      <c r="Y789" s="11" t="inlineStr">
        <is>
          <t>歪(50), UP(37)</t>
        </is>
      </c>
      <c r="Z789" s="11" t="n">
        <v>87</v>
      </c>
      <c r="AA789" s="11" t="inlineStr">
        <is>
          <t>冲刺200(动态100)</t>
        </is>
      </c>
      <c r="AB789" s="12">
        <f>AE788</f>
        <v/>
      </c>
      <c r="AC789" s="12" t="n">
        <v>0</v>
      </c>
      <c r="AD789" s="12" t="n">
        <v>1</v>
      </c>
      <c r="AE789" s="12">
        <f>AB789+AC789+AD789</f>
        <v/>
      </c>
      <c r="AF789" s="13">
        <f>AI788</f>
        <v/>
      </c>
      <c r="AG789" s="13" t="n">
        <v>0</v>
      </c>
      <c r="AH789" s="13" t="n">
        <v>5000</v>
      </c>
      <c r="AI789" s="13">
        <f>AF789+AG789+AH789</f>
        <v/>
      </c>
      <c r="AJ789" s="14" t="n">
        <v>30</v>
      </c>
      <c r="AK789" s="14" t="n">
        <v>0</v>
      </c>
      <c r="AL789" s="14" t="n">
        <v>0</v>
      </c>
      <c r="AM789" s="14">
        <f>AJ789+AK789+AL789</f>
        <v/>
      </c>
      <c r="AN789" s="14">
        <f>AN788+AM789</f>
        <v/>
      </c>
    </row>
    <row r="790">
      <c r="A790" s="8" t="n">
        <v>31</v>
      </c>
      <c r="B790" s="8" t="n">
        <v>5</v>
      </c>
      <c r="C790" s="8" t="n">
        <v>1</v>
      </c>
      <c r="D790" s="8" t="inlineStr">
        <is>
          <t>版本免费+义相逢 + 月卡收益</t>
        </is>
      </c>
      <c r="E790" s="9">
        <f>K789</f>
        <v/>
      </c>
      <c r="F790" s="9" t="n">
        <v>1540</v>
      </c>
      <c r="G790" s="9" t="n">
        <v>4800</v>
      </c>
      <c r="H790" s="9" t="n">
        <v>0</v>
      </c>
      <c r="I790" s="9" t="n">
        <v>0</v>
      </c>
      <c r="J790" s="9" t="n">
        <v>0</v>
      </c>
      <c r="K790" s="9">
        <f>E790+F790+G790+H790+I790-J790</f>
        <v/>
      </c>
      <c r="L790" s="10">
        <f>Q789</f>
        <v/>
      </c>
      <c r="M790" s="10" t="n">
        <v>85</v>
      </c>
      <c r="N790" s="10" t="n">
        <v>11</v>
      </c>
      <c r="O790" s="10">
        <f>J790/160</f>
        <v/>
      </c>
      <c r="P790" s="10" t="n">
        <v>90</v>
      </c>
      <c r="Q790" s="10">
        <f>L790+M790+N790+O790-P790</f>
        <v/>
      </c>
      <c r="R790" s="11">
        <f>T789</f>
        <v/>
      </c>
      <c r="S790" s="11">
        <f>N(V790) + N(X790) + N(Z790)</f>
        <v/>
      </c>
      <c r="T790" s="11">
        <f>R790+P790-S790</f>
        <v/>
      </c>
      <c r="U790" s="11" t="inlineStr">
        <is>
          <t>是</t>
        </is>
      </c>
      <c r="V790" s="11" t="n">
        <v>48</v>
      </c>
      <c r="W790" s="11" t="inlineStr">
        <is>
          <t>是</t>
        </is>
      </c>
      <c r="X790" s="11" t="n">
        <v>52</v>
      </c>
      <c r="Y790" s="11" t="inlineStr">
        <is>
          <t>-</t>
        </is>
      </c>
      <c r="Z790" s="11" t="n">
        <v>0</v>
      </c>
      <c r="AA790" s="11" t="inlineStr">
        <is>
          <t>垫到90抽</t>
        </is>
      </c>
      <c r="AB790" s="12">
        <f>AE789</f>
        <v/>
      </c>
      <c r="AC790" s="12" t="n">
        <v>4</v>
      </c>
      <c r="AD790" s="12" t="n">
        <v>0</v>
      </c>
      <c r="AE790" s="12">
        <f>AB790+AC790+AD790</f>
        <v/>
      </c>
      <c r="AF790" s="13">
        <f>AI789</f>
        <v/>
      </c>
      <c r="AG790" s="13" t="n">
        <v>0</v>
      </c>
      <c r="AH790" s="13" t="n">
        <v>0</v>
      </c>
      <c r="AI790" s="13">
        <f>AF790+AG790+AH790</f>
        <v/>
      </c>
      <c r="AJ790" s="14" t="n">
        <v>0</v>
      </c>
      <c r="AK790" s="14" t="n">
        <v>50</v>
      </c>
      <c r="AL790" s="14" t="n">
        <v>0</v>
      </c>
      <c r="AM790" s="14">
        <f>AJ790+AK790+AL790</f>
        <v/>
      </c>
      <c r="AN790" s="14">
        <f>AN789+AM790</f>
        <v/>
      </c>
    </row>
    <row r="791">
      <c r="A791" s="8" t="n">
        <v>31</v>
      </c>
      <c r="B791" s="8" t="n">
        <v>5</v>
      </c>
      <c r="C791" s="8" t="n">
        <v>2</v>
      </c>
      <c r="D791" s="8" t="inlineStr">
        <is>
          <t>月卡收益 [月卡续费-30元]</t>
        </is>
      </c>
      <c r="E791" s="9">
        <f>K790</f>
        <v/>
      </c>
      <c r="F791" s="9" t="n">
        <v>1540</v>
      </c>
      <c r="G791" s="9" t="n">
        <v>0</v>
      </c>
      <c r="H791" s="9" t="n">
        <v>0</v>
      </c>
      <c r="I791" s="9" t="n">
        <v>0</v>
      </c>
      <c r="J791" s="9" t="n">
        <v>2080</v>
      </c>
      <c r="K791" s="9">
        <f>E791+F791+G791+H791+I791-J791</f>
        <v/>
      </c>
      <c r="L791" s="10">
        <f>Q790</f>
        <v/>
      </c>
      <c r="M791" s="10" t="n">
        <v>0</v>
      </c>
      <c r="N791" s="10" t="n">
        <v>1</v>
      </c>
      <c r="O791" s="10">
        <f>J791/160</f>
        <v/>
      </c>
      <c r="P791" s="10" t="n">
        <v>20</v>
      </c>
      <c r="Q791" s="10">
        <f>L791+M791+N791+O791-P791</f>
        <v/>
      </c>
      <c r="R791" s="11">
        <f>T790</f>
        <v/>
      </c>
      <c r="S791" s="11">
        <f>N(V791) + N(X791) + N(Z791)</f>
        <v/>
      </c>
      <c r="T791" s="11">
        <f>R791+P791-S791</f>
        <v/>
      </c>
      <c r="U791" s="11" t="inlineStr">
        <is>
          <t>是</t>
        </is>
      </c>
      <c r="V791" s="11" t="n">
        <v>30</v>
      </c>
      <c r="W791" s="11" t="inlineStr">
        <is>
          <t>否</t>
        </is>
      </c>
      <c r="X791" s="11" t="inlineStr">
        <is>
          <t>-</t>
        </is>
      </c>
      <c r="Y791" s="11" t="inlineStr">
        <is>
          <t>-</t>
        </is>
      </c>
      <c r="Z791" s="11" t="n">
        <v>0</v>
      </c>
      <c r="AA791" s="11" t="inlineStr">
        <is>
          <t>无</t>
        </is>
      </c>
      <c r="AB791" s="12">
        <f>AE790</f>
        <v/>
      </c>
      <c r="AC791" s="12" t="n">
        <v>0</v>
      </c>
      <c r="AD791" s="12" t="n">
        <v>0</v>
      </c>
      <c r="AE791" s="12">
        <f>AB791+AC791+AD791</f>
        <v/>
      </c>
      <c r="AF791" s="13">
        <f>AI790</f>
        <v/>
      </c>
      <c r="AG791" s="13" t="n">
        <v>0</v>
      </c>
      <c r="AH791" s="13" t="n">
        <v>0</v>
      </c>
      <c r="AI791" s="13">
        <f>AF791+AG791+AH791</f>
        <v/>
      </c>
      <c r="AJ791" s="14" t="n">
        <v>30</v>
      </c>
      <c r="AK791" s="14" t="n">
        <v>0</v>
      </c>
      <c r="AL791" s="14" t="n">
        <v>0</v>
      </c>
      <c r="AM791" s="14">
        <f>AJ791+AK791+AL791</f>
        <v/>
      </c>
      <c r="AN791" s="14">
        <f>AN790+AM791</f>
        <v/>
      </c>
    </row>
    <row r="792">
      <c r="A792" s="8" t="n">
        <v>31</v>
      </c>
      <c r="B792" s="8" t="n">
        <v>6</v>
      </c>
      <c r="C792" s="8" t="n">
        <v>1</v>
      </c>
      <c r="D792" s="8" t="inlineStr">
        <is>
          <t>版本免费+义相逢 + 月卡收益</t>
        </is>
      </c>
      <c r="E792" s="9">
        <f>K791</f>
        <v/>
      </c>
      <c r="F792" s="9" t="n">
        <v>1540</v>
      </c>
      <c r="G792" s="9" t="n">
        <v>4800</v>
      </c>
      <c r="H792" s="9" t="n">
        <v>0</v>
      </c>
      <c r="I792" s="9" t="n">
        <v>0</v>
      </c>
      <c r="J792" s="9" t="n">
        <v>15040</v>
      </c>
      <c r="K792" s="9">
        <f>E792+F792+G792+H792+I792-J792</f>
        <v/>
      </c>
      <c r="L792" s="10">
        <f>Q791</f>
        <v/>
      </c>
      <c r="M792" s="10" t="n">
        <v>85</v>
      </c>
      <c r="N792" s="10" t="n">
        <v>21</v>
      </c>
      <c r="O792" s="10">
        <f>J792/160</f>
        <v/>
      </c>
      <c r="P792" s="10" t="n">
        <v>200</v>
      </c>
      <c r="Q792" s="10">
        <f>L792+M792+N792+O792-P792</f>
        <v/>
      </c>
      <c r="R792" s="11">
        <f>T791</f>
        <v/>
      </c>
      <c r="S792" s="11">
        <f>N(V792) + N(X792) + N(Z792)</f>
        <v/>
      </c>
      <c r="T792" s="11">
        <f>R792+P792-S792</f>
        <v/>
      </c>
      <c r="U792" s="11" t="inlineStr">
        <is>
          <t>是</t>
        </is>
      </c>
      <c r="V792" s="11" t="n">
        <v>52</v>
      </c>
      <c r="W792" s="11" t="inlineStr">
        <is>
          <t>是</t>
        </is>
      </c>
      <c r="X792" s="11" t="n">
        <v>51</v>
      </c>
      <c r="Y792" s="11" t="inlineStr">
        <is>
          <t>歪(50)</t>
        </is>
      </c>
      <c r="Z792" s="11" t="n">
        <v>50</v>
      </c>
      <c r="AA792" s="11" t="inlineStr">
        <is>
          <t>冲刺200(动态100)</t>
        </is>
      </c>
      <c r="AB792" s="12">
        <f>AE791</f>
        <v/>
      </c>
      <c r="AC792" s="12" t="n">
        <v>4</v>
      </c>
      <c r="AD792" s="12" t="n">
        <v>1</v>
      </c>
      <c r="AE792" s="12">
        <f>AB792+AC792+AD792</f>
        <v/>
      </c>
      <c r="AF792" s="13">
        <f>AI791</f>
        <v/>
      </c>
      <c r="AG792" s="13" t="n">
        <v>0</v>
      </c>
      <c r="AH792" s="13" t="n">
        <v>5000</v>
      </c>
      <c r="AI792" s="13">
        <f>AF792+AG792+AH792</f>
        <v/>
      </c>
      <c r="AJ792" s="14" t="n">
        <v>0</v>
      </c>
      <c r="AK792" s="14" t="n">
        <v>50</v>
      </c>
      <c r="AL792" s="14" t="n">
        <v>0</v>
      </c>
      <c r="AM792" s="14">
        <f>AJ792+AK792+AL792</f>
        <v/>
      </c>
      <c r="AN792" s="14">
        <f>AN791+AM792</f>
        <v/>
      </c>
    </row>
    <row r="793">
      <c r="A793" s="8" t="n">
        <v>31</v>
      </c>
      <c r="B793" s="8" t="n">
        <v>6</v>
      </c>
      <c r="C793" s="8" t="n">
        <v>2</v>
      </c>
      <c r="D793" s="8" t="inlineStr">
        <is>
          <t>月卡收益 [月卡续费-30元]</t>
        </is>
      </c>
      <c r="E793" s="9">
        <f>K792</f>
        <v/>
      </c>
      <c r="F793" s="9" t="n">
        <v>1540</v>
      </c>
      <c r="G793" s="9" t="n">
        <v>0</v>
      </c>
      <c r="H793" s="9" t="n">
        <v>0</v>
      </c>
      <c r="I793" s="9" t="n">
        <v>0</v>
      </c>
      <c r="J793" s="9" t="n">
        <v>1600</v>
      </c>
      <c r="K793" s="9">
        <f>E793+F793+G793+H793+I793-J793</f>
        <v/>
      </c>
      <c r="L793" s="10">
        <f>Q792</f>
        <v/>
      </c>
      <c r="M793" s="10" t="n">
        <v>0</v>
      </c>
      <c r="N793" s="10" t="n">
        <v>1</v>
      </c>
      <c r="O793" s="10">
        <f>J793/160</f>
        <v/>
      </c>
      <c r="P793" s="10" t="n">
        <v>10</v>
      </c>
      <c r="Q793" s="10">
        <f>L793+M793+N793+O793-P793</f>
        <v/>
      </c>
      <c r="R793" s="11">
        <f>T792</f>
        <v/>
      </c>
      <c r="S793" s="11">
        <f>N(V793) + N(X793) + N(Z793)</f>
        <v/>
      </c>
      <c r="T793" s="11">
        <f>R793+P793-S793</f>
        <v/>
      </c>
      <c r="U793" s="11" t="inlineStr">
        <is>
          <t>是</t>
        </is>
      </c>
      <c r="V793" s="11" t="n">
        <v>52</v>
      </c>
      <c r="W793" s="11" t="inlineStr">
        <is>
          <t>否</t>
        </is>
      </c>
      <c r="X793" s="11" t="inlineStr">
        <is>
          <t>-</t>
        </is>
      </c>
      <c r="Y793" s="11" t="inlineStr">
        <is>
          <t>-</t>
        </is>
      </c>
      <c r="Z793" s="11" t="n">
        <v>0</v>
      </c>
      <c r="AA793" s="11" t="inlineStr">
        <is>
          <t>无</t>
        </is>
      </c>
      <c r="AB793" s="12">
        <f>AE792</f>
        <v/>
      </c>
      <c r="AC793" s="12" t="n">
        <v>0</v>
      </c>
      <c r="AD793" s="12" t="n">
        <v>0</v>
      </c>
      <c r="AE793" s="12">
        <f>AB793+AC793+AD793</f>
        <v/>
      </c>
      <c r="AF793" s="13">
        <f>AI792</f>
        <v/>
      </c>
      <c r="AG793" s="13" t="n">
        <v>0</v>
      </c>
      <c r="AH793" s="13" t="n">
        <v>0</v>
      </c>
      <c r="AI793" s="13">
        <f>AF793+AG793+AH793</f>
        <v/>
      </c>
      <c r="AJ793" s="14" t="n">
        <v>30</v>
      </c>
      <c r="AK793" s="14" t="n">
        <v>0</v>
      </c>
      <c r="AL793" s="14" t="n">
        <v>0</v>
      </c>
      <c r="AM793" s="14">
        <f>AJ793+AK793+AL793</f>
        <v/>
      </c>
      <c r="AN793" s="14">
        <f>AN792+AM793</f>
        <v/>
      </c>
    </row>
    <row r="794">
      <c r="A794" s="8" t="n">
        <v>31</v>
      </c>
      <c r="B794" s="8" t="n">
        <v>7</v>
      </c>
      <c r="C794" s="8" t="n">
        <v>1</v>
      </c>
      <c r="D794" s="8" t="inlineStr">
        <is>
          <t>版本免费+义相逢 + 月卡收益</t>
        </is>
      </c>
      <c r="E794" s="9">
        <f>K793</f>
        <v/>
      </c>
      <c r="F794" s="9" t="n">
        <v>1540</v>
      </c>
      <c r="G794" s="9" t="n">
        <v>4800</v>
      </c>
      <c r="H794" s="9" t="n">
        <v>0</v>
      </c>
      <c r="I794" s="9" t="n">
        <v>0</v>
      </c>
      <c r="J794" s="9" t="n">
        <v>480</v>
      </c>
      <c r="K794" s="9">
        <f>E794+F794+G794+H794+I794-J794</f>
        <v/>
      </c>
      <c r="L794" s="10">
        <f>Q793</f>
        <v/>
      </c>
      <c r="M794" s="10" t="n">
        <v>85</v>
      </c>
      <c r="N794" s="10" t="n">
        <v>11</v>
      </c>
      <c r="O794" s="10">
        <f>J794/160</f>
        <v/>
      </c>
      <c r="P794" s="10" t="n">
        <v>100</v>
      </c>
      <c r="Q794" s="10">
        <f>L794+M794+N794+O794-P794</f>
        <v/>
      </c>
      <c r="R794" s="11">
        <f>T793</f>
        <v/>
      </c>
      <c r="S794" s="11">
        <f>N(V794) + N(X794) + N(Z794)</f>
        <v/>
      </c>
      <c r="T794" s="11">
        <f>R794+P794-S794</f>
        <v/>
      </c>
      <c r="U794" s="11" t="inlineStr">
        <is>
          <t>是</t>
        </is>
      </c>
      <c r="V794" s="11" t="n">
        <v>51</v>
      </c>
      <c r="W794" s="11" t="inlineStr">
        <is>
          <t>是</t>
        </is>
      </c>
      <c r="X794" s="11" t="n">
        <v>50</v>
      </c>
      <c r="Y794" s="11" t="inlineStr">
        <is>
          <t>-</t>
        </is>
      </c>
      <c r="Z794" s="11" t="n">
        <v>0</v>
      </c>
      <c r="AA794" s="11" t="inlineStr">
        <is>
          <t>无</t>
        </is>
      </c>
      <c r="AB794" s="12">
        <f>AE793</f>
        <v/>
      </c>
      <c r="AC794" s="12" t="n">
        <v>4</v>
      </c>
      <c r="AD794" s="12" t="n">
        <v>0</v>
      </c>
      <c r="AE794" s="12">
        <f>AB794+AC794+AD794</f>
        <v/>
      </c>
      <c r="AF794" s="13">
        <f>AI793</f>
        <v/>
      </c>
      <c r="AG794" s="13" t="n">
        <v>0</v>
      </c>
      <c r="AH794" s="13" t="n">
        <v>0</v>
      </c>
      <c r="AI794" s="13">
        <f>AF794+AG794+AH794</f>
        <v/>
      </c>
      <c r="AJ794" s="14" t="n">
        <v>0</v>
      </c>
      <c r="AK794" s="14" t="n">
        <v>50</v>
      </c>
      <c r="AL794" s="14" t="n">
        <v>0</v>
      </c>
      <c r="AM794" s="14">
        <f>AJ794+AK794+AL794</f>
        <v/>
      </c>
      <c r="AN794" s="14">
        <f>AN793+AM794</f>
        <v/>
      </c>
    </row>
    <row r="795">
      <c r="A795" s="8" t="n">
        <v>31</v>
      </c>
      <c r="B795" s="8" t="n">
        <v>7</v>
      </c>
      <c r="C795" s="8" t="n">
        <v>2</v>
      </c>
      <c r="D795" s="8" t="inlineStr">
        <is>
          <t>月卡收益 [月卡续费-30元]</t>
        </is>
      </c>
      <c r="E795" s="9">
        <f>K794</f>
        <v/>
      </c>
      <c r="F795" s="9" t="n">
        <v>1540</v>
      </c>
      <c r="G795" s="9" t="n">
        <v>0</v>
      </c>
      <c r="H795" s="9" t="n">
        <v>0</v>
      </c>
      <c r="I795" s="9" t="n">
        <v>0</v>
      </c>
      <c r="J795" s="9" t="n">
        <v>9120</v>
      </c>
      <c r="K795" s="9">
        <f>E795+F795+G795+H795+I795-J795</f>
        <v/>
      </c>
      <c r="L795" s="10">
        <f>Q794</f>
        <v/>
      </c>
      <c r="M795" s="10" t="n">
        <v>0</v>
      </c>
      <c r="N795" s="10" t="n">
        <v>6</v>
      </c>
      <c r="O795" s="10">
        <f>J795/160</f>
        <v/>
      </c>
      <c r="P795" s="10" t="n">
        <v>60</v>
      </c>
      <c r="Q795" s="10">
        <f>L795+M795+N795+O795-P795</f>
        <v/>
      </c>
      <c r="R795" s="11">
        <f>T794</f>
        <v/>
      </c>
      <c r="S795" s="11">
        <f>N(V795) + N(X795) + N(Z795)</f>
        <v/>
      </c>
      <c r="T795" s="11">
        <f>R795+P795-S795</f>
        <v/>
      </c>
      <c r="U795" s="11" t="inlineStr">
        <is>
          <t>是</t>
        </is>
      </c>
      <c r="V795" s="11" t="n">
        <v>49</v>
      </c>
      <c r="W795" s="11" t="inlineStr">
        <is>
          <t>否</t>
        </is>
      </c>
      <c r="X795" s="11" t="inlineStr">
        <is>
          <t>-</t>
        </is>
      </c>
      <c r="Y795" s="11" t="inlineStr">
        <is>
          <t>-</t>
        </is>
      </c>
      <c r="Z795" s="11" t="n">
        <v>0</v>
      </c>
      <c r="AA795" s="11" t="inlineStr">
        <is>
          <t>垫到60抽</t>
        </is>
      </c>
      <c r="AB795" s="12">
        <f>AE794</f>
        <v/>
      </c>
      <c r="AC795" s="12" t="n">
        <v>0</v>
      </c>
      <c r="AD795" s="12" t="n">
        <v>0</v>
      </c>
      <c r="AE795" s="12">
        <f>AB795+AC795+AD795</f>
        <v/>
      </c>
      <c r="AF795" s="13">
        <f>AI794</f>
        <v/>
      </c>
      <c r="AG795" s="13" t="n">
        <v>0</v>
      </c>
      <c r="AH795" s="13" t="n">
        <v>0</v>
      </c>
      <c r="AI795" s="13">
        <f>AF795+AG795+AH795</f>
        <v/>
      </c>
      <c r="AJ795" s="14" t="n">
        <v>30</v>
      </c>
      <c r="AK795" s="14" t="n">
        <v>0</v>
      </c>
      <c r="AL795" s="14" t="n">
        <v>0</v>
      </c>
      <c r="AM795" s="14">
        <f>AJ795+AK795+AL795</f>
        <v/>
      </c>
      <c r="AN795" s="14">
        <f>AN794+AM795</f>
        <v/>
      </c>
    </row>
    <row r="796">
      <c r="A796" s="8" t="n">
        <v>31</v>
      </c>
      <c r="B796" s="8" t="n">
        <v>8</v>
      </c>
      <c r="C796" s="8" t="n">
        <v>1</v>
      </c>
      <c r="D796" s="8" t="inlineStr">
        <is>
          <t>版本免费+义相逢 + 月卡收益</t>
        </is>
      </c>
      <c r="E796" s="9">
        <f>K795</f>
        <v/>
      </c>
      <c r="F796" s="9" t="n">
        <v>1540</v>
      </c>
      <c r="G796" s="9" t="n">
        <v>4800</v>
      </c>
      <c r="H796" s="9" t="n">
        <v>0</v>
      </c>
      <c r="I796" s="9" t="n">
        <v>0</v>
      </c>
      <c r="J796" s="9" t="n">
        <v>0</v>
      </c>
      <c r="K796" s="9">
        <f>E796+F796+G796+H796+I796-J796</f>
        <v/>
      </c>
      <c r="L796" s="10">
        <f>Q795</f>
        <v/>
      </c>
      <c r="M796" s="10" t="n">
        <v>85</v>
      </c>
      <c r="N796" s="10" t="n">
        <v>11</v>
      </c>
      <c r="O796" s="10">
        <f>J796/160</f>
        <v/>
      </c>
      <c r="P796" s="10" t="n">
        <v>90</v>
      </c>
      <c r="Q796" s="10">
        <f>L796+M796+N796+O796-P796</f>
        <v/>
      </c>
      <c r="R796" s="11">
        <f>T795</f>
        <v/>
      </c>
      <c r="S796" s="11">
        <f>N(V796) + N(X796) + N(Z796)</f>
        <v/>
      </c>
      <c r="T796" s="11">
        <f>R796+P796-S796</f>
        <v/>
      </c>
      <c r="U796" s="11" t="inlineStr">
        <is>
          <t>是</t>
        </is>
      </c>
      <c r="V796" s="11" t="n">
        <v>53</v>
      </c>
      <c r="W796" s="11" t="inlineStr">
        <is>
          <t>是</t>
        </is>
      </c>
      <c r="X796" s="11" t="n">
        <v>50</v>
      </c>
      <c r="Y796" s="11" t="inlineStr">
        <is>
          <t>-</t>
        </is>
      </c>
      <c r="Z796" s="11" t="n">
        <v>0</v>
      </c>
      <c r="AA796" s="11" t="inlineStr">
        <is>
          <t>无</t>
        </is>
      </c>
      <c r="AB796" s="12">
        <f>AE795</f>
        <v/>
      </c>
      <c r="AC796" s="12" t="n">
        <v>4</v>
      </c>
      <c r="AD796" s="12" t="n">
        <v>0</v>
      </c>
      <c r="AE796" s="12">
        <f>AB796+AC796+AD796</f>
        <v/>
      </c>
      <c r="AF796" s="13">
        <f>AI795</f>
        <v/>
      </c>
      <c r="AG796" s="13" t="n">
        <v>0</v>
      </c>
      <c r="AH796" s="13" t="n">
        <v>0</v>
      </c>
      <c r="AI796" s="13">
        <f>AF796+AG796+AH796</f>
        <v/>
      </c>
      <c r="AJ796" s="14" t="n">
        <v>0</v>
      </c>
      <c r="AK796" s="14" t="n">
        <v>50</v>
      </c>
      <c r="AL796" s="14" t="n">
        <v>0</v>
      </c>
      <c r="AM796" s="14">
        <f>AJ796+AK796+AL796</f>
        <v/>
      </c>
      <c r="AN796" s="14">
        <f>AN795+AM796</f>
        <v/>
      </c>
    </row>
    <row r="797">
      <c r="A797" s="8" t="n">
        <v>31</v>
      </c>
      <c r="B797" s="8" t="n">
        <v>8</v>
      </c>
      <c r="C797" s="8" t="n">
        <v>2</v>
      </c>
      <c r="D797" s="8" t="inlineStr">
        <is>
          <t>月卡收益</t>
        </is>
      </c>
      <c r="E797" s="9">
        <f>K796</f>
        <v/>
      </c>
      <c r="F797" s="9" t="n">
        <v>1540</v>
      </c>
      <c r="G797" s="9" t="n">
        <v>0</v>
      </c>
      <c r="H797" s="9" t="n">
        <v>0</v>
      </c>
      <c r="I797" s="9" t="n">
        <v>0</v>
      </c>
      <c r="J797" s="9" t="n">
        <v>7680</v>
      </c>
      <c r="K797" s="9">
        <f>E797+F797+G797+H797+I797-J797</f>
        <v/>
      </c>
      <c r="L797" s="10">
        <f>Q796</f>
        <v/>
      </c>
      <c r="M797" s="10" t="n">
        <v>0</v>
      </c>
      <c r="N797" s="10" t="n">
        <v>6</v>
      </c>
      <c r="O797" s="10">
        <f>J797/160</f>
        <v/>
      </c>
      <c r="P797" s="10" t="n">
        <v>60</v>
      </c>
      <c r="Q797" s="10">
        <f>L797+M797+N797+O797-P797</f>
        <v/>
      </c>
      <c r="R797" s="11">
        <f>T796</f>
        <v/>
      </c>
      <c r="S797" s="11">
        <f>N(V797) + N(X797) + N(Z797)</f>
        <v/>
      </c>
      <c r="T797" s="11">
        <f>R797+P797-S797</f>
        <v/>
      </c>
      <c r="U797" s="11" t="inlineStr">
        <is>
          <t>是</t>
        </is>
      </c>
      <c r="V797" s="11" t="n">
        <v>52</v>
      </c>
      <c r="W797" s="11" t="inlineStr">
        <is>
          <t>否</t>
        </is>
      </c>
      <c r="X797" s="11" t="inlineStr">
        <is>
          <t>-</t>
        </is>
      </c>
      <c r="Y797" s="11" t="inlineStr">
        <is>
          <t>-</t>
        </is>
      </c>
      <c r="Z797" s="11" t="n">
        <v>0</v>
      </c>
      <c r="AA797" s="11" t="inlineStr">
        <is>
          <t>垫到60抽</t>
        </is>
      </c>
      <c r="AB797" s="12">
        <f>AE796</f>
        <v/>
      </c>
      <c r="AC797" s="12" t="n">
        <v>0</v>
      </c>
      <c r="AD797" s="12" t="n">
        <v>0</v>
      </c>
      <c r="AE797" s="12">
        <f>AB797+AC797+AD797</f>
        <v/>
      </c>
      <c r="AF797" s="13">
        <f>AI796</f>
        <v/>
      </c>
      <c r="AG797" s="13" t="n">
        <v>0</v>
      </c>
      <c r="AH797" s="13" t="n">
        <v>0</v>
      </c>
      <c r="AI797" s="13">
        <f>AF797+AG797+AH797</f>
        <v/>
      </c>
      <c r="AJ797" s="14" t="n">
        <v>0</v>
      </c>
      <c r="AK797" s="14" t="n">
        <v>0</v>
      </c>
      <c r="AL797" s="14" t="n">
        <v>0</v>
      </c>
      <c r="AM797" s="14">
        <f>AJ797+AK797+AL797</f>
        <v/>
      </c>
      <c r="AN797" s="14">
        <f>AN796+AM797</f>
        <v/>
      </c>
    </row>
    <row r="798">
      <c r="A798" s="8" t="n">
        <v>31</v>
      </c>
      <c r="B798" s="8" t="n">
        <v>9</v>
      </c>
      <c r="C798" s="8" t="n">
        <v>1</v>
      </c>
      <c r="D798" s="8" t="inlineStr">
        <is>
          <t>版本免费+义相逢 + 月卡收益 [月卡续费-30元]</t>
        </is>
      </c>
      <c r="E798" s="9">
        <f>K797</f>
        <v/>
      </c>
      <c r="F798" s="9" t="n">
        <v>1540</v>
      </c>
      <c r="G798" s="9" t="n">
        <v>4800</v>
      </c>
      <c r="H798" s="9" t="n">
        <v>0</v>
      </c>
      <c r="I798" s="9" t="n">
        <v>0</v>
      </c>
      <c r="J798" s="9" t="n">
        <v>160</v>
      </c>
      <c r="K798" s="9">
        <f>E798+F798+G798+H798+I798-J798</f>
        <v/>
      </c>
      <c r="L798" s="10">
        <f>Q797</f>
        <v/>
      </c>
      <c r="M798" s="10" t="n">
        <v>85</v>
      </c>
      <c r="N798" s="10" t="n">
        <v>11</v>
      </c>
      <c r="O798" s="10">
        <f>J798/160</f>
        <v/>
      </c>
      <c r="P798" s="10" t="n">
        <v>100</v>
      </c>
      <c r="Q798" s="10">
        <f>L798+M798+N798+O798-P798</f>
        <v/>
      </c>
      <c r="R798" s="11">
        <f>T797</f>
        <v/>
      </c>
      <c r="S798" s="11">
        <f>N(V798) + N(X798) + N(Z798)</f>
        <v/>
      </c>
      <c r="T798" s="11">
        <f>R798+P798-S798</f>
        <v/>
      </c>
      <c r="U798" s="11" t="inlineStr">
        <is>
          <t>是</t>
        </is>
      </c>
      <c r="V798" s="11" t="n">
        <v>51</v>
      </c>
      <c r="W798" s="11" t="inlineStr">
        <is>
          <t>是</t>
        </is>
      </c>
      <c r="X798" s="11" t="n">
        <v>53</v>
      </c>
      <c r="Y798" s="11" t="inlineStr">
        <is>
          <t>-</t>
        </is>
      </c>
      <c r="Z798" s="11" t="n">
        <v>0</v>
      </c>
      <c r="AA798" s="11" t="inlineStr">
        <is>
          <t>无</t>
        </is>
      </c>
      <c r="AB798" s="12">
        <f>AE797</f>
        <v/>
      </c>
      <c r="AC798" s="12" t="n">
        <v>4</v>
      </c>
      <c r="AD798" s="12" t="n">
        <v>0</v>
      </c>
      <c r="AE798" s="12">
        <f>AB798+AC798+AD798</f>
        <v/>
      </c>
      <c r="AF798" s="13">
        <f>AI797</f>
        <v/>
      </c>
      <c r="AG798" s="13" t="n">
        <v>0</v>
      </c>
      <c r="AH798" s="13" t="n">
        <v>0</v>
      </c>
      <c r="AI798" s="13">
        <f>AF798+AG798+AH798</f>
        <v/>
      </c>
      <c r="AJ798" s="14" t="n">
        <v>30</v>
      </c>
      <c r="AK798" s="14" t="n">
        <v>50</v>
      </c>
      <c r="AL798" s="14" t="n">
        <v>0</v>
      </c>
      <c r="AM798" s="14">
        <f>AJ798+AK798+AL798</f>
        <v/>
      </c>
      <c r="AN798" s="14">
        <f>AN797+AM798</f>
        <v/>
      </c>
    </row>
    <row r="799">
      <c r="A799" s="8" t="n">
        <v>31</v>
      </c>
      <c r="B799" s="8" t="n">
        <v>9</v>
      </c>
      <c r="C799" s="8" t="n">
        <v>2</v>
      </c>
      <c r="D799" s="8" t="inlineStr">
        <is>
          <t>月卡收益</t>
        </is>
      </c>
      <c r="E799" s="9">
        <f>K798</f>
        <v/>
      </c>
      <c r="F799" s="9" t="n">
        <v>1540</v>
      </c>
      <c r="G799" s="9" t="n">
        <v>0</v>
      </c>
      <c r="H799" s="9" t="n">
        <v>0</v>
      </c>
      <c r="I799" s="9" t="n">
        <v>0</v>
      </c>
      <c r="J799" s="9" t="n">
        <v>9120</v>
      </c>
      <c r="K799" s="9">
        <f>E799+F799+G799+H799+I799-J799</f>
        <v/>
      </c>
      <c r="L799" s="10">
        <f>Q798</f>
        <v/>
      </c>
      <c r="M799" s="10" t="n">
        <v>0</v>
      </c>
      <c r="N799" s="10" t="n">
        <v>6</v>
      </c>
      <c r="O799" s="10">
        <f>J799/160</f>
        <v/>
      </c>
      <c r="P799" s="10" t="n">
        <v>60</v>
      </c>
      <c r="Q799" s="10">
        <f>L799+M799+N799+O799-P799</f>
        <v/>
      </c>
      <c r="R799" s="11">
        <f>T798</f>
        <v/>
      </c>
      <c r="S799" s="11">
        <f>N(V799) + N(X799) + N(Z799)</f>
        <v/>
      </c>
      <c r="T799" s="11">
        <f>R799+P799-S799</f>
        <v/>
      </c>
      <c r="U799" s="11" t="inlineStr">
        <is>
          <t>是</t>
        </is>
      </c>
      <c r="V799" s="11" t="n">
        <v>50</v>
      </c>
      <c r="W799" s="11" t="inlineStr">
        <is>
          <t>否</t>
        </is>
      </c>
      <c r="X799" s="11" t="inlineStr">
        <is>
          <t>-</t>
        </is>
      </c>
      <c r="Y799" s="11" t="inlineStr">
        <is>
          <t>-</t>
        </is>
      </c>
      <c r="Z799" s="11" t="n">
        <v>0</v>
      </c>
      <c r="AA799" s="11" t="inlineStr">
        <is>
          <t>垫到60抽</t>
        </is>
      </c>
      <c r="AB799" s="12">
        <f>AE798</f>
        <v/>
      </c>
      <c r="AC799" s="12" t="n">
        <v>0</v>
      </c>
      <c r="AD799" s="12" t="n">
        <v>0</v>
      </c>
      <c r="AE799" s="12">
        <f>AB799+AC799+AD799</f>
        <v/>
      </c>
      <c r="AF799" s="13">
        <f>AI798</f>
        <v/>
      </c>
      <c r="AG799" s="13" t="n">
        <v>0</v>
      </c>
      <c r="AH799" s="13" t="n">
        <v>0</v>
      </c>
      <c r="AI799" s="13">
        <f>AF799+AG799+AH799</f>
        <v/>
      </c>
      <c r="AJ799" s="14" t="n">
        <v>0</v>
      </c>
      <c r="AK799" s="14" t="n">
        <v>0</v>
      </c>
      <c r="AL799" s="14" t="n">
        <v>0</v>
      </c>
      <c r="AM799" s="14">
        <f>AJ799+AK799+AL799</f>
        <v/>
      </c>
      <c r="AN799" s="14">
        <f>AN798+AM799</f>
        <v/>
      </c>
    </row>
    <row r="800">
      <c r="A800" s="8" t="n">
        <v>31</v>
      </c>
      <c r="B800" s="8" t="n">
        <v>10</v>
      </c>
      <c r="C800" s="8" t="n">
        <v>1</v>
      </c>
      <c r="D800" s="8" t="inlineStr">
        <is>
          <t>版本免费+义相逢 + 月卡收益 [月卡续费-30元]</t>
        </is>
      </c>
      <c r="E800" s="9">
        <f>K799</f>
        <v/>
      </c>
      <c r="F800" s="9" t="n">
        <v>1540</v>
      </c>
      <c r="G800" s="9" t="n">
        <v>4800</v>
      </c>
      <c r="H800" s="9" t="n">
        <v>0</v>
      </c>
      <c r="I800" s="9" t="n">
        <v>0</v>
      </c>
      <c r="J800" s="9" t="n">
        <v>0</v>
      </c>
      <c r="K800" s="9">
        <f>E800+F800+G800+H800+I800-J800</f>
        <v/>
      </c>
      <c r="L800" s="10">
        <f>Q799</f>
        <v/>
      </c>
      <c r="M800" s="10" t="n">
        <v>85</v>
      </c>
      <c r="N800" s="10" t="n">
        <v>11</v>
      </c>
      <c r="O800" s="10">
        <f>J800/160</f>
        <v/>
      </c>
      <c r="P800" s="10" t="n">
        <v>90</v>
      </c>
      <c r="Q800" s="10">
        <f>L800+M800+N800+O800-P800</f>
        <v/>
      </c>
      <c r="R800" s="11">
        <f>T799</f>
        <v/>
      </c>
      <c r="S800" s="11">
        <f>N(V800) + N(X800) + N(Z800)</f>
        <v/>
      </c>
      <c r="T800" s="11">
        <f>R800+P800-S800</f>
        <v/>
      </c>
      <c r="U800" s="11" t="inlineStr">
        <is>
          <t>是</t>
        </is>
      </c>
      <c r="V800" s="11" t="n">
        <v>47</v>
      </c>
      <c r="W800" s="11" t="inlineStr">
        <is>
          <t>是</t>
        </is>
      </c>
      <c r="X800" s="11" t="n">
        <v>50</v>
      </c>
      <c r="Y800" s="11" t="inlineStr">
        <is>
          <t>-</t>
        </is>
      </c>
      <c r="Z800" s="11" t="n">
        <v>0</v>
      </c>
      <c r="AA800" s="11" t="inlineStr">
        <is>
          <t>无</t>
        </is>
      </c>
      <c r="AB800" s="12">
        <f>AE799</f>
        <v/>
      </c>
      <c r="AC800" s="12" t="n">
        <v>4</v>
      </c>
      <c r="AD800" s="12" t="n">
        <v>0</v>
      </c>
      <c r="AE800" s="12">
        <f>AB800+AC800+AD800</f>
        <v/>
      </c>
      <c r="AF800" s="13">
        <f>AI799</f>
        <v/>
      </c>
      <c r="AG800" s="13" t="n">
        <v>0</v>
      </c>
      <c r="AH800" s="13" t="n">
        <v>0</v>
      </c>
      <c r="AI800" s="13">
        <f>AF800+AG800+AH800</f>
        <v/>
      </c>
      <c r="AJ800" s="14" t="n">
        <v>30</v>
      </c>
      <c r="AK800" s="14" t="n">
        <v>50</v>
      </c>
      <c r="AL800" s="14" t="n">
        <v>0</v>
      </c>
      <c r="AM800" s="14">
        <f>AJ800+AK800+AL800</f>
        <v/>
      </c>
      <c r="AN800" s="14">
        <f>AN799+AM800</f>
        <v/>
      </c>
    </row>
    <row r="801">
      <c r="A801" s="8" t="n">
        <v>31</v>
      </c>
      <c r="B801" s="8" t="n">
        <v>10</v>
      </c>
      <c r="C801" s="8" t="n">
        <v>2</v>
      </c>
      <c r="D801" s="8" t="inlineStr">
        <is>
          <t>月卡收益</t>
        </is>
      </c>
      <c r="E801" s="9">
        <f>K800</f>
        <v/>
      </c>
      <c r="F801" s="9" t="n">
        <v>1540</v>
      </c>
      <c r="G801" s="9" t="n">
        <v>0</v>
      </c>
      <c r="H801" s="9" t="n">
        <v>0</v>
      </c>
      <c r="I801" s="9" t="n">
        <v>0</v>
      </c>
      <c r="J801" s="9" t="n">
        <v>12000</v>
      </c>
      <c r="K801" s="9">
        <f>E801+F801+G801+H801+I801-J801</f>
        <v/>
      </c>
      <c r="L801" s="10">
        <f>Q800</f>
        <v/>
      </c>
      <c r="M801" s="10" t="n">
        <v>0</v>
      </c>
      <c r="N801" s="10" t="n">
        <v>11</v>
      </c>
      <c r="O801" s="10">
        <f>J801/160</f>
        <v/>
      </c>
      <c r="P801" s="10" t="n">
        <v>90</v>
      </c>
      <c r="Q801" s="10">
        <f>L801+M801+N801+O801-P801</f>
        <v/>
      </c>
      <c r="R801" s="11">
        <f>T800</f>
        <v/>
      </c>
      <c r="S801" s="11">
        <f>N(V801) + N(X801) + N(Z801)</f>
        <v/>
      </c>
      <c r="T801" s="11">
        <f>R801+P801-S801</f>
        <v/>
      </c>
      <c r="U801" s="11" t="inlineStr">
        <is>
          <t>是</t>
        </is>
      </c>
      <c r="V801" s="11" t="n">
        <v>36</v>
      </c>
      <c r="W801" s="11" t="inlineStr">
        <is>
          <t>是</t>
        </is>
      </c>
      <c r="X801" s="11" t="n">
        <v>49</v>
      </c>
      <c r="Y801" s="11" t="inlineStr">
        <is>
          <t>歪(13)</t>
        </is>
      </c>
      <c r="Z801" s="11" t="n">
        <v>13</v>
      </c>
      <c r="AA801" s="11" t="inlineStr">
        <is>
          <t>垫到90抽</t>
        </is>
      </c>
      <c r="AB801" s="12">
        <f>AE800</f>
        <v/>
      </c>
      <c r="AC801" s="12" t="n">
        <v>0</v>
      </c>
      <c r="AD801" s="12" t="n">
        <v>0</v>
      </c>
      <c r="AE801" s="12">
        <f>AB801+AC801+AD801</f>
        <v/>
      </c>
      <c r="AF801" s="13">
        <f>AI800</f>
        <v/>
      </c>
      <c r="AG801" s="13" t="n">
        <v>0</v>
      </c>
      <c r="AH801" s="13" t="n">
        <v>0</v>
      </c>
      <c r="AI801" s="13">
        <f>AF801+AG801+AH801</f>
        <v/>
      </c>
      <c r="AJ801" s="14" t="n">
        <v>0</v>
      </c>
      <c r="AK801" s="14" t="n">
        <v>0</v>
      </c>
      <c r="AL801" s="14" t="n">
        <v>0</v>
      </c>
      <c r="AM801" s="14">
        <f>AJ801+AK801+AL801</f>
        <v/>
      </c>
      <c r="AN801" s="14">
        <f>AN800+AM801</f>
        <v/>
      </c>
    </row>
    <row r="802">
      <c r="A802" s="8" t="n">
        <v>31</v>
      </c>
      <c r="B802" s="8" t="n">
        <v>11</v>
      </c>
      <c r="C802" s="8" t="n">
        <v>1</v>
      </c>
      <c r="D802" s="8" t="inlineStr">
        <is>
          <t>版本免费+义相逢 + 月卡收益 [月卡续费-30元]</t>
        </is>
      </c>
      <c r="E802" s="9">
        <f>K801</f>
        <v/>
      </c>
      <c r="F802" s="9" t="n">
        <v>1540</v>
      </c>
      <c r="G802" s="9" t="n">
        <v>4800</v>
      </c>
      <c r="H802" s="9" t="n">
        <v>0</v>
      </c>
      <c r="I802" s="9" t="n">
        <v>0</v>
      </c>
      <c r="J802" s="9" t="n">
        <v>0</v>
      </c>
      <c r="K802" s="9">
        <f>E802+F802+G802+H802+I802-J802</f>
        <v/>
      </c>
      <c r="L802" s="10">
        <f>Q801</f>
        <v/>
      </c>
      <c r="M802" s="10" t="n">
        <v>85</v>
      </c>
      <c r="N802" s="10" t="n">
        <v>6</v>
      </c>
      <c r="O802" s="10">
        <f>J802/160</f>
        <v/>
      </c>
      <c r="P802" s="10" t="n">
        <v>60</v>
      </c>
      <c r="Q802" s="10">
        <f>L802+M802+N802+O802-P802</f>
        <v/>
      </c>
      <c r="R802" s="11">
        <f>T801</f>
        <v/>
      </c>
      <c r="S802" s="11">
        <f>N(V802) + N(X802) + N(Z802)</f>
        <v/>
      </c>
      <c r="T802" s="11">
        <f>R802+P802-S802</f>
        <v/>
      </c>
      <c r="U802" s="11" t="inlineStr">
        <is>
          <t>是</t>
        </is>
      </c>
      <c r="V802" s="11" t="n">
        <v>46</v>
      </c>
      <c r="W802" s="11" t="inlineStr">
        <is>
          <t>否</t>
        </is>
      </c>
      <c r="X802" s="11" t="inlineStr">
        <is>
          <t>-</t>
        </is>
      </c>
      <c r="Y802" s="11" t="inlineStr">
        <is>
          <t>-</t>
        </is>
      </c>
      <c r="Z802" s="11" t="n">
        <v>0</v>
      </c>
      <c r="AA802" s="11" t="inlineStr">
        <is>
          <t>垫到60抽</t>
        </is>
      </c>
      <c r="AB802" s="12">
        <f>AE801</f>
        <v/>
      </c>
      <c r="AC802" s="12" t="n">
        <v>4</v>
      </c>
      <c r="AD802" s="12" t="n">
        <v>0</v>
      </c>
      <c r="AE802" s="12">
        <f>AB802+AC802+AD802</f>
        <v/>
      </c>
      <c r="AF802" s="13">
        <f>AI801</f>
        <v/>
      </c>
      <c r="AG802" s="13" t="n">
        <v>0</v>
      </c>
      <c r="AH802" s="13" t="n">
        <v>0</v>
      </c>
      <c r="AI802" s="13">
        <f>AF802+AG802+AH802</f>
        <v/>
      </c>
      <c r="AJ802" s="14" t="n">
        <v>30</v>
      </c>
      <c r="AK802" s="14" t="n">
        <v>50</v>
      </c>
      <c r="AL802" s="14" t="n">
        <v>0</v>
      </c>
      <c r="AM802" s="14">
        <f>AJ802+AK802+AL802</f>
        <v/>
      </c>
      <c r="AN802" s="14">
        <f>AN801+AM802</f>
        <v/>
      </c>
    </row>
    <row r="803">
      <c r="A803" s="8" t="n">
        <v>31</v>
      </c>
      <c r="B803" s="8" t="n">
        <v>11</v>
      </c>
      <c r="C803" s="8" t="n">
        <v>2</v>
      </c>
      <c r="D803" s="8" t="inlineStr">
        <is>
          <t>月卡收益</t>
        </is>
      </c>
      <c r="E803" s="9">
        <f>K802</f>
        <v/>
      </c>
      <c r="F803" s="9" t="n">
        <v>1540</v>
      </c>
      <c r="G803" s="9" t="n">
        <v>0</v>
      </c>
      <c r="H803" s="9" t="n">
        <v>0</v>
      </c>
      <c r="I803" s="9" t="n">
        <v>0</v>
      </c>
      <c r="J803" s="9" t="n">
        <v>160</v>
      </c>
      <c r="K803" s="9">
        <f>E803+F803+G803+H803+I803-J803</f>
        <v/>
      </c>
      <c r="L803" s="10">
        <f>Q802</f>
        <v/>
      </c>
      <c r="M803" s="10" t="n">
        <v>0</v>
      </c>
      <c r="N803" s="10" t="n">
        <v>3</v>
      </c>
      <c r="O803" s="10">
        <f>J803/160</f>
        <v/>
      </c>
      <c r="P803" s="10" t="n">
        <v>40</v>
      </c>
      <c r="Q803" s="10">
        <f>L803+M803+N803+O803-P803</f>
        <v/>
      </c>
      <c r="R803" s="11">
        <f>T802</f>
        <v/>
      </c>
      <c r="S803" s="11">
        <f>N(V803) + N(X803) + N(Z803)</f>
        <v/>
      </c>
      <c r="T803" s="11">
        <f>R803+P803-S803</f>
        <v/>
      </c>
      <c r="U803" s="11" t="inlineStr">
        <is>
          <t>是</t>
        </is>
      </c>
      <c r="V803" s="11" t="n">
        <v>49</v>
      </c>
      <c r="W803" s="11" t="inlineStr">
        <is>
          <t>否</t>
        </is>
      </c>
      <c r="X803" s="11" t="inlineStr">
        <is>
          <t>-</t>
        </is>
      </c>
      <c r="Y803" s="11" t="inlineStr">
        <is>
          <t>-</t>
        </is>
      </c>
      <c r="Z803" s="11" t="n">
        <v>0</v>
      </c>
      <c r="AA803" s="11" t="inlineStr">
        <is>
          <t>无</t>
        </is>
      </c>
      <c r="AB803" s="12">
        <f>AE802</f>
        <v/>
      </c>
      <c r="AC803" s="12" t="n">
        <v>0</v>
      </c>
      <c r="AD803" s="12" t="n">
        <v>0</v>
      </c>
      <c r="AE803" s="12">
        <f>AB803+AC803+AD803</f>
        <v/>
      </c>
      <c r="AF803" s="13">
        <f>AI802</f>
        <v/>
      </c>
      <c r="AG803" s="13" t="n">
        <v>0</v>
      </c>
      <c r="AH803" s="13" t="n">
        <v>0</v>
      </c>
      <c r="AI803" s="13">
        <f>AF803+AG803+AH803</f>
        <v/>
      </c>
      <c r="AJ803" s="14" t="n">
        <v>0</v>
      </c>
      <c r="AK803" s="14" t="n">
        <v>0</v>
      </c>
      <c r="AL803" s="14" t="n">
        <v>0</v>
      </c>
      <c r="AM803" s="14">
        <f>AJ803+AK803+AL803</f>
        <v/>
      </c>
      <c r="AN803" s="14">
        <f>AN802+AM803</f>
        <v/>
      </c>
    </row>
    <row r="804">
      <c r="A804" s="8" t="n">
        <v>31</v>
      </c>
      <c r="B804" s="8" t="n">
        <v>12</v>
      </c>
      <c r="C804" s="8" t="n">
        <v>1</v>
      </c>
      <c r="D804" s="8" t="inlineStr">
        <is>
          <t>版本免费+义相逢 + 月卡收益 [月卡续费-30元]</t>
        </is>
      </c>
      <c r="E804" s="9">
        <f>K803</f>
        <v/>
      </c>
      <c r="F804" s="9" t="n">
        <v>1540</v>
      </c>
      <c r="G804" s="9" t="n">
        <v>4800</v>
      </c>
      <c r="H804" s="9" t="n">
        <v>0</v>
      </c>
      <c r="I804" s="9" t="n">
        <v>0</v>
      </c>
      <c r="J804" s="9" t="n">
        <v>0</v>
      </c>
      <c r="K804" s="9">
        <f>E804+F804+G804+H804+I804-J804</f>
        <v/>
      </c>
      <c r="L804" s="10">
        <f>Q803</f>
        <v/>
      </c>
      <c r="M804" s="10" t="n">
        <v>85</v>
      </c>
      <c r="N804" s="10" t="n">
        <v>11</v>
      </c>
      <c r="O804" s="10">
        <f>J804/160</f>
        <v/>
      </c>
      <c r="P804" s="10" t="n">
        <v>90</v>
      </c>
      <c r="Q804" s="10">
        <f>L804+M804+N804+O804-P804</f>
        <v/>
      </c>
      <c r="R804" s="11">
        <f>T803</f>
        <v/>
      </c>
      <c r="S804" s="11">
        <f>N(V804) + N(X804) + N(Z804)</f>
        <v/>
      </c>
      <c r="T804" s="11">
        <f>R804+P804-S804</f>
        <v/>
      </c>
      <c r="U804" s="11" t="inlineStr">
        <is>
          <t>是</t>
        </is>
      </c>
      <c r="V804" s="11" t="n">
        <v>47</v>
      </c>
      <c r="W804" s="11" t="inlineStr">
        <is>
          <t>是</t>
        </is>
      </c>
      <c r="X804" s="11" t="n">
        <v>48</v>
      </c>
      <c r="Y804" s="11" t="inlineStr">
        <is>
          <t>-</t>
        </is>
      </c>
      <c r="Z804" s="11" t="n">
        <v>0</v>
      </c>
      <c r="AA804" s="11" t="inlineStr">
        <is>
          <t>无</t>
        </is>
      </c>
      <c r="AB804" s="12">
        <f>AE803</f>
        <v/>
      </c>
      <c r="AC804" s="12" t="n">
        <v>4</v>
      </c>
      <c r="AD804" s="12" t="n">
        <v>0</v>
      </c>
      <c r="AE804" s="12">
        <f>AB804+AC804+AD804</f>
        <v/>
      </c>
      <c r="AF804" s="13">
        <f>AI803</f>
        <v/>
      </c>
      <c r="AG804" s="13" t="n">
        <v>0</v>
      </c>
      <c r="AH804" s="13" t="n">
        <v>0</v>
      </c>
      <c r="AI804" s="13">
        <f>AF804+AG804+AH804</f>
        <v/>
      </c>
      <c r="AJ804" s="14" t="n">
        <v>30</v>
      </c>
      <c r="AK804" s="14" t="n">
        <v>50</v>
      </c>
      <c r="AL804" s="14" t="n">
        <v>0</v>
      </c>
      <c r="AM804" s="14">
        <f>AJ804+AK804+AL804</f>
        <v/>
      </c>
      <c r="AN804" s="14">
        <f>AN803+AM804</f>
        <v/>
      </c>
    </row>
    <row r="805">
      <c r="A805" s="8" t="n">
        <v>31</v>
      </c>
      <c r="B805" s="8" t="n">
        <v>12</v>
      </c>
      <c r="C805" s="8" t="n">
        <v>2</v>
      </c>
      <c r="D805" s="8" t="inlineStr">
        <is>
          <t>月卡收益</t>
        </is>
      </c>
      <c r="E805" s="9">
        <f>K804</f>
        <v/>
      </c>
      <c r="F805" s="9" t="n">
        <v>1540</v>
      </c>
      <c r="G805" s="9" t="n">
        <v>0</v>
      </c>
      <c r="H805" s="9" t="n">
        <v>0</v>
      </c>
      <c r="I805" s="9" t="n">
        <v>0</v>
      </c>
      <c r="J805" s="9" t="n">
        <v>14880</v>
      </c>
      <c r="K805" s="9">
        <f>E805+F805+G805+H805+I805-J805</f>
        <v/>
      </c>
      <c r="L805" s="10">
        <f>Q804</f>
        <v/>
      </c>
      <c r="M805" s="10" t="n">
        <v>0</v>
      </c>
      <c r="N805" s="10" t="n">
        <v>11</v>
      </c>
      <c r="O805" s="10">
        <f>J805/160</f>
        <v/>
      </c>
      <c r="P805" s="10" t="n">
        <v>110</v>
      </c>
      <c r="Q805" s="10">
        <f>L805+M805+N805+O805-P805</f>
        <v/>
      </c>
      <c r="R805" s="11">
        <f>T804</f>
        <v/>
      </c>
      <c r="S805" s="11">
        <f>N(V805) + N(X805) + N(Z805)</f>
        <v/>
      </c>
      <c r="T805" s="11">
        <f>R805+P805-S805</f>
        <v/>
      </c>
      <c r="U805" s="11" t="inlineStr">
        <is>
          <t>是</t>
        </is>
      </c>
      <c r="V805" s="11" t="n">
        <v>53</v>
      </c>
      <c r="W805" s="11" t="inlineStr">
        <is>
          <t>是</t>
        </is>
      </c>
      <c r="X805" s="11" t="n">
        <v>54</v>
      </c>
      <c r="Y805" s="11" t="inlineStr">
        <is>
          <t>-</t>
        </is>
      </c>
      <c r="Z805" s="11" t="n">
        <v>0</v>
      </c>
      <c r="AA805" s="11" t="inlineStr">
        <is>
          <t>无</t>
        </is>
      </c>
      <c r="AB805" s="12">
        <f>AE804</f>
        <v/>
      </c>
      <c r="AC805" s="12" t="n">
        <v>0</v>
      </c>
      <c r="AD805" s="12" t="n">
        <v>0</v>
      </c>
      <c r="AE805" s="12">
        <f>AB805+AC805+AD805</f>
        <v/>
      </c>
      <c r="AF805" s="13">
        <f>AI804</f>
        <v/>
      </c>
      <c r="AG805" s="13" t="n">
        <v>0</v>
      </c>
      <c r="AH805" s="13" t="n">
        <v>0</v>
      </c>
      <c r="AI805" s="13">
        <f>AF805+AG805+AH805</f>
        <v/>
      </c>
      <c r="AJ805" s="14" t="n">
        <v>0</v>
      </c>
      <c r="AK805" s="14" t="n">
        <v>0</v>
      </c>
      <c r="AL805" s="14" t="n">
        <v>0</v>
      </c>
      <c r="AM805" s="14">
        <f>AJ805+AK805+AL805</f>
        <v/>
      </c>
      <c r="AN805" s="14">
        <f>AN804+AM805</f>
        <v/>
      </c>
    </row>
    <row r="806">
      <c r="A806" s="8" t="n">
        <v>31</v>
      </c>
      <c r="B806" s="8" t="n">
        <v>13</v>
      </c>
      <c r="C806" s="8" t="n">
        <v>1</v>
      </c>
      <c r="D806" s="8" t="inlineStr">
        <is>
          <t>版本免费+义相逢 + 月卡收益 [月卡续费-30元]</t>
        </is>
      </c>
      <c r="E806" s="9">
        <f>K805</f>
        <v/>
      </c>
      <c r="F806" s="9" t="n">
        <v>1540</v>
      </c>
      <c r="G806" s="9" t="n">
        <v>4800</v>
      </c>
      <c r="H806" s="9" t="n">
        <v>0</v>
      </c>
      <c r="I806" s="9" t="n">
        <v>0</v>
      </c>
      <c r="J806" s="9" t="n">
        <v>0</v>
      </c>
      <c r="K806" s="9">
        <f>E806+F806+G806+H806+I806-J806</f>
        <v/>
      </c>
      <c r="L806" s="10">
        <f>Q805</f>
        <v/>
      </c>
      <c r="M806" s="10" t="n">
        <v>85</v>
      </c>
      <c r="N806" s="10" t="n">
        <v>6</v>
      </c>
      <c r="O806" s="10">
        <f>J806/160</f>
        <v/>
      </c>
      <c r="P806" s="10" t="n">
        <v>60</v>
      </c>
      <c r="Q806" s="10">
        <f>L806+M806+N806+O806-P806</f>
        <v/>
      </c>
      <c r="R806" s="11">
        <f>T805</f>
        <v/>
      </c>
      <c r="S806" s="11">
        <f>N(V806) + N(X806) + N(Z806)</f>
        <v/>
      </c>
      <c r="T806" s="11">
        <f>R806+P806-S806</f>
        <v/>
      </c>
      <c r="U806" s="11" t="inlineStr">
        <is>
          <t>是</t>
        </is>
      </c>
      <c r="V806" s="11" t="n">
        <v>50</v>
      </c>
      <c r="W806" s="11" t="inlineStr">
        <is>
          <t>否</t>
        </is>
      </c>
      <c r="X806" s="11" t="inlineStr">
        <is>
          <t>-</t>
        </is>
      </c>
      <c r="Y806" s="11" t="inlineStr">
        <is>
          <t>-</t>
        </is>
      </c>
      <c r="Z806" s="11" t="n">
        <v>0</v>
      </c>
      <c r="AA806" s="11" t="inlineStr">
        <is>
          <t>垫到60抽</t>
        </is>
      </c>
      <c r="AB806" s="12">
        <f>AE805</f>
        <v/>
      </c>
      <c r="AC806" s="12" t="n">
        <v>4</v>
      </c>
      <c r="AD806" s="12" t="n">
        <v>0</v>
      </c>
      <c r="AE806" s="12">
        <f>AB806+AC806+AD806</f>
        <v/>
      </c>
      <c r="AF806" s="13">
        <f>AI805</f>
        <v/>
      </c>
      <c r="AG806" s="13" t="n">
        <v>0</v>
      </c>
      <c r="AH806" s="13" t="n">
        <v>0</v>
      </c>
      <c r="AI806" s="13">
        <f>AF806+AG806+AH806</f>
        <v/>
      </c>
      <c r="AJ806" s="14" t="n">
        <v>30</v>
      </c>
      <c r="AK806" s="14" t="n">
        <v>50</v>
      </c>
      <c r="AL806" s="14" t="n">
        <v>0</v>
      </c>
      <c r="AM806" s="14">
        <f>AJ806+AK806+AL806</f>
        <v/>
      </c>
      <c r="AN806" s="14">
        <f>AN805+AM806</f>
        <v/>
      </c>
    </row>
    <row r="807">
      <c r="A807" s="8" t="n">
        <v>31</v>
      </c>
      <c r="B807" s="8" t="n">
        <v>13</v>
      </c>
      <c r="C807" s="8" t="n">
        <v>2</v>
      </c>
      <c r="D807" s="8" t="inlineStr">
        <is>
          <t>月卡收益</t>
        </is>
      </c>
      <c r="E807" s="9">
        <f>K806</f>
        <v/>
      </c>
      <c r="F807" s="9" t="n">
        <v>1540</v>
      </c>
      <c r="G807" s="9" t="n">
        <v>0</v>
      </c>
      <c r="H807" s="9" t="n">
        <v>0</v>
      </c>
      <c r="I807" s="9" t="n">
        <v>0</v>
      </c>
      <c r="J807" s="9" t="n">
        <v>960</v>
      </c>
      <c r="K807" s="9">
        <f>E807+F807+G807+H807+I807-J807</f>
        <v/>
      </c>
      <c r="L807" s="10">
        <f>Q806</f>
        <v/>
      </c>
      <c r="M807" s="10" t="n">
        <v>0</v>
      </c>
      <c r="N807" s="10" t="n">
        <v>3</v>
      </c>
      <c r="O807" s="10">
        <f>J807/160</f>
        <v/>
      </c>
      <c r="P807" s="10" t="n">
        <v>40</v>
      </c>
      <c r="Q807" s="10">
        <f>L807+M807+N807+O807-P807</f>
        <v/>
      </c>
      <c r="R807" s="11">
        <f>T806</f>
        <v/>
      </c>
      <c r="S807" s="11">
        <f>N(V807) + N(X807) + N(Z807)</f>
        <v/>
      </c>
      <c r="T807" s="11">
        <f>R807+P807-S807</f>
        <v/>
      </c>
      <c r="U807" s="11" t="inlineStr">
        <is>
          <t>是</t>
        </is>
      </c>
      <c r="V807" s="11" t="n">
        <v>49</v>
      </c>
      <c r="W807" s="11" t="inlineStr">
        <is>
          <t>否</t>
        </is>
      </c>
      <c r="X807" s="11" t="inlineStr">
        <is>
          <t>-</t>
        </is>
      </c>
      <c r="Y807" s="11" t="inlineStr">
        <is>
          <t>-</t>
        </is>
      </c>
      <c r="Z807" s="11" t="n">
        <v>0</v>
      </c>
      <c r="AA807" s="11" t="inlineStr">
        <is>
          <t>无</t>
        </is>
      </c>
      <c r="AB807" s="12">
        <f>AE806</f>
        <v/>
      </c>
      <c r="AC807" s="12" t="n">
        <v>0</v>
      </c>
      <c r="AD807" s="12" t="n">
        <v>0</v>
      </c>
      <c r="AE807" s="12">
        <f>AB807+AC807+AD807</f>
        <v/>
      </c>
      <c r="AF807" s="13">
        <f>AI806</f>
        <v/>
      </c>
      <c r="AG807" s="13" t="n">
        <v>0</v>
      </c>
      <c r="AH807" s="13" t="n">
        <v>0</v>
      </c>
      <c r="AI807" s="13">
        <f>AF807+AG807+AH807</f>
        <v/>
      </c>
      <c r="AJ807" s="14" t="n">
        <v>0</v>
      </c>
      <c r="AK807" s="14" t="n">
        <v>0</v>
      </c>
      <c r="AL807" s="14" t="n">
        <v>0</v>
      </c>
      <c r="AM807" s="14">
        <f>AJ807+AK807+AL807</f>
        <v/>
      </c>
      <c r="AN807" s="14">
        <f>AN806+AM807</f>
        <v/>
      </c>
    </row>
    <row r="808">
      <c r="A808" s="8" t="n">
        <v>32</v>
      </c>
      <c r="B808" s="8" t="n">
        <v>1</v>
      </c>
      <c r="C808" s="8" t="n">
        <v>1</v>
      </c>
      <c r="D808" s="8" t="inlineStr">
        <is>
          <t>版本免费+义相逢 + 月卡收益 [月卡续费-30元]</t>
        </is>
      </c>
      <c r="E808" s="9" t="n">
        <v>18840</v>
      </c>
      <c r="F808" s="9" t="n">
        <v>1540</v>
      </c>
      <c r="G808" s="9" t="n">
        <v>4800</v>
      </c>
      <c r="H808" s="9" t="n">
        <v>0</v>
      </c>
      <c r="I808" s="9" t="n">
        <v>0</v>
      </c>
      <c r="J808" s="9" t="n">
        <v>640</v>
      </c>
      <c r="K808" s="9">
        <f>E808+F808+G808+H808+I808-J808</f>
        <v/>
      </c>
      <c r="L808" s="10" t="n">
        <v>0</v>
      </c>
      <c r="M808" s="10" t="n">
        <v>85</v>
      </c>
      <c r="N808" s="10" t="n">
        <v>11</v>
      </c>
      <c r="O808" s="10">
        <f>J808/160</f>
        <v/>
      </c>
      <c r="P808" s="10" t="n">
        <v>100</v>
      </c>
      <c r="Q808" s="10">
        <f>L808+M808+N808+O808-P808</f>
        <v/>
      </c>
      <c r="R808" s="11" t="n">
        <v>5</v>
      </c>
      <c r="S808" s="11">
        <f>N(V808) + N(X808) + N(Z808)</f>
        <v/>
      </c>
      <c r="T808" s="11">
        <f>R808+P808-S808</f>
        <v/>
      </c>
      <c r="U808" s="11" t="inlineStr">
        <is>
          <t>是</t>
        </is>
      </c>
      <c r="V808" s="11" t="n">
        <v>50</v>
      </c>
      <c r="W808" s="11" t="inlineStr">
        <is>
          <t>是</t>
        </is>
      </c>
      <c r="X808" s="11" t="n">
        <v>49</v>
      </c>
      <c r="Y808" s="11" t="inlineStr">
        <is>
          <t>-</t>
        </is>
      </c>
      <c r="Z808" s="11" t="n">
        <v>0</v>
      </c>
      <c r="AA808" s="11" t="inlineStr">
        <is>
          <t>无</t>
        </is>
      </c>
      <c r="AB808" s="12" t="n">
        <v>1662</v>
      </c>
      <c r="AC808" s="12" t="n">
        <v>4</v>
      </c>
      <c r="AD808" s="12" t="n">
        <v>0</v>
      </c>
      <c r="AE808" s="12">
        <f>AB808+AC808+AD808</f>
        <v/>
      </c>
      <c r="AF808" s="13" t="n">
        <v>250000</v>
      </c>
      <c r="AG808" s="13" t="n">
        <v>0</v>
      </c>
      <c r="AH808" s="13" t="n">
        <v>0</v>
      </c>
      <c r="AI808" s="13">
        <f>AF808+AG808+AH808</f>
        <v/>
      </c>
      <c r="AJ808" s="14" t="n">
        <v>30</v>
      </c>
      <c r="AK808" s="14" t="n">
        <v>50</v>
      </c>
      <c r="AL808" s="14" t="n">
        <v>0</v>
      </c>
      <c r="AM808" s="14">
        <f>AJ808+AK808+AL808</f>
        <v/>
      </c>
      <c r="AN808" s="14">
        <f>AM808</f>
        <v/>
      </c>
    </row>
    <row r="809">
      <c r="A809" s="8" t="n">
        <v>32</v>
      </c>
      <c r="B809" s="8" t="n">
        <v>1</v>
      </c>
      <c r="C809" s="8" t="n">
        <v>2</v>
      </c>
      <c r="D809" s="8" t="inlineStr">
        <is>
          <t>月卡收益</t>
        </is>
      </c>
      <c r="E809" s="9">
        <f>K808</f>
        <v/>
      </c>
      <c r="F809" s="9" t="n">
        <v>1540</v>
      </c>
      <c r="G809" s="9" t="n">
        <v>0</v>
      </c>
      <c r="H809" s="9" t="n">
        <v>0</v>
      </c>
      <c r="I809" s="9" t="n">
        <v>0</v>
      </c>
      <c r="J809" s="9" t="n">
        <v>9120</v>
      </c>
      <c r="K809" s="9">
        <f>E809+F809+G809+H809+I809-J809</f>
        <v/>
      </c>
      <c r="L809" s="10">
        <f>Q808</f>
        <v/>
      </c>
      <c r="M809" s="10" t="n">
        <v>0</v>
      </c>
      <c r="N809" s="10" t="n">
        <v>6</v>
      </c>
      <c r="O809" s="10">
        <f>J809/160</f>
        <v/>
      </c>
      <c r="P809" s="10" t="n">
        <v>60</v>
      </c>
      <c r="Q809" s="10">
        <f>L809+M809+N809+O809-P809</f>
        <v/>
      </c>
      <c r="R809" s="11">
        <f>T808</f>
        <v/>
      </c>
      <c r="S809" s="11">
        <f>N(V809) + N(X809) + N(Z809)</f>
        <v/>
      </c>
      <c r="T809" s="11">
        <f>R809+P809-S809</f>
        <v/>
      </c>
      <c r="U809" s="11" t="inlineStr">
        <is>
          <t>是</t>
        </is>
      </c>
      <c r="V809" s="11" t="n">
        <v>53</v>
      </c>
      <c r="W809" s="11" t="inlineStr">
        <is>
          <t>否</t>
        </is>
      </c>
      <c r="X809" s="11" t="inlineStr">
        <is>
          <t>-</t>
        </is>
      </c>
      <c r="Y809" s="11" t="inlineStr">
        <is>
          <t>-</t>
        </is>
      </c>
      <c r="Z809" s="11" t="n">
        <v>0</v>
      </c>
      <c r="AA809" s="11" t="inlineStr">
        <is>
          <t>垫到60抽</t>
        </is>
      </c>
      <c r="AB809" s="12">
        <f>AE808</f>
        <v/>
      </c>
      <c r="AC809" s="12" t="n">
        <v>0</v>
      </c>
      <c r="AD809" s="12" t="n">
        <v>0</v>
      </c>
      <c r="AE809" s="12">
        <f>AB809+AC809+AD809</f>
        <v/>
      </c>
      <c r="AF809" s="13">
        <f>AI808</f>
        <v/>
      </c>
      <c r="AG809" s="13" t="n">
        <v>0</v>
      </c>
      <c r="AH809" s="13" t="n">
        <v>0</v>
      </c>
      <c r="AI809" s="13">
        <f>AF809+AG809+AH809</f>
        <v/>
      </c>
      <c r="AJ809" s="14" t="n">
        <v>0</v>
      </c>
      <c r="AK809" s="14" t="n">
        <v>0</v>
      </c>
      <c r="AL809" s="14" t="n">
        <v>0</v>
      </c>
      <c r="AM809" s="14">
        <f>AJ809+AK809+AL809</f>
        <v/>
      </c>
      <c r="AN809" s="14">
        <f>AN808+AM809</f>
        <v/>
      </c>
    </row>
    <row r="810">
      <c r="A810" s="8" t="n">
        <v>32</v>
      </c>
      <c r="B810" s="8" t="n">
        <v>2</v>
      </c>
      <c r="C810" s="8" t="n">
        <v>1</v>
      </c>
      <c r="D810" s="8" t="inlineStr">
        <is>
          <t>版本免费+义相逢 + 月卡收益 [月卡续费-30元]</t>
        </is>
      </c>
      <c r="E810" s="9">
        <f>K809</f>
        <v/>
      </c>
      <c r="F810" s="9" t="n">
        <v>1540</v>
      </c>
      <c r="G810" s="9" t="n">
        <v>4800</v>
      </c>
      <c r="H810" s="9" t="n">
        <v>0</v>
      </c>
      <c r="I810" s="9" t="n">
        <v>0</v>
      </c>
      <c r="J810" s="9" t="n">
        <v>0</v>
      </c>
      <c r="K810" s="9">
        <f>E810+F810+G810+H810+I810-J810</f>
        <v/>
      </c>
      <c r="L810" s="10">
        <f>Q809</f>
        <v/>
      </c>
      <c r="M810" s="10" t="n">
        <v>85</v>
      </c>
      <c r="N810" s="10" t="n">
        <v>3</v>
      </c>
      <c r="O810" s="10">
        <f>J810/160</f>
        <v/>
      </c>
      <c r="P810" s="10" t="n">
        <v>40</v>
      </c>
      <c r="Q810" s="10">
        <f>L810+M810+N810+O810-P810</f>
        <v/>
      </c>
      <c r="R810" s="11">
        <f>T809</f>
        <v/>
      </c>
      <c r="S810" s="11">
        <f>N(V810) + N(X810) + N(Z810)</f>
        <v/>
      </c>
      <c r="T810" s="11">
        <f>R810+P810-S810</f>
        <v/>
      </c>
      <c r="U810" s="11" t="inlineStr">
        <is>
          <t>是</t>
        </is>
      </c>
      <c r="V810" s="11" t="n">
        <v>47</v>
      </c>
      <c r="W810" s="11" t="inlineStr">
        <is>
          <t>否</t>
        </is>
      </c>
      <c r="X810" s="11" t="inlineStr">
        <is>
          <t>-</t>
        </is>
      </c>
      <c r="Y810" s="11" t="inlineStr">
        <is>
          <t>-</t>
        </is>
      </c>
      <c r="Z810" s="11" t="n">
        <v>0</v>
      </c>
      <c r="AA810" s="11" t="inlineStr">
        <is>
          <t>无</t>
        </is>
      </c>
      <c r="AB810" s="12">
        <f>AE809</f>
        <v/>
      </c>
      <c r="AC810" s="12" t="n">
        <v>4</v>
      </c>
      <c r="AD810" s="12" t="n">
        <v>0</v>
      </c>
      <c r="AE810" s="12">
        <f>AB810+AC810+AD810</f>
        <v/>
      </c>
      <c r="AF810" s="13">
        <f>AI809</f>
        <v/>
      </c>
      <c r="AG810" s="13" t="n">
        <v>0</v>
      </c>
      <c r="AH810" s="13" t="n">
        <v>0</v>
      </c>
      <c r="AI810" s="13">
        <f>AF810+AG810+AH810</f>
        <v/>
      </c>
      <c r="AJ810" s="14" t="n">
        <v>30</v>
      </c>
      <c r="AK810" s="14" t="n">
        <v>50</v>
      </c>
      <c r="AL810" s="14" t="n">
        <v>0</v>
      </c>
      <c r="AM810" s="14">
        <f>AJ810+AK810+AL810</f>
        <v/>
      </c>
      <c r="AN810" s="14">
        <f>AN809+AM810</f>
        <v/>
      </c>
    </row>
    <row r="811">
      <c r="A811" s="8" t="n">
        <v>32</v>
      </c>
      <c r="B811" s="8" t="n">
        <v>2</v>
      </c>
      <c r="C811" s="8" t="n">
        <v>2</v>
      </c>
      <c r="D811" s="8" t="inlineStr">
        <is>
          <t>月卡收益</t>
        </is>
      </c>
      <c r="E811" s="9">
        <f>K810</f>
        <v/>
      </c>
      <c r="F811" s="9" t="n">
        <v>1540</v>
      </c>
      <c r="G811" s="9" t="n">
        <v>0</v>
      </c>
      <c r="H811" s="9" t="n">
        <v>0</v>
      </c>
      <c r="I811" s="9" t="n">
        <v>0</v>
      </c>
      <c r="J811" s="9" t="n">
        <v>6080</v>
      </c>
      <c r="K811" s="9">
        <f>E811+F811+G811+H811+I811-J811</f>
        <v/>
      </c>
      <c r="L811" s="10">
        <f>Q810</f>
        <v/>
      </c>
      <c r="M811" s="10" t="n">
        <v>0</v>
      </c>
      <c r="N811" s="10" t="n">
        <v>11</v>
      </c>
      <c r="O811" s="10">
        <f>J811/160</f>
        <v/>
      </c>
      <c r="P811" s="10" t="n">
        <v>100</v>
      </c>
      <c r="Q811" s="10">
        <f>L811+M811+N811+O811-P811</f>
        <v/>
      </c>
      <c r="R811" s="11">
        <f>T810</f>
        <v/>
      </c>
      <c r="S811" s="11">
        <f>N(V811) + N(X811) + N(Z811)</f>
        <v/>
      </c>
      <c r="T811" s="11">
        <f>R811+P811-S811</f>
        <v/>
      </c>
      <c r="U811" s="11" t="inlineStr">
        <is>
          <t>是</t>
        </is>
      </c>
      <c r="V811" s="11" t="n">
        <v>51</v>
      </c>
      <c r="W811" s="11" t="inlineStr">
        <is>
          <t>是</t>
        </is>
      </c>
      <c r="X811" s="11" t="n">
        <v>49</v>
      </c>
      <c r="Y811" s="11" t="inlineStr">
        <is>
          <t>-</t>
        </is>
      </c>
      <c r="Z811" s="11" t="n">
        <v>0</v>
      </c>
      <c r="AA811" s="11" t="inlineStr">
        <is>
          <t>无</t>
        </is>
      </c>
      <c r="AB811" s="12">
        <f>AE810</f>
        <v/>
      </c>
      <c r="AC811" s="12" t="n">
        <v>0</v>
      </c>
      <c r="AD811" s="12" t="n">
        <v>0</v>
      </c>
      <c r="AE811" s="12">
        <f>AB811+AC811+AD811</f>
        <v/>
      </c>
      <c r="AF811" s="13">
        <f>AI810</f>
        <v/>
      </c>
      <c r="AG811" s="13" t="n">
        <v>0</v>
      </c>
      <c r="AH811" s="13" t="n">
        <v>0</v>
      </c>
      <c r="AI811" s="13">
        <f>AF811+AG811+AH811</f>
        <v/>
      </c>
      <c r="AJ811" s="14" t="n">
        <v>0</v>
      </c>
      <c r="AK811" s="14" t="n">
        <v>0</v>
      </c>
      <c r="AL811" s="14" t="n">
        <v>0</v>
      </c>
      <c r="AM811" s="14">
        <f>AJ811+AK811+AL811</f>
        <v/>
      </c>
      <c r="AN811" s="14">
        <f>AN810+AM811</f>
        <v/>
      </c>
    </row>
    <row r="812">
      <c r="A812" s="8" t="n">
        <v>32</v>
      </c>
      <c r="B812" s="8" t="n">
        <v>3</v>
      </c>
      <c r="C812" s="8" t="n">
        <v>1</v>
      </c>
      <c r="D812" s="8" t="inlineStr">
        <is>
          <t>版本免费+义相逢 + 月卡收益</t>
        </is>
      </c>
      <c r="E812" s="9">
        <f>K811</f>
        <v/>
      </c>
      <c r="F812" s="9" t="n">
        <v>1540</v>
      </c>
      <c r="G812" s="9" t="n">
        <v>4800</v>
      </c>
      <c r="H812" s="9" t="n">
        <v>0</v>
      </c>
      <c r="I812" s="9" t="n">
        <v>0</v>
      </c>
      <c r="J812" s="9" t="n">
        <v>0</v>
      </c>
      <c r="K812" s="9">
        <f>E812+F812+G812+H812+I812-J812</f>
        <v/>
      </c>
      <c r="L812" s="10">
        <f>Q811</f>
        <v/>
      </c>
      <c r="M812" s="10" t="n">
        <v>85</v>
      </c>
      <c r="N812" s="10" t="n">
        <v>6</v>
      </c>
      <c r="O812" s="10">
        <f>J812/160</f>
        <v/>
      </c>
      <c r="P812" s="10" t="n">
        <v>60</v>
      </c>
      <c r="Q812" s="10">
        <f>L812+M812+N812+O812-P812</f>
        <v/>
      </c>
      <c r="R812" s="11">
        <f>T811</f>
        <v/>
      </c>
      <c r="S812" s="11">
        <f>N(V812) + N(X812) + N(Z812)</f>
        <v/>
      </c>
      <c r="T812" s="11">
        <f>R812+P812-S812</f>
        <v/>
      </c>
      <c r="U812" s="11" t="inlineStr">
        <is>
          <t>是</t>
        </is>
      </c>
      <c r="V812" s="11" t="n">
        <v>49</v>
      </c>
      <c r="W812" s="11" t="inlineStr">
        <is>
          <t>否</t>
        </is>
      </c>
      <c r="X812" s="11" t="inlineStr">
        <is>
          <t>-</t>
        </is>
      </c>
      <c r="Y812" s="11" t="inlineStr">
        <is>
          <t>-</t>
        </is>
      </c>
      <c r="Z812" s="11" t="n">
        <v>0</v>
      </c>
      <c r="AA812" s="11" t="inlineStr">
        <is>
          <t>垫到60抽</t>
        </is>
      </c>
      <c r="AB812" s="12">
        <f>AE811</f>
        <v/>
      </c>
      <c r="AC812" s="12" t="n">
        <v>4</v>
      </c>
      <c r="AD812" s="12" t="n">
        <v>0</v>
      </c>
      <c r="AE812" s="12">
        <f>AB812+AC812+AD812</f>
        <v/>
      </c>
      <c r="AF812" s="13">
        <f>AI811</f>
        <v/>
      </c>
      <c r="AG812" s="13" t="n">
        <v>0</v>
      </c>
      <c r="AH812" s="13" t="n">
        <v>0</v>
      </c>
      <c r="AI812" s="13">
        <f>AF812+AG812+AH812</f>
        <v/>
      </c>
      <c r="AJ812" s="14" t="n">
        <v>0</v>
      </c>
      <c r="AK812" s="14" t="n">
        <v>50</v>
      </c>
      <c r="AL812" s="14" t="n">
        <v>0</v>
      </c>
      <c r="AM812" s="14">
        <f>AJ812+AK812+AL812</f>
        <v/>
      </c>
      <c r="AN812" s="14">
        <f>AN811+AM812</f>
        <v/>
      </c>
    </row>
    <row r="813">
      <c r="A813" s="8" t="n">
        <v>32</v>
      </c>
      <c r="B813" s="8" t="n">
        <v>3</v>
      </c>
      <c r="C813" s="8" t="n">
        <v>2</v>
      </c>
      <c r="D813" s="8" t="inlineStr">
        <is>
          <t>月卡收益 [月卡续费-30元]</t>
        </is>
      </c>
      <c r="E813" s="9">
        <f>K812</f>
        <v/>
      </c>
      <c r="F813" s="9" t="n">
        <v>1540</v>
      </c>
      <c r="G813" s="9" t="n">
        <v>0</v>
      </c>
      <c r="H813" s="9" t="n">
        <v>0</v>
      </c>
      <c r="I813" s="9" t="n">
        <v>0</v>
      </c>
      <c r="J813" s="9" t="n">
        <v>0</v>
      </c>
      <c r="K813" s="9">
        <f>E813+F813+G813+H813+I813-J813</f>
        <v/>
      </c>
      <c r="L813" s="10">
        <f>Q812</f>
        <v/>
      </c>
      <c r="M813" s="10" t="n">
        <v>0</v>
      </c>
      <c r="N813" s="10" t="n">
        <v>3</v>
      </c>
      <c r="O813" s="10">
        <f>J813/160</f>
        <v/>
      </c>
      <c r="P813" s="10" t="n">
        <v>30</v>
      </c>
      <c r="Q813" s="10">
        <f>L813+M813+N813+O813-P813</f>
        <v/>
      </c>
      <c r="R813" s="11">
        <f>T812</f>
        <v/>
      </c>
      <c r="S813" s="11">
        <f>N(V813) + N(X813) + N(Z813)</f>
        <v/>
      </c>
      <c r="T813" s="11">
        <f>R813+P813-S813</f>
        <v/>
      </c>
      <c r="U813" s="11" t="inlineStr">
        <is>
          <t>是</t>
        </is>
      </c>
      <c r="V813" s="11" t="n">
        <v>47</v>
      </c>
      <c r="W813" s="11" t="inlineStr">
        <is>
          <t>否</t>
        </is>
      </c>
      <c r="X813" s="11" t="inlineStr">
        <is>
          <t>-</t>
        </is>
      </c>
      <c r="Y813" s="11" t="inlineStr">
        <is>
          <t>-</t>
        </is>
      </c>
      <c r="Z813" s="11" t="n">
        <v>0</v>
      </c>
      <c r="AA813" s="11" t="inlineStr">
        <is>
          <t>无</t>
        </is>
      </c>
      <c r="AB813" s="12">
        <f>AE812</f>
        <v/>
      </c>
      <c r="AC813" s="12" t="n">
        <v>0</v>
      </c>
      <c r="AD813" s="12" t="n">
        <v>0</v>
      </c>
      <c r="AE813" s="12">
        <f>AB813+AC813+AD813</f>
        <v/>
      </c>
      <c r="AF813" s="13">
        <f>AI812</f>
        <v/>
      </c>
      <c r="AG813" s="13" t="n">
        <v>0</v>
      </c>
      <c r="AH813" s="13" t="n">
        <v>0</v>
      </c>
      <c r="AI813" s="13">
        <f>AF813+AG813+AH813</f>
        <v/>
      </c>
      <c r="AJ813" s="14" t="n">
        <v>30</v>
      </c>
      <c r="AK813" s="14" t="n">
        <v>0</v>
      </c>
      <c r="AL813" s="14" t="n">
        <v>0</v>
      </c>
      <c r="AM813" s="14">
        <f>AJ813+AK813+AL813</f>
        <v/>
      </c>
      <c r="AN813" s="14">
        <f>AN812+AM813</f>
        <v/>
      </c>
    </row>
    <row r="814">
      <c r="A814" s="8" t="n">
        <v>32</v>
      </c>
      <c r="B814" s="8" t="n">
        <v>4</v>
      </c>
      <c r="C814" s="8" t="n">
        <v>1</v>
      </c>
      <c r="D814" s="8" t="inlineStr">
        <is>
          <t>版本免费+义相逢 + 月卡收益</t>
        </is>
      </c>
      <c r="E814" s="9">
        <f>K813</f>
        <v/>
      </c>
      <c r="F814" s="9" t="n">
        <v>1540</v>
      </c>
      <c r="G814" s="9" t="n">
        <v>4800</v>
      </c>
      <c r="H814" s="9" t="n">
        <v>0</v>
      </c>
      <c r="I814" s="9" t="n">
        <v>0</v>
      </c>
      <c r="J814" s="9" t="n">
        <v>0</v>
      </c>
      <c r="K814" s="9">
        <f>E814+F814+G814+H814+I814-J814</f>
        <v/>
      </c>
      <c r="L814" s="10">
        <f>Q813</f>
        <v/>
      </c>
      <c r="M814" s="10" t="n">
        <v>85</v>
      </c>
      <c r="N814" s="10" t="n">
        <v>6</v>
      </c>
      <c r="O814" s="10">
        <f>J814/160</f>
        <v/>
      </c>
      <c r="P814" s="10" t="n">
        <v>60</v>
      </c>
      <c r="Q814" s="10">
        <f>L814+M814+N814+O814-P814</f>
        <v/>
      </c>
      <c r="R814" s="11">
        <f>T813</f>
        <v/>
      </c>
      <c r="S814" s="11">
        <f>N(V814) + N(X814) + N(Z814)</f>
        <v/>
      </c>
      <c r="T814" s="11">
        <f>R814+P814-S814</f>
        <v/>
      </c>
      <c r="U814" s="11" t="inlineStr">
        <is>
          <t>是</t>
        </is>
      </c>
      <c r="V814" s="11" t="n">
        <v>51</v>
      </c>
      <c r="W814" s="11" t="inlineStr">
        <is>
          <t>否</t>
        </is>
      </c>
      <c r="X814" s="11" t="inlineStr">
        <is>
          <t>-</t>
        </is>
      </c>
      <c r="Y814" s="11" t="inlineStr">
        <is>
          <t>-</t>
        </is>
      </c>
      <c r="Z814" s="11" t="n">
        <v>0</v>
      </c>
      <c r="AA814" s="11" t="inlineStr">
        <is>
          <t>无</t>
        </is>
      </c>
      <c r="AB814" s="12">
        <f>AE813</f>
        <v/>
      </c>
      <c r="AC814" s="12" t="n">
        <v>4</v>
      </c>
      <c r="AD814" s="12" t="n">
        <v>0</v>
      </c>
      <c r="AE814" s="12">
        <f>AB814+AC814+AD814</f>
        <v/>
      </c>
      <c r="AF814" s="13">
        <f>AI813</f>
        <v/>
      </c>
      <c r="AG814" s="13" t="n">
        <v>0</v>
      </c>
      <c r="AH814" s="13" t="n">
        <v>0</v>
      </c>
      <c r="AI814" s="13">
        <f>AF814+AG814+AH814</f>
        <v/>
      </c>
      <c r="AJ814" s="14" t="n">
        <v>0</v>
      </c>
      <c r="AK814" s="14" t="n">
        <v>50</v>
      </c>
      <c r="AL814" s="14" t="n">
        <v>0</v>
      </c>
      <c r="AM814" s="14">
        <f>AJ814+AK814+AL814</f>
        <v/>
      </c>
      <c r="AN814" s="14">
        <f>AN813+AM814</f>
        <v/>
      </c>
    </row>
    <row r="815">
      <c r="A815" s="8" t="n">
        <v>32</v>
      </c>
      <c r="B815" s="8" t="n">
        <v>4</v>
      </c>
      <c r="C815" s="8" t="n">
        <v>2</v>
      </c>
      <c r="D815" s="8" t="inlineStr">
        <is>
          <t>月卡收益 [月卡续费-30元]</t>
        </is>
      </c>
      <c r="E815" s="9">
        <f>K814</f>
        <v/>
      </c>
      <c r="F815" s="9" t="n">
        <v>1540</v>
      </c>
      <c r="G815" s="9" t="n">
        <v>0</v>
      </c>
      <c r="H815" s="9" t="n">
        <v>0</v>
      </c>
      <c r="I815" s="9" t="n">
        <v>0</v>
      </c>
      <c r="J815" s="9" t="n">
        <v>7840</v>
      </c>
      <c r="K815" s="9">
        <f>E815+F815+G815+H815+I815-J815</f>
        <v/>
      </c>
      <c r="L815" s="10">
        <f>Q814</f>
        <v/>
      </c>
      <c r="M815" s="10" t="n">
        <v>0</v>
      </c>
      <c r="N815" s="10" t="n">
        <v>11</v>
      </c>
      <c r="O815" s="10">
        <f>J815/160</f>
        <v/>
      </c>
      <c r="P815" s="10" t="n">
        <v>90</v>
      </c>
      <c r="Q815" s="10">
        <f>L815+M815+N815+O815-P815</f>
        <v/>
      </c>
      <c r="R815" s="11">
        <f>T814</f>
        <v/>
      </c>
      <c r="S815" s="11">
        <f>N(V815) + N(X815) + N(Z815)</f>
        <v/>
      </c>
      <c r="T815" s="11">
        <f>R815+P815-S815</f>
        <v/>
      </c>
      <c r="U815" s="11" t="inlineStr">
        <is>
          <t>是</t>
        </is>
      </c>
      <c r="V815" s="11" t="n">
        <v>46</v>
      </c>
      <c r="W815" s="11" t="inlineStr">
        <is>
          <t>是</t>
        </is>
      </c>
      <c r="X815" s="11" t="n">
        <v>52</v>
      </c>
      <c r="Y815" s="11" t="inlineStr">
        <is>
          <t>-</t>
        </is>
      </c>
      <c r="Z815" s="11" t="n">
        <v>0</v>
      </c>
      <c r="AA815" s="11" t="inlineStr">
        <is>
          <t>无</t>
        </is>
      </c>
      <c r="AB815" s="12">
        <f>AE814</f>
        <v/>
      </c>
      <c r="AC815" s="12" t="n">
        <v>0</v>
      </c>
      <c r="AD815" s="12" t="n">
        <v>0</v>
      </c>
      <c r="AE815" s="12">
        <f>AB815+AC815+AD815</f>
        <v/>
      </c>
      <c r="AF815" s="13">
        <f>AI814</f>
        <v/>
      </c>
      <c r="AG815" s="13" t="n">
        <v>0</v>
      </c>
      <c r="AH815" s="13" t="n">
        <v>0</v>
      </c>
      <c r="AI815" s="13">
        <f>AF815+AG815+AH815</f>
        <v/>
      </c>
      <c r="AJ815" s="14" t="n">
        <v>30</v>
      </c>
      <c r="AK815" s="14" t="n">
        <v>0</v>
      </c>
      <c r="AL815" s="14" t="n">
        <v>0</v>
      </c>
      <c r="AM815" s="14">
        <f>AJ815+AK815+AL815</f>
        <v/>
      </c>
      <c r="AN815" s="14">
        <f>AN814+AM815</f>
        <v/>
      </c>
    </row>
    <row r="816">
      <c r="A816" s="8" t="n">
        <v>32</v>
      </c>
      <c r="B816" s="8" t="n">
        <v>5</v>
      </c>
      <c r="C816" s="8" t="n">
        <v>1</v>
      </c>
      <c r="D816" s="8" t="inlineStr">
        <is>
          <t>版本免费+义相逢 + 月卡收益</t>
        </is>
      </c>
      <c r="E816" s="9">
        <f>K815</f>
        <v/>
      </c>
      <c r="F816" s="9" t="n">
        <v>1540</v>
      </c>
      <c r="G816" s="9" t="n">
        <v>4800</v>
      </c>
      <c r="H816" s="9" t="n">
        <v>0</v>
      </c>
      <c r="I816" s="9" t="n">
        <v>0</v>
      </c>
      <c r="J816" s="9" t="n">
        <v>0</v>
      </c>
      <c r="K816" s="9">
        <f>E816+F816+G816+H816+I816-J816</f>
        <v/>
      </c>
      <c r="L816" s="10">
        <f>Q815</f>
        <v/>
      </c>
      <c r="M816" s="10" t="n">
        <v>85</v>
      </c>
      <c r="N816" s="10" t="n">
        <v>6</v>
      </c>
      <c r="O816" s="10">
        <f>J816/160</f>
        <v/>
      </c>
      <c r="P816" s="10" t="n">
        <v>60</v>
      </c>
      <c r="Q816" s="10">
        <f>L816+M816+N816+O816-P816</f>
        <v/>
      </c>
      <c r="R816" s="11">
        <f>T815</f>
        <v/>
      </c>
      <c r="S816" s="11">
        <f>N(V816) + N(X816) + N(Z816)</f>
        <v/>
      </c>
      <c r="T816" s="11">
        <f>R816+P816-S816</f>
        <v/>
      </c>
      <c r="U816" s="11" t="inlineStr">
        <is>
          <t>是</t>
        </is>
      </c>
      <c r="V816" s="11" t="n">
        <v>49</v>
      </c>
      <c r="W816" s="11" t="inlineStr">
        <is>
          <t>否</t>
        </is>
      </c>
      <c r="X816" s="11" t="inlineStr">
        <is>
          <t>-</t>
        </is>
      </c>
      <c r="Y816" s="11" t="inlineStr">
        <is>
          <t>-</t>
        </is>
      </c>
      <c r="Z816" s="11" t="n">
        <v>0</v>
      </c>
      <c r="AA816" s="11" t="inlineStr">
        <is>
          <t>垫到60抽</t>
        </is>
      </c>
      <c r="AB816" s="12">
        <f>AE815</f>
        <v/>
      </c>
      <c r="AC816" s="12" t="n">
        <v>4</v>
      </c>
      <c r="AD816" s="12" t="n">
        <v>0</v>
      </c>
      <c r="AE816" s="12">
        <f>AB816+AC816+AD816</f>
        <v/>
      </c>
      <c r="AF816" s="13">
        <f>AI815</f>
        <v/>
      </c>
      <c r="AG816" s="13" t="n">
        <v>0</v>
      </c>
      <c r="AH816" s="13" t="n">
        <v>0</v>
      </c>
      <c r="AI816" s="13">
        <f>AF816+AG816+AH816</f>
        <v/>
      </c>
      <c r="AJ816" s="14" t="n">
        <v>0</v>
      </c>
      <c r="AK816" s="14" t="n">
        <v>50</v>
      </c>
      <c r="AL816" s="14" t="n">
        <v>0</v>
      </c>
      <c r="AM816" s="14">
        <f>AJ816+AK816+AL816</f>
        <v/>
      </c>
      <c r="AN816" s="14">
        <f>AN815+AM816</f>
        <v/>
      </c>
    </row>
    <row r="817">
      <c r="A817" s="8" t="n">
        <v>32</v>
      </c>
      <c r="B817" s="8" t="n">
        <v>5</v>
      </c>
      <c r="C817" s="8" t="n">
        <v>2</v>
      </c>
      <c r="D817" s="8" t="inlineStr">
        <is>
          <t>月卡收益 [月卡续费-30元]</t>
        </is>
      </c>
      <c r="E817" s="9">
        <f>K816</f>
        <v/>
      </c>
      <c r="F817" s="9" t="n">
        <v>1540</v>
      </c>
      <c r="G817" s="9" t="n">
        <v>0</v>
      </c>
      <c r="H817" s="9" t="n">
        <v>0</v>
      </c>
      <c r="I817" s="9" t="n">
        <v>0</v>
      </c>
      <c r="J817" s="9" t="n">
        <v>160</v>
      </c>
      <c r="K817" s="9">
        <f>E817+F817+G817+H817+I817-J817</f>
        <v/>
      </c>
      <c r="L817" s="10">
        <f>Q816</f>
        <v/>
      </c>
      <c r="M817" s="10" t="n">
        <v>0</v>
      </c>
      <c r="N817" s="10" t="n">
        <v>3</v>
      </c>
      <c r="O817" s="10">
        <f>J817/160</f>
        <v/>
      </c>
      <c r="P817" s="10" t="n">
        <v>40</v>
      </c>
      <c r="Q817" s="10">
        <f>L817+M817+N817+O817-P817</f>
        <v/>
      </c>
      <c r="R817" s="11">
        <f>T816</f>
        <v/>
      </c>
      <c r="S817" s="11">
        <f>N(V817) + N(X817) + N(Z817)</f>
        <v/>
      </c>
      <c r="T817" s="11">
        <f>R817+P817-S817</f>
        <v/>
      </c>
      <c r="U817" s="11" t="inlineStr">
        <is>
          <t>是</t>
        </is>
      </c>
      <c r="V817" s="11" t="n">
        <v>47</v>
      </c>
      <c r="W817" s="11" t="inlineStr">
        <is>
          <t>否</t>
        </is>
      </c>
      <c r="X817" s="11" t="inlineStr">
        <is>
          <t>-</t>
        </is>
      </c>
      <c r="Y817" s="11" t="inlineStr">
        <is>
          <t>-</t>
        </is>
      </c>
      <c r="Z817" s="11" t="n">
        <v>0</v>
      </c>
      <c r="AA817" s="11" t="inlineStr">
        <is>
          <t>无</t>
        </is>
      </c>
      <c r="AB817" s="12">
        <f>AE816</f>
        <v/>
      </c>
      <c r="AC817" s="12" t="n">
        <v>0</v>
      </c>
      <c r="AD817" s="12" t="n">
        <v>0</v>
      </c>
      <c r="AE817" s="12">
        <f>AB817+AC817+AD817</f>
        <v/>
      </c>
      <c r="AF817" s="13">
        <f>AI816</f>
        <v/>
      </c>
      <c r="AG817" s="13" t="n">
        <v>0</v>
      </c>
      <c r="AH817" s="13" t="n">
        <v>0</v>
      </c>
      <c r="AI817" s="13">
        <f>AF817+AG817+AH817</f>
        <v/>
      </c>
      <c r="AJ817" s="14" t="n">
        <v>30</v>
      </c>
      <c r="AK817" s="14" t="n">
        <v>0</v>
      </c>
      <c r="AL817" s="14" t="n">
        <v>0</v>
      </c>
      <c r="AM817" s="14">
        <f>AJ817+AK817+AL817</f>
        <v/>
      </c>
      <c r="AN817" s="14">
        <f>AN816+AM817</f>
        <v/>
      </c>
    </row>
    <row r="818">
      <c r="A818" s="8" t="n">
        <v>32</v>
      </c>
      <c r="B818" s="8" t="n">
        <v>6</v>
      </c>
      <c r="C818" s="8" t="n">
        <v>1</v>
      </c>
      <c r="D818" s="8" t="inlineStr">
        <is>
          <t>版本免费+义相逢 + 月卡收益</t>
        </is>
      </c>
      <c r="E818" s="9">
        <f>K817</f>
        <v/>
      </c>
      <c r="F818" s="9" t="n">
        <v>1540</v>
      </c>
      <c r="G818" s="9" t="n">
        <v>4800</v>
      </c>
      <c r="H818" s="9" t="n">
        <v>0</v>
      </c>
      <c r="I818" s="9" t="n">
        <v>0</v>
      </c>
      <c r="J818" s="9" t="n">
        <v>0</v>
      </c>
      <c r="K818" s="9">
        <f>E818+F818+G818+H818+I818-J818</f>
        <v/>
      </c>
      <c r="L818" s="10">
        <f>Q817</f>
        <v/>
      </c>
      <c r="M818" s="10" t="n">
        <v>85</v>
      </c>
      <c r="N818" s="10" t="n">
        <v>6</v>
      </c>
      <c r="O818" s="10">
        <f>J818/160</f>
        <v/>
      </c>
      <c r="P818" s="10" t="n">
        <v>60</v>
      </c>
      <c r="Q818" s="10">
        <f>L818+M818+N818+O818-P818</f>
        <v/>
      </c>
      <c r="R818" s="11">
        <f>T817</f>
        <v/>
      </c>
      <c r="S818" s="11">
        <f>N(V818) + N(X818) + N(Z818)</f>
        <v/>
      </c>
      <c r="T818" s="11">
        <f>R818+P818-S818</f>
        <v/>
      </c>
      <c r="U818" s="11" t="inlineStr">
        <is>
          <t>是</t>
        </is>
      </c>
      <c r="V818" s="11" t="n">
        <v>52</v>
      </c>
      <c r="W818" s="11" t="inlineStr">
        <is>
          <t>否</t>
        </is>
      </c>
      <c r="X818" s="11" t="inlineStr">
        <is>
          <t>-</t>
        </is>
      </c>
      <c r="Y818" s="11" t="inlineStr">
        <is>
          <t>-</t>
        </is>
      </c>
      <c r="Z818" s="11" t="n">
        <v>0</v>
      </c>
      <c r="AA818" s="11" t="inlineStr">
        <is>
          <t>垫到60抽</t>
        </is>
      </c>
      <c r="AB818" s="12">
        <f>AE817</f>
        <v/>
      </c>
      <c r="AC818" s="12" t="n">
        <v>4</v>
      </c>
      <c r="AD818" s="12" t="n">
        <v>0</v>
      </c>
      <c r="AE818" s="12">
        <f>AB818+AC818+AD818</f>
        <v/>
      </c>
      <c r="AF818" s="13">
        <f>AI817</f>
        <v/>
      </c>
      <c r="AG818" s="13" t="n">
        <v>0</v>
      </c>
      <c r="AH818" s="13" t="n">
        <v>0</v>
      </c>
      <c r="AI818" s="13">
        <f>AF818+AG818+AH818</f>
        <v/>
      </c>
      <c r="AJ818" s="14" t="n">
        <v>0</v>
      </c>
      <c r="AK818" s="14" t="n">
        <v>50</v>
      </c>
      <c r="AL818" s="14" t="n">
        <v>0</v>
      </c>
      <c r="AM818" s="14">
        <f>AJ818+AK818+AL818</f>
        <v/>
      </c>
      <c r="AN818" s="14">
        <f>AN817+AM818</f>
        <v/>
      </c>
    </row>
    <row r="819">
      <c r="A819" s="8" t="n">
        <v>32</v>
      </c>
      <c r="B819" s="8" t="n">
        <v>6</v>
      </c>
      <c r="C819" s="8" t="n">
        <v>2</v>
      </c>
      <c r="D819" s="8" t="inlineStr">
        <is>
          <t>月卡收益 [月卡续费-30元]</t>
        </is>
      </c>
      <c r="E819" s="9">
        <f>K818</f>
        <v/>
      </c>
      <c r="F819" s="9" t="n">
        <v>1540</v>
      </c>
      <c r="G819" s="9" t="n">
        <v>0</v>
      </c>
      <c r="H819" s="9" t="n">
        <v>0</v>
      </c>
      <c r="I819" s="9" t="n">
        <v>0</v>
      </c>
      <c r="J819" s="9" t="n">
        <v>960</v>
      </c>
      <c r="K819" s="9">
        <f>E819+F819+G819+H819+I819-J819</f>
        <v/>
      </c>
      <c r="L819" s="10">
        <f>Q818</f>
        <v/>
      </c>
      <c r="M819" s="10" t="n">
        <v>0</v>
      </c>
      <c r="N819" s="10" t="n">
        <v>3</v>
      </c>
      <c r="O819" s="10">
        <f>J819/160</f>
        <v/>
      </c>
      <c r="P819" s="10" t="n">
        <v>40</v>
      </c>
      <c r="Q819" s="10">
        <f>L819+M819+N819+O819-P819</f>
        <v/>
      </c>
      <c r="R819" s="11">
        <f>T818</f>
        <v/>
      </c>
      <c r="S819" s="11">
        <f>N(V819) + N(X819) + N(Z819)</f>
        <v/>
      </c>
      <c r="T819" s="11">
        <f>R819+P819-S819</f>
        <v/>
      </c>
      <c r="U819" s="11" t="inlineStr">
        <is>
          <t>是</t>
        </is>
      </c>
      <c r="V819" s="11" t="n">
        <v>50</v>
      </c>
      <c r="W819" s="11" t="inlineStr">
        <is>
          <t>否</t>
        </is>
      </c>
      <c r="X819" s="11" t="inlineStr">
        <is>
          <t>-</t>
        </is>
      </c>
      <c r="Y819" s="11" t="inlineStr">
        <is>
          <t>-</t>
        </is>
      </c>
      <c r="Z819" s="11" t="n">
        <v>0</v>
      </c>
      <c r="AA819" s="11" t="inlineStr">
        <is>
          <t>无</t>
        </is>
      </c>
      <c r="AB819" s="12">
        <f>AE818</f>
        <v/>
      </c>
      <c r="AC819" s="12" t="n">
        <v>0</v>
      </c>
      <c r="AD819" s="12" t="n">
        <v>0</v>
      </c>
      <c r="AE819" s="12">
        <f>AB819+AC819+AD819</f>
        <v/>
      </c>
      <c r="AF819" s="13">
        <f>AI818</f>
        <v/>
      </c>
      <c r="AG819" s="13" t="n">
        <v>0</v>
      </c>
      <c r="AH819" s="13" t="n">
        <v>0</v>
      </c>
      <c r="AI819" s="13">
        <f>AF819+AG819+AH819</f>
        <v/>
      </c>
      <c r="AJ819" s="14" t="n">
        <v>30</v>
      </c>
      <c r="AK819" s="14" t="n">
        <v>0</v>
      </c>
      <c r="AL819" s="14" t="n">
        <v>0</v>
      </c>
      <c r="AM819" s="14">
        <f>AJ819+AK819+AL819</f>
        <v/>
      </c>
      <c r="AN819" s="14">
        <f>AN818+AM819</f>
        <v/>
      </c>
    </row>
    <row r="820">
      <c r="A820" s="8" t="n">
        <v>32</v>
      </c>
      <c r="B820" s="8" t="n">
        <v>7</v>
      </c>
      <c r="C820" s="8" t="n">
        <v>1</v>
      </c>
      <c r="D820" s="8" t="inlineStr">
        <is>
          <t>版本免费+义相逢 + 月卡收益</t>
        </is>
      </c>
      <c r="E820" s="9">
        <f>K819</f>
        <v/>
      </c>
      <c r="F820" s="9" t="n">
        <v>1540</v>
      </c>
      <c r="G820" s="9" t="n">
        <v>4800</v>
      </c>
      <c r="H820" s="9" t="n">
        <v>0</v>
      </c>
      <c r="I820" s="9" t="n">
        <v>0</v>
      </c>
      <c r="J820" s="9" t="n">
        <v>15040</v>
      </c>
      <c r="K820" s="9">
        <f>E820+F820+G820+H820+I820-J820</f>
        <v/>
      </c>
      <c r="L820" s="10">
        <f>Q819</f>
        <v/>
      </c>
      <c r="M820" s="10" t="n">
        <v>85</v>
      </c>
      <c r="N820" s="10" t="n">
        <v>21</v>
      </c>
      <c r="O820" s="10">
        <f>J820/160</f>
        <v/>
      </c>
      <c r="P820" s="10" t="n">
        <v>200</v>
      </c>
      <c r="Q820" s="10">
        <f>L820+M820+N820+O820-P820</f>
        <v/>
      </c>
      <c r="R820" s="11">
        <f>T819</f>
        <v/>
      </c>
      <c r="S820" s="11">
        <f>N(V820) + N(X820) + N(Z820)</f>
        <v/>
      </c>
      <c r="T820" s="11">
        <f>R820+P820-S820</f>
        <v/>
      </c>
      <c r="U820" s="11" t="inlineStr">
        <is>
          <t>是</t>
        </is>
      </c>
      <c r="V820" s="11" t="n">
        <v>50</v>
      </c>
      <c r="W820" s="11" t="inlineStr">
        <is>
          <t>是</t>
        </is>
      </c>
      <c r="X820" s="11" t="n">
        <v>48</v>
      </c>
      <c r="Y820" s="11" t="inlineStr">
        <is>
          <t>UP(49), 歪(52)</t>
        </is>
      </c>
      <c r="Z820" s="11" t="n">
        <v>101</v>
      </c>
      <c r="AA820" s="11" t="inlineStr">
        <is>
          <t>冲刺200(动态90)</t>
        </is>
      </c>
      <c r="AB820" s="12">
        <f>AE819</f>
        <v/>
      </c>
      <c r="AC820" s="12" t="n">
        <v>4</v>
      </c>
      <c r="AD820" s="12" t="n">
        <v>1</v>
      </c>
      <c r="AE820" s="12">
        <f>AB820+AC820+AD820</f>
        <v/>
      </c>
      <c r="AF820" s="13">
        <f>AI819</f>
        <v/>
      </c>
      <c r="AG820" s="13" t="n">
        <v>0</v>
      </c>
      <c r="AH820" s="13" t="n">
        <v>5000</v>
      </c>
      <c r="AI820" s="13">
        <f>AF820+AG820+AH820</f>
        <v/>
      </c>
      <c r="AJ820" s="14" t="n">
        <v>0</v>
      </c>
      <c r="AK820" s="14" t="n">
        <v>50</v>
      </c>
      <c r="AL820" s="14" t="n">
        <v>0</v>
      </c>
      <c r="AM820" s="14">
        <f>AJ820+AK820+AL820</f>
        <v/>
      </c>
      <c r="AN820" s="14">
        <f>AN819+AM820</f>
        <v/>
      </c>
    </row>
    <row r="821">
      <c r="A821" s="8" t="n">
        <v>32</v>
      </c>
      <c r="B821" s="8" t="n">
        <v>7</v>
      </c>
      <c r="C821" s="8" t="n">
        <v>2</v>
      </c>
      <c r="D821" s="8" t="inlineStr">
        <is>
          <t>月卡收益 [月卡续费-30元]</t>
        </is>
      </c>
      <c r="E821" s="9">
        <f>K820</f>
        <v/>
      </c>
      <c r="F821" s="9" t="n">
        <v>1540</v>
      </c>
      <c r="G821" s="9" t="n">
        <v>0</v>
      </c>
      <c r="H821" s="9" t="n">
        <v>0</v>
      </c>
      <c r="I821" s="9" t="n">
        <v>0</v>
      </c>
      <c r="J821" s="9" t="n">
        <v>9120</v>
      </c>
      <c r="K821" s="9">
        <f>E821+F821+G821+H821+I821-J821</f>
        <v/>
      </c>
      <c r="L821" s="10">
        <f>Q820</f>
        <v/>
      </c>
      <c r="M821" s="10" t="n">
        <v>0</v>
      </c>
      <c r="N821" s="10" t="n">
        <v>6</v>
      </c>
      <c r="O821" s="10">
        <f>J821/160</f>
        <v/>
      </c>
      <c r="P821" s="10" t="n">
        <v>60</v>
      </c>
      <c r="Q821" s="10">
        <f>L821+M821+N821+O821-P821</f>
        <v/>
      </c>
      <c r="R821" s="11">
        <f>T820</f>
        <v/>
      </c>
      <c r="S821" s="11">
        <f>N(V821) + N(X821) + N(Z821)</f>
        <v/>
      </c>
      <c r="T821" s="11">
        <f>R821+P821-S821</f>
        <v/>
      </c>
      <c r="U821" s="11" t="inlineStr">
        <is>
          <t>是</t>
        </is>
      </c>
      <c r="V821" s="11" t="n">
        <v>53</v>
      </c>
      <c r="W821" s="11" t="inlineStr">
        <is>
          <t>否</t>
        </is>
      </c>
      <c r="X821" s="11" t="inlineStr">
        <is>
          <t>-</t>
        </is>
      </c>
      <c r="Y821" s="11" t="inlineStr">
        <is>
          <t>-</t>
        </is>
      </c>
      <c r="Z821" s="11" t="n">
        <v>0</v>
      </c>
      <c r="AA821" s="11" t="inlineStr">
        <is>
          <t>垫到60抽</t>
        </is>
      </c>
      <c r="AB821" s="12">
        <f>AE820</f>
        <v/>
      </c>
      <c r="AC821" s="12" t="n">
        <v>0</v>
      </c>
      <c r="AD821" s="12" t="n">
        <v>0</v>
      </c>
      <c r="AE821" s="12">
        <f>AB821+AC821+AD821</f>
        <v/>
      </c>
      <c r="AF821" s="13">
        <f>AI820</f>
        <v/>
      </c>
      <c r="AG821" s="13" t="n">
        <v>0</v>
      </c>
      <c r="AH821" s="13" t="n">
        <v>0</v>
      </c>
      <c r="AI821" s="13">
        <f>AF821+AG821+AH821</f>
        <v/>
      </c>
      <c r="AJ821" s="14" t="n">
        <v>30</v>
      </c>
      <c r="AK821" s="14" t="n">
        <v>0</v>
      </c>
      <c r="AL821" s="14" t="n">
        <v>0</v>
      </c>
      <c r="AM821" s="14">
        <f>AJ821+AK821+AL821</f>
        <v/>
      </c>
      <c r="AN821" s="14">
        <f>AN820+AM821</f>
        <v/>
      </c>
    </row>
    <row r="822">
      <c r="A822" s="8" t="n">
        <v>32</v>
      </c>
      <c r="B822" s="8" t="n">
        <v>8</v>
      </c>
      <c r="C822" s="8" t="n">
        <v>1</v>
      </c>
      <c r="D822" s="8" t="inlineStr">
        <is>
          <t>版本免费+义相逢 + 月卡收益</t>
        </is>
      </c>
      <c r="E822" s="9">
        <f>K821</f>
        <v/>
      </c>
      <c r="F822" s="9" t="n">
        <v>1540</v>
      </c>
      <c r="G822" s="9" t="n">
        <v>4800</v>
      </c>
      <c r="H822" s="9" t="n">
        <v>0</v>
      </c>
      <c r="I822" s="9" t="n">
        <v>0</v>
      </c>
      <c r="J822" s="9" t="n">
        <v>0</v>
      </c>
      <c r="K822" s="9">
        <f>E822+F822+G822+H822+I822-J822</f>
        <v/>
      </c>
      <c r="L822" s="10">
        <f>Q821</f>
        <v/>
      </c>
      <c r="M822" s="10" t="n">
        <v>85</v>
      </c>
      <c r="N822" s="10" t="n">
        <v>3</v>
      </c>
      <c r="O822" s="10">
        <f>J822/160</f>
        <v/>
      </c>
      <c r="P822" s="10" t="n">
        <v>40</v>
      </c>
      <c r="Q822" s="10">
        <f>L822+M822+N822+O822-P822</f>
        <v/>
      </c>
      <c r="R822" s="11">
        <f>T821</f>
        <v/>
      </c>
      <c r="S822" s="11">
        <f>N(V822) + N(X822) + N(Z822)</f>
        <v/>
      </c>
      <c r="T822" s="11">
        <f>R822+P822-S822</f>
        <v/>
      </c>
      <c r="U822" s="11" t="inlineStr">
        <is>
          <t>是</t>
        </is>
      </c>
      <c r="V822" s="11" t="n">
        <v>51</v>
      </c>
      <c r="W822" s="11" t="inlineStr">
        <is>
          <t>否</t>
        </is>
      </c>
      <c r="X822" s="11" t="inlineStr">
        <is>
          <t>-</t>
        </is>
      </c>
      <c r="Y822" s="11" t="inlineStr">
        <is>
          <t>-</t>
        </is>
      </c>
      <c r="Z822" s="11" t="n">
        <v>0</v>
      </c>
      <c r="AA822" s="11" t="inlineStr">
        <is>
          <t>无</t>
        </is>
      </c>
      <c r="AB822" s="12">
        <f>AE821</f>
        <v/>
      </c>
      <c r="AC822" s="12" t="n">
        <v>4</v>
      </c>
      <c r="AD822" s="12" t="n">
        <v>0</v>
      </c>
      <c r="AE822" s="12">
        <f>AB822+AC822+AD822</f>
        <v/>
      </c>
      <c r="AF822" s="13">
        <f>AI821</f>
        <v/>
      </c>
      <c r="AG822" s="13" t="n">
        <v>0</v>
      </c>
      <c r="AH822" s="13" t="n">
        <v>0</v>
      </c>
      <c r="AI822" s="13">
        <f>AF822+AG822+AH822</f>
        <v/>
      </c>
      <c r="AJ822" s="14" t="n">
        <v>0</v>
      </c>
      <c r="AK822" s="14" t="n">
        <v>50</v>
      </c>
      <c r="AL822" s="14" t="n">
        <v>0</v>
      </c>
      <c r="AM822" s="14">
        <f>AJ822+AK822+AL822</f>
        <v/>
      </c>
      <c r="AN822" s="14">
        <f>AN821+AM822</f>
        <v/>
      </c>
    </row>
    <row r="823">
      <c r="A823" s="8" t="n">
        <v>32</v>
      </c>
      <c r="B823" s="8" t="n">
        <v>8</v>
      </c>
      <c r="C823" s="8" t="n">
        <v>2</v>
      </c>
      <c r="D823" s="8" t="inlineStr">
        <is>
          <t>月卡收益 [月卡续费-30元]</t>
        </is>
      </c>
      <c r="E823" s="9">
        <f>K822</f>
        <v/>
      </c>
      <c r="F823" s="9" t="n">
        <v>1540</v>
      </c>
      <c r="G823" s="9" t="n">
        <v>0</v>
      </c>
      <c r="H823" s="9" t="n">
        <v>0</v>
      </c>
      <c r="I823" s="9" t="n">
        <v>0</v>
      </c>
      <c r="J823" s="9" t="n">
        <v>960</v>
      </c>
      <c r="K823" s="9">
        <f>E823+F823+G823+H823+I823-J823</f>
        <v/>
      </c>
      <c r="L823" s="10">
        <f>Q822</f>
        <v/>
      </c>
      <c r="M823" s="10" t="n">
        <v>0</v>
      </c>
      <c r="N823" s="10" t="n">
        <v>6</v>
      </c>
      <c r="O823" s="10">
        <f>J823/160</f>
        <v/>
      </c>
      <c r="P823" s="10" t="n">
        <v>60</v>
      </c>
      <c r="Q823" s="10">
        <f>L823+M823+N823+O823-P823</f>
        <v/>
      </c>
      <c r="R823" s="11">
        <f>T822</f>
        <v/>
      </c>
      <c r="S823" s="11">
        <f>N(V823) + N(X823) + N(Z823)</f>
        <v/>
      </c>
      <c r="T823" s="11">
        <f>R823+P823-S823</f>
        <v/>
      </c>
      <c r="U823" s="11" t="inlineStr">
        <is>
          <t>是</t>
        </is>
      </c>
      <c r="V823" s="11" t="n">
        <v>48</v>
      </c>
      <c r="W823" s="11" t="inlineStr">
        <is>
          <t>否</t>
        </is>
      </c>
      <c r="X823" s="11" t="inlineStr">
        <is>
          <t>-</t>
        </is>
      </c>
      <c r="Y823" s="11" t="inlineStr">
        <is>
          <t>-</t>
        </is>
      </c>
      <c r="Z823" s="11" t="n">
        <v>0</v>
      </c>
      <c r="AA823" s="11" t="inlineStr">
        <is>
          <t>垫到60抽</t>
        </is>
      </c>
      <c r="AB823" s="12">
        <f>AE822</f>
        <v/>
      </c>
      <c r="AC823" s="12" t="n">
        <v>0</v>
      </c>
      <c r="AD823" s="12" t="n">
        <v>0</v>
      </c>
      <c r="AE823" s="12">
        <f>AB823+AC823+AD823</f>
        <v/>
      </c>
      <c r="AF823" s="13">
        <f>AI822</f>
        <v/>
      </c>
      <c r="AG823" s="13" t="n">
        <v>0</v>
      </c>
      <c r="AH823" s="13" t="n">
        <v>0</v>
      </c>
      <c r="AI823" s="13">
        <f>AF823+AG823+AH823</f>
        <v/>
      </c>
      <c r="AJ823" s="14" t="n">
        <v>30</v>
      </c>
      <c r="AK823" s="14" t="n">
        <v>0</v>
      </c>
      <c r="AL823" s="14" t="n">
        <v>0</v>
      </c>
      <c r="AM823" s="14">
        <f>AJ823+AK823+AL823</f>
        <v/>
      </c>
      <c r="AN823" s="14">
        <f>AN822+AM823</f>
        <v/>
      </c>
    </row>
    <row r="824">
      <c r="A824" s="8" t="n">
        <v>32</v>
      </c>
      <c r="B824" s="8" t="n">
        <v>9</v>
      </c>
      <c r="C824" s="8" t="n">
        <v>1</v>
      </c>
      <c r="D824" s="8" t="inlineStr">
        <is>
          <t>版本免费+义相逢 + 月卡收益</t>
        </is>
      </c>
      <c r="E824" s="9">
        <f>K823</f>
        <v/>
      </c>
      <c r="F824" s="9" t="n">
        <v>1540</v>
      </c>
      <c r="G824" s="9" t="n">
        <v>4800</v>
      </c>
      <c r="H824" s="9" t="n">
        <v>0</v>
      </c>
      <c r="I824" s="9" t="n">
        <v>0</v>
      </c>
      <c r="J824" s="9" t="n">
        <v>0</v>
      </c>
      <c r="K824" s="9">
        <f>E824+F824+G824+H824+I824-J824</f>
        <v/>
      </c>
      <c r="L824" s="10">
        <f>Q823</f>
        <v/>
      </c>
      <c r="M824" s="10" t="n">
        <v>85</v>
      </c>
      <c r="N824" s="10" t="n">
        <v>3</v>
      </c>
      <c r="O824" s="10">
        <f>J824/160</f>
        <v/>
      </c>
      <c r="P824" s="10" t="n">
        <v>40</v>
      </c>
      <c r="Q824" s="10">
        <f>L824+M824+N824+O824-P824</f>
        <v/>
      </c>
      <c r="R824" s="11">
        <f>T823</f>
        <v/>
      </c>
      <c r="S824" s="11">
        <f>N(V824) + N(X824) + N(Z824)</f>
        <v/>
      </c>
      <c r="T824" s="11">
        <f>R824+P824-S824</f>
        <v/>
      </c>
      <c r="U824" s="11" t="inlineStr">
        <is>
          <t>是</t>
        </is>
      </c>
      <c r="V824" s="11" t="n">
        <v>52</v>
      </c>
      <c r="W824" s="11" t="inlineStr">
        <is>
          <t>否</t>
        </is>
      </c>
      <c r="X824" s="11" t="inlineStr">
        <is>
          <t>-</t>
        </is>
      </c>
      <c r="Y824" s="11" t="inlineStr">
        <is>
          <t>-</t>
        </is>
      </c>
      <c r="Z824" s="11" t="n">
        <v>0</v>
      </c>
      <c r="AA824" s="11" t="inlineStr">
        <is>
          <t>无</t>
        </is>
      </c>
      <c r="AB824" s="12">
        <f>AE823</f>
        <v/>
      </c>
      <c r="AC824" s="12" t="n">
        <v>4</v>
      </c>
      <c r="AD824" s="12" t="n">
        <v>0</v>
      </c>
      <c r="AE824" s="12">
        <f>AB824+AC824+AD824</f>
        <v/>
      </c>
      <c r="AF824" s="13">
        <f>AI823</f>
        <v/>
      </c>
      <c r="AG824" s="13" t="n">
        <v>0</v>
      </c>
      <c r="AH824" s="13" t="n">
        <v>0</v>
      </c>
      <c r="AI824" s="13">
        <f>AF824+AG824+AH824</f>
        <v/>
      </c>
      <c r="AJ824" s="14" t="n">
        <v>0</v>
      </c>
      <c r="AK824" s="14" t="n">
        <v>50</v>
      </c>
      <c r="AL824" s="14" t="n">
        <v>0</v>
      </c>
      <c r="AM824" s="14">
        <f>AJ824+AK824+AL824</f>
        <v/>
      </c>
      <c r="AN824" s="14">
        <f>AN823+AM824</f>
        <v/>
      </c>
    </row>
    <row r="825">
      <c r="A825" s="8" t="n">
        <v>32</v>
      </c>
      <c r="B825" s="8" t="n">
        <v>9</v>
      </c>
      <c r="C825" s="8" t="n">
        <v>2</v>
      </c>
      <c r="D825" s="8" t="inlineStr">
        <is>
          <t>月卡收益 [月卡续费-30元]</t>
        </is>
      </c>
      <c r="E825" s="9">
        <f>K824</f>
        <v/>
      </c>
      <c r="F825" s="9" t="n">
        <v>1540</v>
      </c>
      <c r="G825" s="9" t="n">
        <v>0</v>
      </c>
      <c r="H825" s="9" t="n">
        <v>0</v>
      </c>
      <c r="I825" s="9" t="n">
        <v>0</v>
      </c>
      <c r="J825" s="9" t="n">
        <v>960</v>
      </c>
      <c r="K825" s="9">
        <f>E825+F825+G825+H825+I825-J825</f>
        <v/>
      </c>
      <c r="L825" s="10">
        <f>Q824</f>
        <v/>
      </c>
      <c r="M825" s="10" t="n">
        <v>0</v>
      </c>
      <c r="N825" s="10" t="n">
        <v>6</v>
      </c>
      <c r="O825" s="10">
        <f>J825/160</f>
        <v/>
      </c>
      <c r="P825" s="10" t="n">
        <v>60</v>
      </c>
      <c r="Q825" s="10">
        <f>L825+M825+N825+O825-P825</f>
        <v/>
      </c>
      <c r="R825" s="11">
        <f>T824</f>
        <v/>
      </c>
      <c r="S825" s="11">
        <f>N(V825) + N(X825) + N(Z825)</f>
        <v/>
      </c>
      <c r="T825" s="11">
        <f>R825+P825-S825</f>
        <v/>
      </c>
      <c r="U825" s="11" t="inlineStr">
        <is>
          <t>是</t>
        </is>
      </c>
      <c r="V825" s="11" t="n">
        <v>49</v>
      </c>
      <c r="W825" s="11" t="inlineStr">
        <is>
          <t>否</t>
        </is>
      </c>
      <c r="X825" s="11" t="inlineStr">
        <is>
          <t>-</t>
        </is>
      </c>
      <c r="Y825" s="11" t="inlineStr">
        <is>
          <t>-</t>
        </is>
      </c>
      <c r="Z825" s="11" t="n">
        <v>0</v>
      </c>
      <c r="AA825" s="11" t="inlineStr">
        <is>
          <t>垫到60抽</t>
        </is>
      </c>
      <c r="AB825" s="12">
        <f>AE824</f>
        <v/>
      </c>
      <c r="AC825" s="12" t="n">
        <v>0</v>
      </c>
      <c r="AD825" s="12" t="n">
        <v>0</v>
      </c>
      <c r="AE825" s="12">
        <f>AB825+AC825+AD825</f>
        <v/>
      </c>
      <c r="AF825" s="13">
        <f>AI824</f>
        <v/>
      </c>
      <c r="AG825" s="13" t="n">
        <v>0</v>
      </c>
      <c r="AH825" s="13" t="n">
        <v>0</v>
      </c>
      <c r="AI825" s="13">
        <f>AF825+AG825+AH825</f>
        <v/>
      </c>
      <c r="AJ825" s="14" t="n">
        <v>30</v>
      </c>
      <c r="AK825" s="14" t="n">
        <v>0</v>
      </c>
      <c r="AL825" s="14" t="n">
        <v>0</v>
      </c>
      <c r="AM825" s="14">
        <f>AJ825+AK825+AL825</f>
        <v/>
      </c>
      <c r="AN825" s="14">
        <f>AN824+AM825</f>
        <v/>
      </c>
    </row>
    <row r="826">
      <c r="A826" s="8" t="n">
        <v>32</v>
      </c>
      <c r="B826" s="8" t="n">
        <v>10</v>
      </c>
      <c r="C826" s="8" t="n">
        <v>1</v>
      </c>
      <c r="D826" s="8" t="inlineStr">
        <is>
          <t>版本免费+义相逢 + 月卡收益</t>
        </is>
      </c>
      <c r="E826" s="9">
        <f>K825</f>
        <v/>
      </c>
      <c r="F826" s="9" t="n">
        <v>1540</v>
      </c>
      <c r="G826" s="9" t="n">
        <v>4800</v>
      </c>
      <c r="H826" s="9" t="n">
        <v>0</v>
      </c>
      <c r="I826" s="9" t="n">
        <v>0</v>
      </c>
      <c r="J826" s="9" t="n">
        <v>14560</v>
      </c>
      <c r="K826" s="9">
        <f>E826+F826+G826+H826+I826-J826</f>
        <v/>
      </c>
      <c r="L826" s="10">
        <f>Q825</f>
        <v/>
      </c>
      <c r="M826" s="10" t="n">
        <v>85</v>
      </c>
      <c r="N826" s="10" t="n">
        <v>21</v>
      </c>
      <c r="O826" s="10">
        <f>J826/160</f>
        <v/>
      </c>
      <c r="P826" s="10" t="n">
        <v>200</v>
      </c>
      <c r="Q826" s="10">
        <f>L826+M826+N826+O826-P826</f>
        <v/>
      </c>
      <c r="R826" s="11">
        <f>T825</f>
        <v/>
      </c>
      <c r="S826" s="11">
        <f>N(V826) + N(X826) + N(Z826)</f>
        <v/>
      </c>
      <c r="T826" s="11">
        <f>R826+P826-S826</f>
        <v/>
      </c>
      <c r="U826" s="11" t="inlineStr">
        <is>
          <t>是</t>
        </is>
      </c>
      <c r="V826" s="11" t="n">
        <v>50</v>
      </c>
      <c r="W826" s="11" t="inlineStr">
        <is>
          <t>是</t>
        </is>
      </c>
      <c r="X826" s="11" t="n">
        <v>50</v>
      </c>
      <c r="Y826" s="11" t="inlineStr">
        <is>
          <t>歪(53), UP(50)</t>
        </is>
      </c>
      <c r="Z826" s="11" t="n">
        <v>103</v>
      </c>
      <c r="AA826" s="11" t="inlineStr">
        <is>
          <t>冲刺200(动态90)</t>
        </is>
      </c>
      <c r="AB826" s="12">
        <f>AE825</f>
        <v/>
      </c>
      <c r="AC826" s="12" t="n">
        <v>4</v>
      </c>
      <c r="AD826" s="12" t="n">
        <v>1</v>
      </c>
      <c r="AE826" s="12">
        <f>AB826+AC826+AD826</f>
        <v/>
      </c>
      <c r="AF826" s="13">
        <f>AI825</f>
        <v/>
      </c>
      <c r="AG826" s="13" t="n">
        <v>0</v>
      </c>
      <c r="AH826" s="13" t="n">
        <v>5000</v>
      </c>
      <c r="AI826" s="13">
        <f>AF826+AG826+AH826</f>
        <v/>
      </c>
      <c r="AJ826" s="14" t="n">
        <v>0</v>
      </c>
      <c r="AK826" s="14" t="n">
        <v>50</v>
      </c>
      <c r="AL826" s="14" t="n">
        <v>0</v>
      </c>
      <c r="AM826" s="14">
        <f>AJ826+AK826+AL826</f>
        <v/>
      </c>
      <c r="AN826" s="14">
        <f>AN825+AM826</f>
        <v/>
      </c>
    </row>
    <row r="827">
      <c r="A827" s="8" t="n">
        <v>32</v>
      </c>
      <c r="B827" s="8" t="n">
        <v>10</v>
      </c>
      <c r="C827" s="8" t="n">
        <v>2</v>
      </c>
      <c r="D827" s="8" t="inlineStr">
        <is>
          <t>月卡收益</t>
        </is>
      </c>
      <c r="E827" s="9">
        <f>K826</f>
        <v/>
      </c>
      <c r="F827" s="9" t="n">
        <v>1540</v>
      </c>
      <c r="G827" s="9" t="n">
        <v>0</v>
      </c>
      <c r="H827" s="9" t="n">
        <v>0</v>
      </c>
      <c r="I827" s="9" t="n">
        <v>0</v>
      </c>
      <c r="J827" s="9" t="n">
        <v>9120</v>
      </c>
      <c r="K827" s="9">
        <f>E827+F827+G827+H827+I827-J827</f>
        <v/>
      </c>
      <c r="L827" s="10">
        <f>Q826</f>
        <v/>
      </c>
      <c r="M827" s="10" t="n">
        <v>0</v>
      </c>
      <c r="N827" s="10" t="n">
        <v>6</v>
      </c>
      <c r="O827" s="10">
        <f>J827/160</f>
        <v/>
      </c>
      <c r="P827" s="10" t="n">
        <v>60</v>
      </c>
      <c r="Q827" s="10">
        <f>L827+M827+N827+O827-P827</f>
        <v/>
      </c>
      <c r="R827" s="11">
        <f>T826</f>
        <v/>
      </c>
      <c r="S827" s="11">
        <f>N(V827) + N(X827) + N(Z827)</f>
        <v/>
      </c>
      <c r="T827" s="11">
        <f>R827+P827-S827</f>
        <v/>
      </c>
      <c r="U827" s="11" t="inlineStr">
        <is>
          <t>是</t>
        </is>
      </c>
      <c r="V827" s="11" t="n">
        <v>53</v>
      </c>
      <c r="W827" s="11" t="inlineStr">
        <is>
          <t>否</t>
        </is>
      </c>
      <c r="X827" s="11" t="inlineStr">
        <is>
          <t>-</t>
        </is>
      </c>
      <c r="Y827" s="11" t="inlineStr">
        <is>
          <t>-</t>
        </is>
      </c>
      <c r="Z827" s="11" t="n">
        <v>0</v>
      </c>
      <c r="AA827" s="11" t="inlineStr">
        <is>
          <t>垫到60抽</t>
        </is>
      </c>
      <c r="AB827" s="12">
        <f>AE826</f>
        <v/>
      </c>
      <c r="AC827" s="12" t="n">
        <v>0</v>
      </c>
      <c r="AD827" s="12" t="n">
        <v>0</v>
      </c>
      <c r="AE827" s="12">
        <f>AB827+AC827+AD827</f>
        <v/>
      </c>
      <c r="AF827" s="13">
        <f>AI826</f>
        <v/>
      </c>
      <c r="AG827" s="13" t="n">
        <v>0</v>
      </c>
      <c r="AH827" s="13" t="n">
        <v>0</v>
      </c>
      <c r="AI827" s="13">
        <f>AF827+AG827+AH827</f>
        <v/>
      </c>
      <c r="AJ827" s="14" t="n">
        <v>0</v>
      </c>
      <c r="AK827" s="14" t="n">
        <v>0</v>
      </c>
      <c r="AL827" s="14" t="n">
        <v>0</v>
      </c>
      <c r="AM827" s="14">
        <f>AJ827+AK827+AL827</f>
        <v/>
      </c>
      <c r="AN827" s="14">
        <f>AN826+AM827</f>
        <v/>
      </c>
    </row>
    <row r="828">
      <c r="A828" s="8" t="n">
        <v>32</v>
      </c>
      <c r="B828" s="8" t="n">
        <v>11</v>
      </c>
      <c r="C828" s="8" t="n">
        <v>1</v>
      </c>
      <c r="D828" s="8" t="inlineStr">
        <is>
          <t>版本免费+义相逢 + 月卡收益 [月卡续费-30元]</t>
        </is>
      </c>
      <c r="E828" s="9">
        <f>K827</f>
        <v/>
      </c>
      <c r="F828" s="9" t="n">
        <v>1540</v>
      </c>
      <c r="G828" s="9" t="n">
        <v>4800</v>
      </c>
      <c r="H828" s="9" t="n">
        <v>0</v>
      </c>
      <c r="I828" s="9" t="n">
        <v>0</v>
      </c>
      <c r="J828" s="9" t="n">
        <v>0</v>
      </c>
      <c r="K828" s="9">
        <f>E828+F828+G828+H828+I828-J828</f>
        <v/>
      </c>
      <c r="L828" s="10">
        <f>Q827</f>
        <v/>
      </c>
      <c r="M828" s="10" t="n">
        <v>85</v>
      </c>
      <c r="N828" s="10" t="n">
        <v>3</v>
      </c>
      <c r="O828" s="10">
        <f>J828/160</f>
        <v/>
      </c>
      <c r="P828" s="10" t="n">
        <v>40</v>
      </c>
      <c r="Q828" s="10">
        <f>L828+M828+N828+O828-P828</f>
        <v/>
      </c>
      <c r="R828" s="11">
        <f>T827</f>
        <v/>
      </c>
      <c r="S828" s="11">
        <f>N(V828) + N(X828) + N(Z828)</f>
        <v/>
      </c>
      <c r="T828" s="11">
        <f>R828+P828-S828</f>
        <v/>
      </c>
      <c r="U828" s="11" t="inlineStr">
        <is>
          <t>是</t>
        </is>
      </c>
      <c r="V828" s="11" t="n">
        <v>50</v>
      </c>
      <c r="W828" s="11" t="inlineStr">
        <is>
          <t>否</t>
        </is>
      </c>
      <c r="X828" s="11" t="inlineStr">
        <is>
          <t>-</t>
        </is>
      </c>
      <c r="Y828" s="11" t="inlineStr">
        <is>
          <t>-</t>
        </is>
      </c>
      <c r="Z828" s="11" t="n">
        <v>0</v>
      </c>
      <c r="AA828" s="11" t="inlineStr">
        <is>
          <t>无</t>
        </is>
      </c>
      <c r="AB828" s="12">
        <f>AE827</f>
        <v/>
      </c>
      <c r="AC828" s="12" t="n">
        <v>4</v>
      </c>
      <c r="AD828" s="12" t="n">
        <v>0</v>
      </c>
      <c r="AE828" s="12">
        <f>AB828+AC828+AD828</f>
        <v/>
      </c>
      <c r="AF828" s="13">
        <f>AI827</f>
        <v/>
      </c>
      <c r="AG828" s="13" t="n">
        <v>0</v>
      </c>
      <c r="AH828" s="13" t="n">
        <v>0</v>
      </c>
      <c r="AI828" s="13">
        <f>AF828+AG828+AH828</f>
        <v/>
      </c>
      <c r="AJ828" s="14" t="n">
        <v>30</v>
      </c>
      <c r="AK828" s="14" t="n">
        <v>50</v>
      </c>
      <c r="AL828" s="14" t="n">
        <v>0</v>
      </c>
      <c r="AM828" s="14">
        <f>AJ828+AK828+AL828</f>
        <v/>
      </c>
      <c r="AN828" s="14">
        <f>AN827+AM828</f>
        <v/>
      </c>
    </row>
    <row r="829">
      <c r="A829" s="8" t="n">
        <v>32</v>
      </c>
      <c r="B829" s="8" t="n">
        <v>11</v>
      </c>
      <c r="C829" s="8" t="n">
        <v>2</v>
      </c>
      <c r="D829" s="8" t="inlineStr">
        <is>
          <t>月卡收益</t>
        </is>
      </c>
      <c r="E829" s="9">
        <f>K828</f>
        <v/>
      </c>
      <c r="F829" s="9" t="n">
        <v>1540</v>
      </c>
      <c r="G829" s="9" t="n">
        <v>0</v>
      </c>
      <c r="H829" s="9" t="n">
        <v>0</v>
      </c>
      <c r="I829" s="9" t="n">
        <v>0</v>
      </c>
      <c r="J829" s="9" t="n">
        <v>960</v>
      </c>
      <c r="K829" s="9">
        <f>E829+F829+G829+H829+I829-J829</f>
        <v/>
      </c>
      <c r="L829" s="10">
        <f>Q828</f>
        <v/>
      </c>
      <c r="M829" s="10" t="n">
        <v>0</v>
      </c>
      <c r="N829" s="10" t="n">
        <v>6</v>
      </c>
      <c r="O829" s="10">
        <f>J829/160</f>
        <v/>
      </c>
      <c r="P829" s="10" t="n">
        <v>60</v>
      </c>
      <c r="Q829" s="10">
        <f>L829+M829+N829+O829-P829</f>
        <v/>
      </c>
      <c r="R829" s="11">
        <f>T828</f>
        <v/>
      </c>
      <c r="S829" s="11">
        <f>N(V829) + N(X829) + N(Z829)</f>
        <v/>
      </c>
      <c r="T829" s="11">
        <f>R829+P829-S829</f>
        <v/>
      </c>
      <c r="U829" s="11" t="inlineStr">
        <is>
          <t>是</t>
        </is>
      </c>
      <c r="V829" s="11" t="n">
        <v>47</v>
      </c>
      <c r="W829" s="11" t="inlineStr">
        <is>
          <t>否</t>
        </is>
      </c>
      <c r="X829" s="11" t="inlineStr">
        <is>
          <t>-</t>
        </is>
      </c>
      <c r="Y829" s="11" t="inlineStr">
        <is>
          <t>-</t>
        </is>
      </c>
      <c r="Z829" s="11" t="n">
        <v>0</v>
      </c>
      <c r="AA829" s="11" t="inlineStr">
        <is>
          <t>垫到60抽</t>
        </is>
      </c>
      <c r="AB829" s="12">
        <f>AE828</f>
        <v/>
      </c>
      <c r="AC829" s="12" t="n">
        <v>0</v>
      </c>
      <c r="AD829" s="12" t="n">
        <v>0</v>
      </c>
      <c r="AE829" s="12">
        <f>AB829+AC829+AD829</f>
        <v/>
      </c>
      <c r="AF829" s="13">
        <f>AI828</f>
        <v/>
      </c>
      <c r="AG829" s="13" t="n">
        <v>0</v>
      </c>
      <c r="AH829" s="13" t="n">
        <v>0</v>
      </c>
      <c r="AI829" s="13">
        <f>AF829+AG829+AH829</f>
        <v/>
      </c>
      <c r="AJ829" s="14" t="n">
        <v>0</v>
      </c>
      <c r="AK829" s="14" t="n">
        <v>0</v>
      </c>
      <c r="AL829" s="14" t="n">
        <v>0</v>
      </c>
      <c r="AM829" s="14">
        <f>AJ829+AK829+AL829</f>
        <v/>
      </c>
      <c r="AN829" s="14">
        <f>AN828+AM829</f>
        <v/>
      </c>
    </row>
    <row r="830">
      <c r="A830" s="8" t="n">
        <v>32</v>
      </c>
      <c r="B830" s="8" t="n">
        <v>12</v>
      </c>
      <c r="C830" s="8" t="n">
        <v>1</v>
      </c>
      <c r="D830" s="8" t="inlineStr">
        <is>
          <t>版本免费+义相逢 + 月卡收益 [月卡续费-30元]</t>
        </is>
      </c>
      <c r="E830" s="9">
        <f>K829</f>
        <v/>
      </c>
      <c r="F830" s="9" t="n">
        <v>1540</v>
      </c>
      <c r="G830" s="9" t="n">
        <v>4800</v>
      </c>
      <c r="H830" s="9" t="n">
        <v>0</v>
      </c>
      <c r="I830" s="9" t="n">
        <v>0</v>
      </c>
      <c r="J830" s="9" t="n">
        <v>0</v>
      </c>
      <c r="K830" s="9">
        <f>E830+F830+G830+H830+I830-J830</f>
        <v/>
      </c>
      <c r="L830" s="10">
        <f>Q829</f>
        <v/>
      </c>
      <c r="M830" s="10" t="n">
        <v>85</v>
      </c>
      <c r="N830" s="10" t="n">
        <v>3</v>
      </c>
      <c r="O830" s="10">
        <f>J830/160</f>
        <v/>
      </c>
      <c r="P830" s="10" t="n">
        <v>40</v>
      </c>
      <c r="Q830" s="10">
        <f>L830+M830+N830+O830-P830</f>
        <v/>
      </c>
      <c r="R830" s="11">
        <f>T829</f>
        <v/>
      </c>
      <c r="S830" s="11">
        <f>N(V830) + N(X830) + N(Z830)</f>
        <v/>
      </c>
      <c r="T830" s="11">
        <f>R830+P830-S830</f>
        <v/>
      </c>
      <c r="U830" s="11" t="inlineStr">
        <is>
          <t>是</t>
        </is>
      </c>
      <c r="V830" s="11" t="n">
        <v>54</v>
      </c>
      <c r="W830" s="11" t="inlineStr">
        <is>
          <t>否</t>
        </is>
      </c>
      <c r="X830" s="11" t="inlineStr">
        <is>
          <t>-</t>
        </is>
      </c>
      <c r="Y830" s="11" t="inlineStr">
        <is>
          <t>-</t>
        </is>
      </c>
      <c r="Z830" s="11" t="n">
        <v>0</v>
      </c>
      <c r="AA830" s="11" t="inlineStr">
        <is>
          <t>无</t>
        </is>
      </c>
      <c r="AB830" s="12">
        <f>AE829</f>
        <v/>
      </c>
      <c r="AC830" s="12" t="n">
        <v>4</v>
      </c>
      <c r="AD830" s="12" t="n">
        <v>0</v>
      </c>
      <c r="AE830" s="12">
        <f>AB830+AC830+AD830</f>
        <v/>
      </c>
      <c r="AF830" s="13">
        <f>AI829</f>
        <v/>
      </c>
      <c r="AG830" s="13" t="n">
        <v>0</v>
      </c>
      <c r="AH830" s="13" t="n">
        <v>0</v>
      </c>
      <c r="AI830" s="13">
        <f>AF830+AG830+AH830</f>
        <v/>
      </c>
      <c r="AJ830" s="14" t="n">
        <v>30</v>
      </c>
      <c r="AK830" s="14" t="n">
        <v>50</v>
      </c>
      <c r="AL830" s="14" t="n">
        <v>0</v>
      </c>
      <c r="AM830" s="14">
        <f>AJ830+AK830+AL830</f>
        <v/>
      </c>
      <c r="AN830" s="14">
        <f>AN829+AM830</f>
        <v/>
      </c>
    </row>
    <row r="831">
      <c r="A831" s="8" t="n">
        <v>32</v>
      </c>
      <c r="B831" s="8" t="n">
        <v>12</v>
      </c>
      <c r="C831" s="8" t="n">
        <v>2</v>
      </c>
      <c r="D831" s="8" t="inlineStr">
        <is>
          <t>月卡收益</t>
        </is>
      </c>
      <c r="E831" s="9">
        <f>K830</f>
        <v/>
      </c>
      <c r="F831" s="9" t="n">
        <v>1540</v>
      </c>
      <c r="G831" s="9" t="n">
        <v>0</v>
      </c>
      <c r="H831" s="9" t="n">
        <v>0</v>
      </c>
      <c r="I831" s="9" t="n">
        <v>0</v>
      </c>
      <c r="J831" s="9" t="n">
        <v>960</v>
      </c>
      <c r="K831" s="9">
        <f>E831+F831+G831+H831+I831-J831</f>
        <v/>
      </c>
      <c r="L831" s="10">
        <f>Q830</f>
        <v/>
      </c>
      <c r="M831" s="10" t="n">
        <v>0</v>
      </c>
      <c r="N831" s="10" t="n">
        <v>6</v>
      </c>
      <c r="O831" s="10">
        <f>J831/160</f>
        <v/>
      </c>
      <c r="P831" s="10" t="n">
        <v>60</v>
      </c>
      <c r="Q831" s="10">
        <f>L831+M831+N831+O831-P831</f>
        <v/>
      </c>
      <c r="R831" s="11">
        <f>T830</f>
        <v/>
      </c>
      <c r="S831" s="11">
        <f>N(V831) + N(X831) + N(Z831)</f>
        <v/>
      </c>
      <c r="T831" s="11">
        <f>R831+P831-S831</f>
        <v/>
      </c>
      <c r="U831" s="11" t="inlineStr">
        <is>
          <t>是</t>
        </is>
      </c>
      <c r="V831" s="11" t="n">
        <v>50</v>
      </c>
      <c r="W831" s="11" t="inlineStr">
        <is>
          <t>否</t>
        </is>
      </c>
      <c r="X831" s="11" t="inlineStr">
        <is>
          <t>-</t>
        </is>
      </c>
      <c r="Y831" s="11" t="inlineStr">
        <is>
          <t>-</t>
        </is>
      </c>
      <c r="Z831" s="11" t="n">
        <v>0</v>
      </c>
      <c r="AA831" s="11" t="inlineStr">
        <is>
          <t>垫到60抽</t>
        </is>
      </c>
      <c r="AB831" s="12">
        <f>AE830</f>
        <v/>
      </c>
      <c r="AC831" s="12" t="n">
        <v>0</v>
      </c>
      <c r="AD831" s="12" t="n">
        <v>0</v>
      </c>
      <c r="AE831" s="12">
        <f>AB831+AC831+AD831</f>
        <v/>
      </c>
      <c r="AF831" s="13">
        <f>AI830</f>
        <v/>
      </c>
      <c r="AG831" s="13" t="n">
        <v>0</v>
      </c>
      <c r="AH831" s="13" t="n">
        <v>0</v>
      </c>
      <c r="AI831" s="13">
        <f>AF831+AG831+AH831</f>
        <v/>
      </c>
      <c r="AJ831" s="14" t="n">
        <v>0</v>
      </c>
      <c r="AK831" s="14" t="n">
        <v>0</v>
      </c>
      <c r="AL831" s="14" t="n">
        <v>0</v>
      </c>
      <c r="AM831" s="14">
        <f>AJ831+AK831+AL831</f>
        <v/>
      </c>
      <c r="AN831" s="14">
        <f>AN830+AM831</f>
        <v/>
      </c>
    </row>
    <row r="832">
      <c r="A832" s="8" t="n">
        <v>32</v>
      </c>
      <c r="B832" s="8" t="n">
        <v>13</v>
      </c>
      <c r="C832" s="8" t="n">
        <v>1</v>
      </c>
      <c r="D832" s="8" t="inlineStr">
        <is>
          <t>版本免费+义相逢 + 月卡收益 [月卡续费-30元]</t>
        </is>
      </c>
      <c r="E832" s="9">
        <f>K831</f>
        <v/>
      </c>
      <c r="F832" s="9" t="n">
        <v>1540</v>
      </c>
      <c r="G832" s="9" t="n">
        <v>4800</v>
      </c>
      <c r="H832" s="9" t="n">
        <v>0</v>
      </c>
      <c r="I832" s="9" t="n">
        <v>0</v>
      </c>
      <c r="J832" s="9" t="n">
        <v>0</v>
      </c>
      <c r="K832" s="9">
        <f>E832+F832+G832+H832+I832-J832</f>
        <v/>
      </c>
      <c r="L832" s="10">
        <f>Q831</f>
        <v/>
      </c>
      <c r="M832" s="10" t="n">
        <v>85</v>
      </c>
      <c r="N832" s="10" t="n">
        <v>3</v>
      </c>
      <c r="O832" s="10">
        <f>J832/160</f>
        <v/>
      </c>
      <c r="P832" s="10" t="n">
        <v>40</v>
      </c>
      <c r="Q832" s="10">
        <f>L832+M832+N832+O832-P832</f>
        <v/>
      </c>
      <c r="R832" s="11">
        <f>T831</f>
        <v/>
      </c>
      <c r="S832" s="11">
        <f>N(V832) + N(X832) + N(Z832)</f>
        <v/>
      </c>
      <c r="T832" s="11">
        <f>R832+P832-S832</f>
        <v/>
      </c>
      <c r="U832" s="11" t="inlineStr">
        <is>
          <t>是</t>
        </is>
      </c>
      <c r="V832" s="11" t="n">
        <v>48</v>
      </c>
      <c r="W832" s="11" t="inlineStr">
        <is>
          <t>否</t>
        </is>
      </c>
      <c r="X832" s="11" t="inlineStr">
        <is>
          <t>-</t>
        </is>
      </c>
      <c r="Y832" s="11" t="inlineStr">
        <is>
          <t>-</t>
        </is>
      </c>
      <c r="Z832" s="11" t="n">
        <v>0</v>
      </c>
      <c r="AA832" s="11" t="inlineStr">
        <is>
          <t>无</t>
        </is>
      </c>
      <c r="AB832" s="12">
        <f>AE831</f>
        <v/>
      </c>
      <c r="AC832" s="12" t="n">
        <v>4</v>
      </c>
      <c r="AD832" s="12" t="n">
        <v>0</v>
      </c>
      <c r="AE832" s="12">
        <f>AB832+AC832+AD832</f>
        <v/>
      </c>
      <c r="AF832" s="13">
        <f>AI831</f>
        <v/>
      </c>
      <c r="AG832" s="13" t="n">
        <v>0</v>
      </c>
      <c r="AH832" s="13" t="n">
        <v>0</v>
      </c>
      <c r="AI832" s="13">
        <f>AF832+AG832+AH832</f>
        <v/>
      </c>
      <c r="AJ832" s="14" t="n">
        <v>30</v>
      </c>
      <c r="AK832" s="14" t="n">
        <v>50</v>
      </c>
      <c r="AL832" s="14" t="n">
        <v>0</v>
      </c>
      <c r="AM832" s="14">
        <f>AJ832+AK832+AL832</f>
        <v/>
      </c>
      <c r="AN832" s="14">
        <f>AN831+AM832</f>
        <v/>
      </c>
    </row>
    <row r="833">
      <c r="A833" s="8" t="n">
        <v>32</v>
      </c>
      <c r="B833" s="8" t="n">
        <v>13</v>
      </c>
      <c r="C833" s="8" t="n">
        <v>2</v>
      </c>
      <c r="D833" s="8" t="inlineStr">
        <is>
          <t>月卡收益</t>
        </is>
      </c>
      <c r="E833" s="9">
        <f>K832</f>
        <v/>
      </c>
      <c r="F833" s="9" t="n">
        <v>1540</v>
      </c>
      <c r="G833" s="9" t="n">
        <v>0</v>
      </c>
      <c r="H833" s="9" t="n">
        <v>0</v>
      </c>
      <c r="I833" s="9" t="n">
        <v>0</v>
      </c>
      <c r="J833" s="9" t="n">
        <v>960</v>
      </c>
      <c r="K833" s="9">
        <f>E833+F833+G833+H833+I833-J833</f>
        <v/>
      </c>
      <c r="L833" s="10">
        <f>Q832</f>
        <v/>
      </c>
      <c r="M833" s="10" t="n">
        <v>0</v>
      </c>
      <c r="N833" s="10" t="n">
        <v>6</v>
      </c>
      <c r="O833" s="10">
        <f>J833/160</f>
        <v/>
      </c>
      <c r="P833" s="10" t="n">
        <v>60</v>
      </c>
      <c r="Q833" s="10">
        <f>L833+M833+N833+O833-P833</f>
        <v/>
      </c>
      <c r="R833" s="11">
        <f>T832</f>
        <v/>
      </c>
      <c r="S833" s="11">
        <f>N(V833) + N(X833) + N(Z833)</f>
        <v/>
      </c>
      <c r="T833" s="11">
        <f>R833+P833-S833</f>
        <v/>
      </c>
      <c r="U833" s="11" t="inlineStr">
        <is>
          <t>是</t>
        </is>
      </c>
      <c r="V833" s="11" t="n">
        <v>48</v>
      </c>
      <c r="W833" s="11" t="inlineStr">
        <is>
          <t>否</t>
        </is>
      </c>
      <c r="X833" s="11" t="inlineStr">
        <is>
          <t>-</t>
        </is>
      </c>
      <c r="Y833" s="11" t="inlineStr">
        <is>
          <t>-</t>
        </is>
      </c>
      <c r="Z833" s="11" t="n">
        <v>0</v>
      </c>
      <c r="AA833" s="11" t="inlineStr">
        <is>
          <t>垫到60抽</t>
        </is>
      </c>
      <c r="AB833" s="12">
        <f>AE832</f>
        <v/>
      </c>
      <c r="AC833" s="12" t="n">
        <v>0</v>
      </c>
      <c r="AD833" s="12" t="n">
        <v>0</v>
      </c>
      <c r="AE833" s="12">
        <f>AB833+AC833+AD833</f>
        <v/>
      </c>
      <c r="AF833" s="13">
        <f>AI832</f>
        <v/>
      </c>
      <c r="AG833" s="13" t="n">
        <v>0</v>
      </c>
      <c r="AH833" s="13" t="n">
        <v>0</v>
      </c>
      <c r="AI833" s="13">
        <f>AF833+AG833+AH833</f>
        <v/>
      </c>
      <c r="AJ833" s="14" t="n">
        <v>0</v>
      </c>
      <c r="AK833" s="14" t="n">
        <v>0</v>
      </c>
      <c r="AL833" s="14" t="n">
        <v>0</v>
      </c>
      <c r="AM833" s="14">
        <f>AJ833+AK833+AL833</f>
        <v/>
      </c>
      <c r="AN833" s="14">
        <f>AN832+AM833</f>
        <v/>
      </c>
    </row>
    <row r="834">
      <c r="A834" s="8" t="n">
        <v>33</v>
      </c>
      <c r="B834" s="8" t="n">
        <v>1</v>
      </c>
      <c r="C834" s="8" t="n">
        <v>1</v>
      </c>
      <c r="D834" s="8" t="inlineStr">
        <is>
          <t>版本免费+义相逢 + 月卡收益 [月卡续费-30元]</t>
        </is>
      </c>
      <c r="E834" s="9" t="n">
        <v>43840</v>
      </c>
      <c r="F834" s="9" t="n">
        <v>1540</v>
      </c>
      <c r="G834" s="9" t="n">
        <v>4800</v>
      </c>
      <c r="H834" s="9" t="n">
        <v>0</v>
      </c>
      <c r="I834" s="9" t="n">
        <v>0</v>
      </c>
      <c r="J834" s="9" t="n">
        <v>14560</v>
      </c>
      <c r="K834" s="9">
        <f>E834+F834+G834+H834+I834-J834</f>
        <v/>
      </c>
      <c r="L834" s="10" t="n">
        <v>3</v>
      </c>
      <c r="M834" s="10" t="n">
        <v>85</v>
      </c>
      <c r="N834" s="10" t="n">
        <v>21</v>
      </c>
      <c r="O834" s="10">
        <f>J834/160</f>
        <v/>
      </c>
      <c r="P834" s="10" t="n">
        <v>200</v>
      </c>
      <c r="Q834" s="10">
        <f>L834+M834+N834+O834-P834</f>
        <v/>
      </c>
      <c r="R834" s="11" t="n">
        <v>18</v>
      </c>
      <c r="S834" s="11">
        <f>N(V834) + N(X834) + N(Z834)</f>
        <v/>
      </c>
      <c r="T834" s="11">
        <f>R834+P834-S834</f>
        <v/>
      </c>
      <c r="U834" s="11" t="inlineStr">
        <is>
          <t>是</t>
        </is>
      </c>
      <c r="V834" s="11" t="n">
        <v>55</v>
      </c>
      <c r="W834" s="11" t="inlineStr">
        <is>
          <t>是</t>
        </is>
      </c>
      <c r="X834" s="11" t="n">
        <v>46</v>
      </c>
      <c r="Y834" s="11" t="inlineStr">
        <is>
          <t>UP(51), UP(48)</t>
        </is>
      </c>
      <c r="Z834" s="11" t="n">
        <v>99</v>
      </c>
      <c r="AA834" s="11" t="inlineStr">
        <is>
          <t>冲刺200(动态80)</t>
        </is>
      </c>
      <c r="AB834" s="12" t="n">
        <v>1716</v>
      </c>
      <c r="AC834" s="12" t="n">
        <v>4</v>
      </c>
      <c r="AD834" s="12" t="n">
        <v>1</v>
      </c>
      <c r="AE834" s="12">
        <f>AB834+AC834+AD834</f>
        <v/>
      </c>
      <c r="AF834" s="13" t="n">
        <v>260000</v>
      </c>
      <c r="AG834" s="13" t="n">
        <v>0</v>
      </c>
      <c r="AH834" s="13" t="n">
        <v>5000</v>
      </c>
      <c r="AI834" s="13">
        <f>AF834+AG834+AH834</f>
        <v/>
      </c>
      <c r="AJ834" s="14" t="n">
        <v>30</v>
      </c>
      <c r="AK834" s="14" t="n">
        <v>50</v>
      </c>
      <c r="AL834" s="14" t="n">
        <v>0</v>
      </c>
      <c r="AM834" s="14">
        <f>AJ834+AK834+AL834</f>
        <v/>
      </c>
      <c r="AN834" s="14">
        <f>AM834</f>
        <v/>
      </c>
    </row>
    <row r="835">
      <c r="A835" s="8" t="n">
        <v>33</v>
      </c>
      <c r="B835" s="8" t="n">
        <v>1</v>
      </c>
      <c r="C835" s="8" t="n">
        <v>2</v>
      </c>
      <c r="D835" s="8" t="inlineStr">
        <is>
          <t>月卡收益</t>
        </is>
      </c>
      <c r="E835" s="9">
        <f>K834</f>
        <v/>
      </c>
      <c r="F835" s="9" t="n">
        <v>1540</v>
      </c>
      <c r="G835" s="9" t="n">
        <v>0</v>
      </c>
      <c r="H835" s="9" t="n">
        <v>0</v>
      </c>
      <c r="I835" s="9" t="n">
        <v>0</v>
      </c>
      <c r="J835" s="9" t="n">
        <v>5920</v>
      </c>
      <c r="K835" s="9">
        <f>E835+F835+G835+H835+I835-J835</f>
        <v/>
      </c>
      <c r="L835" s="10">
        <f>Q834</f>
        <v/>
      </c>
      <c r="M835" s="10" t="n">
        <v>0</v>
      </c>
      <c r="N835" s="10" t="n">
        <v>3</v>
      </c>
      <c r="O835" s="10">
        <f>J835/160</f>
        <v/>
      </c>
      <c r="P835" s="10" t="n">
        <v>40</v>
      </c>
      <c r="Q835" s="10">
        <f>L835+M835+N835+O835-P835</f>
        <v/>
      </c>
      <c r="R835" s="11">
        <f>T834</f>
        <v/>
      </c>
      <c r="S835" s="11">
        <f>N(V835) + N(X835) + N(Z835)</f>
        <v/>
      </c>
      <c r="T835" s="11">
        <f>R835+P835-S835</f>
        <v/>
      </c>
      <c r="U835" s="11" t="inlineStr">
        <is>
          <t>是</t>
        </is>
      </c>
      <c r="V835" s="11" t="n">
        <v>52</v>
      </c>
      <c r="W835" s="11" t="inlineStr">
        <is>
          <t>否</t>
        </is>
      </c>
      <c r="X835" s="11" t="inlineStr">
        <is>
          <t>-</t>
        </is>
      </c>
      <c r="Y835" s="11" t="inlineStr">
        <is>
          <t>-</t>
        </is>
      </c>
      <c r="Z835" s="11" t="n">
        <v>0</v>
      </c>
      <c r="AA835" s="11" t="inlineStr">
        <is>
          <t>无</t>
        </is>
      </c>
      <c r="AB835" s="12">
        <f>AE834</f>
        <v/>
      </c>
      <c r="AC835" s="12" t="n">
        <v>0</v>
      </c>
      <c r="AD835" s="12" t="n">
        <v>0</v>
      </c>
      <c r="AE835" s="12">
        <f>AB835+AC835+AD835</f>
        <v/>
      </c>
      <c r="AF835" s="13">
        <f>AI834</f>
        <v/>
      </c>
      <c r="AG835" s="13" t="n">
        <v>0</v>
      </c>
      <c r="AH835" s="13" t="n">
        <v>0</v>
      </c>
      <c r="AI835" s="13">
        <f>AF835+AG835+AH835</f>
        <v/>
      </c>
      <c r="AJ835" s="14" t="n">
        <v>0</v>
      </c>
      <c r="AK835" s="14" t="n">
        <v>0</v>
      </c>
      <c r="AL835" s="14" t="n">
        <v>0</v>
      </c>
      <c r="AM835" s="14">
        <f>AJ835+AK835+AL835</f>
        <v/>
      </c>
      <c r="AN835" s="14">
        <f>AN834+AM835</f>
        <v/>
      </c>
    </row>
    <row r="836">
      <c r="A836" s="8" t="n">
        <v>33</v>
      </c>
      <c r="B836" s="8" t="n">
        <v>2</v>
      </c>
      <c r="C836" s="8" t="n">
        <v>1</v>
      </c>
      <c r="D836" s="8" t="inlineStr">
        <is>
          <t>版本免费+义相逢 + 月卡收益 [月卡续费-30元]</t>
        </is>
      </c>
      <c r="E836" s="9">
        <f>K835</f>
        <v/>
      </c>
      <c r="F836" s="9" t="n">
        <v>1540</v>
      </c>
      <c r="G836" s="9" t="n">
        <v>4800</v>
      </c>
      <c r="H836" s="9" t="n">
        <v>0</v>
      </c>
      <c r="I836" s="9" t="n">
        <v>0</v>
      </c>
      <c r="J836" s="9" t="n">
        <v>0</v>
      </c>
      <c r="K836" s="9">
        <f>E836+F836+G836+H836+I836-J836</f>
        <v/>
      </c>
      <c r="L836" s="10">
        <f>Q835</f>
        <v/>
      </c>
      <c r="M836" s="10" t="n">
        <v>85</v>
      </c>
      <c r="N836" s="10" t="n">
        <v>11</v>
      </c>
      <c r="O836" s="10">
        <f>J836/160</f>
        <v/>
      </c>
      <c r="P836" s="10" t="n">
        <v>90</v>
      </c>
      <c r="Q836" s="10">
        <f>L836+M836+N836+O836-P836</f>
        <v/>
      </c>
      <c r="R836" s="11">
        <f>T835</f>
        <v/>
      </c>
      <c r="S836" s="11">
        <f>N(V836) + N(X836) + N(Z836)</f>
        <v/>
      </c>
      <c r="T836" s="11">
        <f>R836+P836-S836</f>
        <v/>
      </c>
      <c r="U836" s="11" t="inlineStr">
        <is>
          <t>是</t>
        </is>
      </c>
      <c r="V836" s="11" t="n">
        <v>48</v>
      </c>
      <c r="W836" s="11" t="inlineStr">
        <is>
          <t>是</t>
        </is>
      </c>
      <c r="X836" s="11" t="n">
        <v>48</v>
      </c>
      <c r="Y836" s="11" t="inlineStr">
        <is>
          <t>-</t>
        </is>
      </c>
      <c r="Z836" s="11" t="n">
        <v>0</v>
      </c>
      <c r="AA836" s="11" t="inlineStr">
        <is>
          <t>无</t>
        </is>
      </c>
      <c r="AB836" s="12">
        <f>AE835</f>
        <v/>
      </c>
      <c r="AC836" s="12" t="n">
        <v>4</v>
      </c>
      <c r="AD836" s="12" t="n">
        <v>0</v>
      </c>
      <c r="AE836" s="12">
        <f>AB836+AC836+AD836</f>
        <v/>
      </c>
      <c r="AF836" s="13">
        <f>AI835</f>
        <v/>
      </c>
      <c r="AG836" s="13" t="n">
        <v>0</v>
      </c>
      <c r="AH836" s="13" t="n">
        <v>0</v>
      </c>
      <c r="AI836" s="13">
        <f>AF836+AG836+AH836</f>
        <v/>
      </c>
      <c r="AJ836" s="14" t="n">
        <v>30</v>
      </c>
      <c r="AK836" s="14" t="n">
        <v>50</v>
      </c>
      <c r="AL836" s="14" t="n">
        <v>0</v>
      </c>
      <c r="AM836" s="14">
        <f>AJ836+AK836+AL836</f>
        <v/>
      </c>
      <c r="AN836" s="14">
        <f>AN835+AM836</f>
        <v/>
      </c>
    </row>
    <row r="837">
      <c r="A837" s="8" t="n">
        <v>33</v>
      </c>
      <c r="B837" s="8" t="n">
        <v>2</v>
      </c>
      <c r="C837" s="8" t="n">
        <v>2</v>
      </c>
      <c r="D837" s="8" t="inlineStr">
        <is>
          <t>月卡收益</t>
        </is>
      </c>
      <c r="E837" s="9">
        <f>K836</f>
        <v/>
      </c>
      <c r="F837" s="9" t="n">
        <v>1540</v>
      </c>
      <c r="G837" s="9" t="n">
        <v>0</v>
      </c>
      <c r="H837" s="9" t="n">
        <v>0</v>
      </c>
      <c r="I837" s="9" t="n">
        <v>0</v>
      </c>
      <c r="J837" s="9" t="n">
        <v>13280</v>
      </c>
      <c r="K837" s="9">
        <f>E837+F837+G837+H837+I837-J837</f>
        <v/>
      </c>
      <c r="L837" s="10">
        <f>Q836</f>
        <v/>
      </c>
      <c r="M837" s="10" t="n">
        <v>0</v>
      </c>
      <c r="N837" s="10" t="n">
        <v>11</v>
      </c>
      <c r="O837" s="10">
        <f>J837/160</f>
        <v/>
      </c>
      <c r="P837" s="10" t="n">
        <v>100</v>
      </c>
      <c r="Q837" s="10">
        <f>L837+M837+N837+O837-P837</f>
        <v/>
      </c>
      <c r="R837" s="11">
        <f>T836</f>
        <v/>
      </c>
      <c r="S837" s="11">
        <f>N(V837) + N(X837) + N(Z837)</f>
        <v/>
      </c>
      <c r="T837" s="11">
        <f>R837+P837-S837</f>
        <v/>
      </c>
      <c r="U837" s="11" t="inlineStr">
        <is>
          <t>是</t>
        </is>
      </c>
      <c r="V837" s="11" t="n">
        <v>49</v>
      </c>
      <c r="W837" s="11" t="inlineStr">
        <is>
          <t>是</t>
        </is>
      </c>
      <c r="X837" s="11" t="n">
        <v>49</v>
      </c>
      <c r="Y837" s="11" t="inlineStr">
        <is>
          <t>-</t>
        </is>
      </c>
      <c r="Z837" s="11" t="n">
        <v>0</v>
      </c>
      <c r="AA837" s="11" t="inlineStr">
        <is>
          <t>无</t>
        </is>
      </c>
      <c r="AB837" s="12">
        <f>AE836</f>
        <v/>
      </c>
      <c r="AC837" s="12" t="n">
        <v>0</v>
      </c>
      <c r="AD837" s="12" t="n">
        <v>0</v>
      </c>
      <c r="AE837" s="12">
        <f>AB837+AC837+AD837</f>
        <v/>
      </c>
      <c r="AF837" s="13">
        <f>AI836</f>
        <v/>
      </c>
      <c r="AG837" s="13" t="n">
        <v>0</v>
      </c>
      <c r="AH837" s="13" t="n">
        <v>0</v>
      </c>
      <c r="AI837" s="13">
        <f>AF837+AG837+AH837</f>
        <v/>
      </c>
      <c r="AJ837" s="14" t="n">
        <v>0</v>
      </c>
      <c r="AK837" s="14" t="n">
        <v>0</v>
      </c>
      <c r="AL837" s="14" t="n">
        <v>0</v>
      </c>
      <c r="AM837" s="14">
        <f>AJ837+AK837+AL837</f>
        <v/>
      </c>
      <c r="AN837" s="14">
        <f>AN836+AM837</f>
        <v/>
      </c>
    </row>
    <row r="838">
      <c r="A838" s="8" t="n">
        <v>33</v>
      </c>
      <c r="B838" s="8" t="n">
        <v>3</v>
      </c>
      <c r="C838" s="8" t="n">
        <v>1</v>
      </c>
      <c r="D838" s="8" t="inlineStr">
        <is>
          <t>版本免费+义相逢 + 月卡收益 [月卡续费-30元]</t>
        </is>
      </c>
      <c r="E838" s="9">
        <f>K837</f>
        <v/>
      </c>
      <c r="F838" s="9" t="n">
        <v>1540</v>
      </c>
      <c r="G838" s="9" t="n">
        <v>4800</v>
      </c>
      <c r="H838" s="9" t="n">
        <v>0</v>
      </c>
      <c r="I838" s="9" t="n">
        <v>0</v>
      </c>
      <c r="J838" s="9" t="n">
        <v>0</v>
      </c>
      <c r="K838" s="9">
        <f>E838+F838+G838+H838+I838-J838</f>
        <v/>
      </c>
      <c r="L838" s="10">
        <f>Q837</f>
        <v/>
      </c>
      <c r="M838" s="10" t="n">
        <v>85</v>
      </c>
      <c r="N838" s="10" t="n">
        <v>6</v>
      </c>
      <c r="O838" s="10">
        <f>J838/160</f>
        <v/>
      </c>
      <c r="P838" s="10" t="n">
        <v>60</v>
      </c>
      <c r="Q838" s="10">
        <f>L838+M838+N838+O838-P838</f>
        <v/>
      </c>
      <c r="R838" s="11">
        <f>T837</f>
        <v/>
      </c>
      <c r="S838" s="11">
        <f>N(V838) + N(X838) + N(Z838)</f>
        <v/>
      </c>
      <c r="T838" s="11">
        <f>R838+P838-S838</f>
        <v/>
      </c>
      <c r="U838" s="11" t="inlineStr">
        <is>
          <t>是</t>
        </is>
      </c>
      <c r="V838" s="11" t="n">
        <v>49</v>
      </c>
      <c r="W838" s="11" t="inlineStr">
        <is>
          <t>否</t>
        </is>
      </c>
      <c r="X838" s="11" t="inlineStr">
        <is>
          <t>-</t>
        </is>
      </c>
      <c r="Y838" s="11" t="inlineStr">
        <is>
          <t>-</t>
        </is>
      </c>
      <c r="Z838" s="11" t="n">
        <v>0</v>
      </c>
      <c r="AA838" s="11" t="inlineStr">
        <is>
          <t>垫到60抽</t>
        </is>
      </c>
      <c r="AB838" s="12">
        <f>AE837</f>
        <v/>
      </c>
      <c r="AC838" s="12" t="n">
        <v>4</v>
      </c>
      <c r="AD838" s="12" t="n">
        <v>0</v>
      </c>
      <c r="AE838" s="12">
        <f>AB838+AC838+AD838</f>
        <v/>
      </c>
      <c r="AF838" s="13">
        <f>AI837</f>
        <v/>
      </c>
      <c r="AG838" s="13" t="n">
        <v>0</v>
      </c>
      <c r="AH838" s="13" t="n">
        <v>0</v>
      </c>
      <c r="AI838" s="13">
        <f>AF838+AG838+AH838</f>
        <v/>
      </c>
      <c r="AJ838" s="14" t="n">
        <v>30</v>
      </c>
      <c r="AK838" s="14" t="n">
        <v>50</v>
      </c>
      <c r="AL838" s="14" t="n">
        <v>0</v>
      </c>
      <c r="AM838" s="14">
        <f>AJ838+AK838+AL838</f>
        <v/>
      </c>
      <c r="AN838" s="14">
        <f>AN837+AM838</f>
        <v/>
      </c>
    </row>
    <row r="839">
      <c r="A839" s="8" t="n">
        <v>33</v>
      </c>
      <c r="B839" s="8" t="n">
        <v>3</v>
      </c>
      <c r="C839" s="8" t="n">
        <v>2</v>
      </c>
      <c r="D839" s="8" t="inlineStr">
        <is>
          <t>月卡收益</t>
        </is>
      </c>
      <c r="E839" s="9">
        <f>K838</f>
        <v/>
      </c>
      <c r="F839" s="9" t="n">
        <v>1540</v>
      </c>
      <c r="G839" s="9" t="n">
        <v>0</v>
      </c>
      <c r="H839" s="9" t="n">
        <v>0</v>
      </c>
      <c r="I839" s="9" t="n">
        <v>0</v>
      </c>
      <c r="J839" s="9" t="n">
        <v>8480</v>
      </c>
      <c r="K839" s="9">
        <f>E839+F839+G839+H839+I839-J839</f>
        <v/>
      </c>
      <c r="L839" s="10">
        <f>Q838</f>
        <v/>
      </c>
      <c r="M839" s="10" t="n">
        <v>0</v>
      </c>
      <c r="N839" s="10" t="n">
        <v>11</v>
      </c>
      <c r="O839" s="10">
        <f>J839/160</f>
        <v/>
      </c>
      <c r="P839" s="10" t="n">
        <v>90</v>
      </c>
      <c r="Q839" s="10">
        <f>L839+M839+N839+O839-P839</f>
        <v/>
      </c>
      <c r="R839" s="11">
        <f>T838</f>
        <v/>
      </c>
      <c r="S839" s="11">
        <f>N(V839) + N(X839) + N(Z839)</f>
        <v/>
      </c>
      <c r="T839" s="11">
        <f>R839+P839-S839</f>
        <v/>
      </c>
      <c r="U839" s="11" t="inlineStr">
        <is>
          <t>是</t>
        </is>
      </c>
      <c r="V839" s="11" t="n">
        <v>46</v>
      </c>
      <c r="W839" s="11" t="inlineStr">
        <is>
          <t>是</t>
        </is>
      </c>
      <c r="X839" s="11" t="n">
        <v>51</v>
      </c>
      <c r="Y839" s="11" t="inlineStr">
        <is>
          <t>-</t>
        </is>
      </c>
      <c r="Z839" s="11" t="n">
        <v>0</v>
      </c>
      <c r="AA839" s="11" t="inlineStr">
        <is>
          <t>无</t>
        </is>
      </c>
      <c r="AB839" s="12">
        <f>AE838</f>
        <v/>
      </c>
      <c r="AC839" s="12" t="n">
        <v>0</v>
      </c>
      <c r="AD839" s="12" t="n">
        <v>0</v>
      </c>
      <c r="AE839" s="12">
        <f>AB839+AC839+AD839</f>
        <v/>
      </c>
      <c r="AF839" s="13">
        <f>AI838</f>
        <v/>
      </c>
      <c r="AG839" s="13" t="n">
        <v>0</v>
      </c>
      <c r="AH839" s="13" t="n">
        <v>0</v>
      </c>
      <c r="AI839" s="13">
        <f>AF839+AG839+AH839</f>
        <v/>
      </c>
      <c r="AJ839" s="14" t="n">
        <v>0</v>
      </c>
      <c r="AK839" s="14" t="n">
        <v>0</v>
      </c>
      <c r="AL839" s="14" t="n">
        <v>0</v>
      </c>
      <c r="AM839" s="14">
        <f>AJ839+AK839+AL839</f>
        <v/>
      </c>
      <c r="AN839" s="14">
        <f>AN838+AM839</f>
        <v/>
      </c>
    </row>
    <row r="840">
      <c r="A840" s="8" t="n">
        <v>33</v>
      </c>
      <c r="B840" s="8" t="n">
        <v>4</v>
      </c>
      <c r="C840" s="8" t="n">
        <v>1</v>
      </c>
      <c r="D840" s="8" t="inlineStr">
        <is>
          <t>版本免费+义相逢 + 月卡收益 [月卡续费-30元]</t>
        </is>
      </c>
      <c r="E840" s="9">
        <f>K839</f>
        <v/>
      </c>
      <c r="F840" s="9" t="n">
        <v>1540</v>
      </c>
      <c r="G840" s="9" t="n">
        <v>4800</v>
      </c>
      <c r="H840" s="9" t="n">
        <v>0</v>
      </c>
      <c r="I840" s="9" t="n">
        <v>0</v>
      </c>
      <c r="J840" s="9" t="n">
        <v>0</v>
      </c>
      <c r="K840" s="9">
        <f>E840+F840+G840+H840+I840-J840</f>
        <v/>
      </c>
      <c r="L840" s="10">
        <f>Q839</f>
        <v/>
      </c>
      <c r="M840" s="10" t="n">
        <v>85</v>
      </c>
      <c r="N840" s="10" t="n">
        <v>3</v>
      </c>
      <c r="O840" s="10">
        <f>J840/160</f>
        <v/>
      </c>
      <c r="P840" s="10" t="n">
        <v>40</v>
      </c>
      <c r="Q840" s="10">
        <f>L840+M840+N840+O840-P840</f>
        <v/>
      </c>
      <c r="R840" s="11">
        <f>T839</f>
        <v/>
      </c>
      <c r="S840" s="11">
        <f>N(V840) + N(X840) + N(Z840)</f>
        <v/>
      </c>
      <c r="T840" s="11">
        <f>R840+P840-S840</f>
        <v/>
      </c>
      <c r="U840" s="11" t="inlineStr">
        <is>
          <t>是</t>
        </is>
      </c>
      <c r="V840" s="11" t="n">
        <v>41</v>
      </c>
      <c r="W840" s="11" t="inlineStr">
        <is>
          <t>否</t>
        </is>
      </c>
      <c r="X840" s="11" t="inlineStr">
        <is>
          <t>-</t>
        </is>
      </c>
      <c r="Y840" s="11" t="inlineStr">
        <is>
          <t>-</t>
        </is>
      </c>
      <c r="Z840" s="11" t="n">
        <v>0</v>
      </c>
      <c r="AA840" s="11" t="inlineStr">
        <is>
          <t>无</t>
        </is>
      </c>
      <c r="AB840" s="12">
        <f>AE839</f>
        <v/>
      </c>
      <c r="AC840" s="12" t="n">
        <v>4</v>
      </c>
      <c r="AD840" s="12" t="n">
        <v>0</v>
      </c>
      <c r="AE840" s="12">
        <f>AB840+AC840+AD840</f>
        <v/>
      </c>
      <c r="AF840" s="13">
        <f>AI839</f>
        <v/>
      </c>
      <c r="AG840" s="13" t="n">
        <v>0</v>
      </c>
      <c r="AH840" s="13" t="n">
        <v>0</v>
      </c>
      <c r="AI840" s="13">
        <f>AF840+AG840+AH840</f>
        <v/>
      </c>
      <c r="AJ840" s="14" t="n">
        <v>30</v>
      </c>
      <c r="AK840" s="14" t="n">
        <v>50</v>
      </c>
      <c r="AL840" s="14" t="n">
        <v>0</v>
      </c>
      <c r="AM840" s="14">
        <f>AJ840+AK840+AL840</f>
        <v/>
      </c>
      <c r="AN840" s="14">
        <f>AN839+AM840</f>
        <v/>
      </c>
    </row>
    <row r="841">
      <c r="A841" s="8" t="n">
        <v>33</v>
      </c>
      <c r="B841" s="8" t="n">
        <v>4</v>
      </c>
      <c r="C841" s="8" t="n">
        <v>2</v>
      </c>
      <c r="D841" s="8" t="inlineStr">
        <is>
          <t>月卡收益</t>
        </is>
      </c>
      <c r="E841" s="9">
        <f>K840</f>
        <v/>
      </c>
      <c r="F841" s="9" t="n">
        <v>1540</v>
      </c>
      <c r="G841" s="9" t="n">
        <v>0</v>
      </c>
      <c r="H841" s="9" t="n">
        <v>0</v>
      </c>
      <c r="I841" s="9" t="n">
        <v>0</v>
      </c>
      <c r="J841" s="9" t="n">
        <v>640</v>
      </c>
      <c r="K841" s="9">
        <f>E841+F841+G841+H841+I841-J841</f>
        <v/>
      </c>
      <c r="L841" s="10">
        <f>Q840</f>
        <v/>
      </c>
      <c r="M841" s="10" t="n">
        <v>0</v>
      </c>
      <c r="N841" s="10" t="n">
        <v>6</v>
      </c>
      <c r="O841" s="10">
        <f>J841/160</f>
        <v/>
      </c>
      <c r="P841" s="10" t="n">
        <v>60</v>
      </c>
      <c r="Q841" s="10">
        <f>L841+M841+N841+O841-P841</f>
        <v/>
      </c>
      <c r="R841" s="11">
        <f>T840</f>
        <v/>
      </c>
      <c r="S841" s="11">
        <f>N(V841) + N(X841) + N(Z841)</f>
        <v/>
      </c>
      <c r="T841" s="11">
        <f>R841+P841-S841</f>
        <v/>
      </c>
      <c r="U841" s="11" t="inlineStr">
        <is>
          <t>是</t>
        </is>
      </c>
      <c r="V841" s="11" t="n">
        <v>47</v>
      </c>
      <c r="W841" s="11" t="inlineStr">
        <is>
          <t>否</t>
        </is>
      </c>
      <c r="X841" s="11" t="inlineStr">
        <is>
          <t>-</t>
        </is>
      </c>
      <c r="Y841" s="11" t="inlineStr">
        <is>
          <t>-</t>
        </is>
      </c>
      <c r="Z841" s="11" t="n">
        <v>0</v>
      </c>
      <c r="AA841" s="11" t="inlineStr">
        <is>
          <t>垫到60抽</t>
        </is>
      </c>
      <c r="AB841" s="12">
        <f>AE840</f>
        <v/>
      </c>
      <c r="AC841" s="12" t="n">
        <v>0</v>
      </c>
      <c r="AD841" s="12" t="n">
        <v>0</v>
      </c>
      <c r="AE841" s="12">
        <f>AB841+AC841+AD841</f>
        <v/>
      </c>
      <c r="AF841" s="13">
        <f>AI840</f>
        <v/>
      </c>
      <c r="AG841" s="13" t="n">
        <v>0</v>
      </c>
      <c r="AH841" s="13" t="n">
        <v>0</v>
      </c>
      <c r="AI841" s="13">
        <f>AF841+AG841+AH841</f>
        <v/>
      </c>
      <c r="AJ841" s="14" t="n">
        <v>0</v>
      </c>
      <c r="AK841" s="14" t="n">
        <v>0</v>
      </c>
      <c r="AL841" s="14" t="n">
        <v>0</v>
      </c>
      <c r="AM841" s="14">
        <f>AJ841+AK841+AL841</f>
        <v/>
      </c>
      <c r="AN841" s="14">
        <f>AN840+AM841</f>
        <v/>
      </c>
    </row>
    <row r="842">
      <c r="A842" s="8" t="n">
        <v>33</v>
      </c>
      <c r="B842" s="8" t="n">
        <v>5</v>
      </c>
      <c r="C842" s="8" t="n">
        <v>1</v>
      </c>
      <c r="D842" s="8" t="inlineStr">
        <is>
          <t>版本免费+义相逢 + 月卡收益</t>
        </is>
      </c>
      <c r="E842" s="9">
        <f>K841</f>
        <v/>
      </c>
      <c r="F842" s="9" t="n">
        <v>1540</v>
      </c>
      <c r="G842" s="9" t="n">
        <v>4800</v>
      </c>
      <c r="H842" s="9" t="n">
        <v>0</v>
      </c>
      <c r="I842" s="9" t="n">
        <v>0</v>
      </c>
      <c r="J842" s="9" t="n">
        <v>14560</v>
      </c>
      <c r="K842" s="9">
        <f>E842+F842+G842+H842+I842-J842</f>
        <v/>
      </c>
      <c r="L842" s="10">
        <f>Q841</f>
        <v/>
      </c>
      <c r="M842" s="10" t="n">
        <v>85</v>
      </c>
      <c r="N842" s="10" t="n">
        <v>21</v>
      </c>
      <c r="O842" s="10">
        <f>J842/160</f>
        <v/>
      </c>
      <c r="P842" s="10" t="n">
        <v>200</v>
      </c>
      <c r="Q842" s="10">
        <f>L842+M842+N842+O842-P842</f>
        <v/>
      </c>
      <c r="R842" s="11">
        <f>T841</f>
        <v/>
      </c>
      <c r="S842" s="11">
        <f>N(V842) + N(X842) + N(Z842)</f>
        <v/>
      </c>
      <c r="T842" s="11">
        <f>R842+P842-S842</f>
        <v/>
      </c>
      <c r="U842" s="11" t="inlineStr">
        <is>
          <t>是</t>
        </is>
      </c>
      <c r="V842" s="11" t="n">
        <v>49</v>
      </c>
      <c r="W842" s="11" t="inlineStr">
        <is>
          <t>是</t>
        </is>
      </c>
      <c r="X842" s="11" t="n">
        <v>53</v>
      </c>
      <c r="Y842" s="11" t="inlineStr">
        <is>
          <t>歪(50), UP(47)</t>
        </is>
      </c>
      <c r="Z842" s="11" t="n">
        <v>97</v>
      </c>
      <c r="AA842" s="11" t="inlineStr">
        <is>
          <t>冲刺200(动态90)</t>
        </is>
      </c>
      <c r="AB842" s="12">
        <f>AE841</f>
        <v/>
      </c>
      <c r="AC842" s="12" t="n">
        <v>4</v>
      </c>
      <c r="AD842" s="12" t="n">
        <v>1</v>
      </c>
      <c r="AE842" s="12">
        <f>AB842+AC842+AD842</f>
        <v/>
      </c>
      <c r="AF842" s="13">
        <f>AI841</f>
        <v/>
      </c>
      <c r="AG842" s="13" t="n">
        <v>0</v>
      </c>
      <c r="AH842" s="13" t="n">
        <v>5000</v>
      </c>
      <c r="AI842" s="13">
        <f>AF842+AG842+AH842</f>
        <v/>
      </c>
      <c r="AJ842" s="14" t="n">
        <v>0</v>
      </c>
      <c r="AK842" s="14" t="n">
        <v>50</v>
      </c>
      <c r="AL842" s="14" t="n">
        <v>0</v>
      </c>
      <c r="AM842" s="14">
        <f>AJ842+AK842+AL842</f>
        <v/>
      </c>
      <c r="AN842" s="14">
        <f>AN841+AM842</f>
        <v/>
      </c>
    </row>
    <row r="843">
      <c r="A843" s="8" t="n">
        <v>33</v>
      </c>
      <c r="B843" s="8" t="n">
        <v>5</v>
      </c>
      <c r="C843" s="8" t="n">
        <v>2</v>
      </c>
      <c r="D843" s="8" t="inlineStr">
        <is>
          <t>月卡收益 [月卡续费-30元]</t>
        </is>
      </c>
      <c r="E843" s="9">
        <f>K842</f>
        <v/>
      </c>
      <c r="F843" s="9" t="n">
        <v>1540</v>
      </c>
      <c r="G843" s="9" t="n">
        <v>0</v>
      </c>
      <c r="H843" s="9" t="n">
        <v>0</v>
      </c>
      <c r="I843" s="9" t="n">
        <v>0</v>
      </c>
      <c r="J843" s="9" t="n">
        <v>4640</v>
      </c>
      <c r="K843" s="9">
        <f>E843+F843+G843+H843+I843-J843</f>
        <v/>
      </c>
      <c r="L843" s="10">
        <f>Q842</f>
        <v/>
      </c>
      <c r="M843" s="10" t="n">
        <v>0</v>
      </c>
      <c r="N843" s="10" t="n">
        <v>3</v>
      </c>
      <c r="O843" s="10">
        <f>J843/160</f>
        <v/>
      </c>
      <c r="P843" s="10" t="n">
        <v>30</v>
      </c>
      <c r="Q843" s="10">
        <f>L843+M843+N843+O843-P843</f>
        <v/>
      </c>
      <c r="R843" s="11">
        <f>T842</f>
        <v/>
      </c>
      <c r="S843" s="11">
        <f>N(V843) + N(X843) + N(Z843)</f>
        <v/>
      </c>
      <c r="T843" s="11">
        <f>R843+P843-S843</f>
        <v/>
      </c>
      <c r="U843" s="11" t="inlineStr">
        <is>
          <t>是</t>
        </is>
      </c>
      <c r="V843" s="11" t="n">
        <v>48</v>
      </c>
      <c r="W843" s="11" t="inlineStr">
        <is>
          <t>否</t>
        </is>
      </c>
      <c r="X843" s="11" t="inlineStr">
        <is>
          <t>-</t>
        </is>
      </c>
      <c r="Y843" s="11" t="inlineStr">
        <is>
          <t>-</t>
        </is>
      </c>
      <c r="Z843" s="11" t="n">
        <v>0</v>
      </c>
      <c r="AA843" s="11" t="inlineStr">
        <is>
          <t>无</t>
        </is>
      </c>
      <c r="AB843" s="12">
        <f>AE842</f>
        <v/>
      </c>
      <c r="AC843" s="12" t="n">
        <v>0</v>
      </c>
      <c r="AD843" s="12" t="n">
        <v>0</v>
      </c>
      <c r="AE843" s="12">
        <f>AB843+AC843+AD843</f>
        <v/>
      </c>
      <c r="AF843" s="13">
        <f>AI842</f>
        <v/>
      </c>
      <c r="AG843" s="13" t="n">
        <v>0</v>
      </c>
      <c r="AH843" s="13" t="n">
        <v>0</v>
      </c>
      <c r="AI843" s="13">
        <f>AF843+AG843+AH843</f>
        <v/>
      </c>
      <c r="AJ843" s="14" t="n">
        <v>30</v>
      </c>
      <c r="AK843" s="14" t="n">
        <v>0</v>
      </c>
      <c r="AL843" s="14" t="n">
        <v>0</v>
      </c>
      <c r="AM843" s="14">
        <f>AJ843+AK843+AL843</f>
        <v/>
      </c>
      <c r="AN843" s="14">
        <f>AN842+AM843</f>
        <v/>
      </c>
    </row>
    <row r="844">
      <c r="A844" s="8" t="n">
        <v>33</v>
      </c>
      <c r="B844" s="8" t="n">
        <v>6</v>
      </c>
      <c r="C844" s="8" t="n">
        <v>1</v>
      </c>
      <c r="D844" s="8" t="inlineStr">
        <is>
          <t>版本免费+义相逢 + 月卡收益</t>
        </is>
      </c>
      <c r="E844" s="9">
        <f>K843</f>
        <v/>
      </c>
      <c r="F844" s="9" t="n">
        <v>1540</v>
      </c>
      <c r="G844" s="9" t="n">
        <v>4800</v>
      </c>
      <c r="H844" s="9" t="n">
        <v>0</v>
      </c>
      <c r="I844" s="9" t="n">
        <v>0</v>
      </c>
      <c r="J844" s="9" t="n">
        <v>0</v>
      </c>
      <c r="K844" s="9">
        <f>E844+F844+G844+H844+I844-J844</f>
        <v/>
      </c>
      <c r="L844" s="10">
        <f>Q843</f>
        <v/>
      </c>
      <c r="M844" s="10" t="n">
        <v>85</v>
      </c>
      <c r="N844" s="10" t="n">
        <v>6</v>
      </c>
      <c r="O844" s="10">
        <f>J844/160</f>
        <v/>
      </c>
      <c r="P844" s="10" t="n">
        <v>60</v>
      </c>
      <c r="Q844" s="10">
        <f>L844+M844+N844+O844-P844</f>
        <v/>
      </c>
      <c r="R844" s="11">
        <f>T843</f>
        <v/>
      </c>
      <c r="S844" s="11">
        <f>N(V844) + N(X844) + N(Z844)</f>
        <v/>
      </c>
      <c r="T844" s="11">
        <f>R844+P844-S844</f>
        <v/>
      </c>
      <c r="U844" s="11" t="inlineStr">
        <is>
          <t>是</t>
        </is>
      </c>
      <c r="V844" s="11" t="n">
        <v>50</v>
      </c>
      <c r="W844" s="11" t="inlineStr">
        <is>
          <t>否</t>
        </is>
      </c>
      <c r="X844" s="11" t="inlineStr">
        <is>
          <t>-</t>
        </is>
      </c>
      <c r="Y844" s="11" t="inlineStr">
        <is>
          <t>-</t>
        </is>
      </c>
      <c r="Z844" s="11" t="n">
        <v>0</v>
      </c>
      <c r="AA844" s="11" t="inlineStr">
        <is>
          <t>垫到60抽</t>
        </is>
      </c>
      <c r="AB844" s="12">
        <f>AE843</f>
        <v/>
      </c>
      <c r="AC844" s="12" t="n">
        <v>4</v>
      </c>
      <c r="AD844" s="12" t="n">
        <v>0</v>
      </c>
      <c r="AE844" s="12">
        <f>AB844+AC844+AD844</f>
        <v/>
      </c>
      <c r="AF844" s="13">
        <f>AI843</f>
        <v/>
      </c>
      <c r="AG844" s="13" t="n">
        <v>0</v>
      </c>
      <c r="AH844" s="13" t="n">
        <v>0</v>
      </c>
      <c r="AI844" s="13">
        <f>AF844+AG844+AH844</f>
        <v/>
      </c>
      <c r="AJ844" s="14" t="n">
        <v>0</v>
      </c>
      <c r="AK844" s="14" t="n">
        <v>50</v>
      </c>
      <c r="AL844" s="14" t="n">
        <v>0</v>
      </c>
      <c r="AM844" s="14">
        <f>AJ844+AK844+AL844</f>
        <v/>
      </c>
      <c r="AN844" s="14">
        <f>AN843+AM844</f>
        <v/>
      </c>
    </row>
    <row r="845">
      <c r="A845" s="8" t="n">
        <v>33</v>
      </c>
      <c r="B845" s="8" t="n">
        <v>6</v>
      </c>
      <c r="C845" s="8" t="n">
        <v>2</v>
      </c>
      <c r="D845" s="8" t="inlineStr">
        <is>
          <t>月卡收益 [月卡续费-30元]</t>
        </is>
      </c>
      <c r="E845" s="9">
        <f>K844</f>
        <v/>
      </c>
      <c r="F845" s="9" t="n">
        <v>1540</v>
      </c>
      <c r="G845" s="9" t="n">
        <v>0</v>
      </c>
      <c r="H845" s="9" t="n">
        <v>0</v>
      </c>
      <c r="I845" s="9" t="n">
        <v>0</v>
      </c>
      <c r="J845" s="9" t="n">
        <v>3840</v>
      </c>
      <c r="K845" s="9">
        <f>E845+F845+G845+H845+I845-J845</f>
        <v/>
      </c>
      <c r="L845" s="10">
        <f>Q844</f>
        <v/>
      </c>
      <c r="M845" s="10" t="n">
        <v>0</v>
      </c>
      <c r="N845" s="10" t="n">
        <v>6</v>
      </c>
      <c r="O845" s="10">
        <f>J845/160</f>
        <v/>
      </c>
      <c r="P845" s="10" t="n">
        <v>60</v>
      </c>
      <c r="Q845" s="10">
        <f>L845+M845+N845+O845-P845</f>
        <v/>
      </c>
      <c r="R845" s="11">
        <f>T844</f>
        <v/>
      </c>
      <c r="S845" s="11">
        <f>N(V845) + N(X845) + N(Z845)</f>
        <v/>
      </c>
      <c r="T845" s="11">
        <f>R845+P845-S845</f>
        <v/>
      </c>
      <c r="U845" s="11" t="inlineStr">
        <is>
          <t>是</t>
        </is>
      </c>
      <c r="V845" s="11" t="n">
        <v>53</v>
      </c>
      <c r="W845" s="11" t="inlineStr">
        <is>
          <t>否</t>
        </is>
      </c>
      <c r="X845" s="11" t="inlineStr">
        <is>
          <t>-</t>
        </is>
      </c>
      <c r="Y845" s="11" t="inlineStr">
        <is>
          <t>-</t>
        </is>
      </c>
      <c r="Z845" s="11" t="n">
        <v>0</v>
      </c>
      <c r="AA845" s="11" t="inlineStr">
        <is>
          <t>垫到60抽</t>
        </is>
      </c>
      <c r="AB845" s="12">
        <f>AE844</f>
        <v/>
      </c>
      <c r="AC845" s="12" t="n">
        <v>0</v>
      </c>
      <c r="AD845" s="12" t="n">
        <v>0</v>
      </c>
      <c r="AE845" s="12">
        <f>AB845+AC845+AD845</f>
        <v/>
      </c>
      <c r="AF845" s="13">
        <f>AI844</f>
        <v/>
      </c>
      <c r="AG845" s="13" t="n">
        <v>0</v>
      </c>
      <c r="AH845" s="13" t="n">
        <v>0</v>
      </c>
      <c r="AI845" s="13">
        <f>AF845+AG845+AH845</f>
        <v/>
      </c>
      <c r="AJ845" s="14" t="n">
        <v>30</v>
      </c>
      <c r="AK845" s="14" t="n">
        <v>0</v>
      </c>
      <c r="AL845" s="14" t="n">
        <v>0</v>
      </c>
      <c r="AM845" s="14">
        <f>AJ845+AK845+AL845</f>
        <v/>
      </c>
      <c r="AN845" s="14">
        <f>AN844+AM845</f>
        <v/>
      </c>
    </row>
    <row r="846">
      <c r="A846" s="8" t="n">
        <v>33</v>
      </c>
      <c r="B846" s="8" t="n">
        <v>7</v>
      </c>
      <c r="C846" s="8" t="n">
        <v>1</v>
      </c>
      <c r="D846" s="8" t="inlineStr">
        <is>
          <t>版本免费+义相逢 + 月卡收益</t>
        </is>
      </c>
      <c r="E846" s="9">
        <f>K845</f>
        <v/>
      </c>
      <c r="F846" s="9" t="n">
        <v>1540</v>
      </c>
      <c r="G846" s="9" t="n">
        <v>4800</v>
      </c>
      <c r="H846" s="9" t="n">
        <v>0</v>
      </c>
      <c r="I846" s="9" t="n">
        <v>0</v>
      </c>
      <c r="J846" s="9" t="n">
        <v>0</v>
      </c>
      <c r="K846" s="9">
        <f>E846+F846+G846+H846+I846-J846</f>
        <v/>
      </c>
      <c r="L846" s="10">
        <f>Q845</f>
        <v/>
      </c>
      <c r="M846" s="10" t="n">
        <v>85</v>
      </c>
      <c r="N846" s="10" t="n">
        <v>3</v>
      </c>
      <c r="O846" s="10">
        <f>J846/160</f>
        <v/>
      </c>
      <c r="P846" s="10" t="n">
        <v>30</v>
      </c>
      <c r="Q846" s="10">
        <f>L846+M846+N846+O846-P846</f>
        <v/>
      </c>
      <c r="R846" s="11">
        <f>T845</f>
        <v/>
      </c>
      <c r="S846" s="11">
        <f>N(V846) + N(X846) + N(Z846)</f>
        <v/>
      </c>
      <c r="T846" s="11">
        <f>R846+P846-S846</f>
        <v/>
      </c>
      <c r="U846" s="11" t="inlineStr">
        <is>
          <t>是</t>
        </is>
      </c>
      <c r="V846" s="11" t="n">
        <v>48</v>
      </c>
      <c r="W846" s="11" t="inlineStr">
        <is>
          <t>否</t>
        </is>
      </c>
      <c r="X846" s="11" t="inlineStr">
        <is>
          <t>-</t>
        </is>
      </c>
      <c r="Y846" s="11" t="inlineStr">
        <is>
          <t>-</t>
        </is>
      </c>
      <c r="Z846" s="11" t="n">
        <v>0</v>
      </c>
      <c r="AA846" s="11" t="inlineStr">
        <is>
          <t>无</t>
        </is>
      </c>
      <c r="AB846" s="12">
        <f>AE845</f>
        <v/>
      </c>
      <c r="AC846" s="12" t="n">
        <v>4</v>
      </c>
      <c r="AD846" s="12" t="n">
        <v>0</v>
      </c>
      <c r="AE846" s="12">
        <f>AB846+AC846+AD846</f>
        <v/>
      </c>
      <c r="AF846" s="13">
        <f>AI845</f>
        <v/>
      </c>
      <c r="AG846" s="13" t="n">
        <v>0</v>
      </c>
      <c r="AH846" s="13" t="n">
        <v>0</v>
      </c>
      <c r="AI846" s="13">
        <f>AF846+AG846+AH846</f>
        <v/>
      </c>
      <c r="AJ846" s="14" t="n">
        <v>0</v>
      </c>
      <c r="AK846" s="14" t="n">
        <v>50</v>
      </c>
      <c r="AL846" s="14" t="n">
        <v>0</v>
      </c>
      <c r="AM846" s="14">
        <f>AJ846+AK846+AL846</f>
        <v/>
      </c>
      <c r="AN846" s="14">
        <f>AN845+AM846</f>
        <v/>
      </c>
    </row>
    <row r="847">
      <c r="A847" s="8" t="n">
        <v>33</v>
      </c>
      <c r="B847" s="8" t="n">
        <v>7</v>
      </c>
      <c r="C847" s="8" t="n">
        <v>2</v>
      </c>
      <c r="D847" s="8" t="inlineStr">
        <is>
          <t>月卡收益 [月卡续费-30元]</t>
        </is>
      </c>
      <c r="E847" s="9">
        <f>K846</f>
        <v/>
      </c>
      <c r="F847" s="9" t="n">
        <v>1540</v>
      </c>
      <c r="G847" s="9" t="n">
        <v>0</v>
      </c>
      <c r="H847" s="9" t="n">
        <v>0</v>
      </c>
      <c r="I847" s="9" t="n">
        <v>0</v>
      </c>
      <c r="J847" s="9" t="n">
        <v>4480</v>
      </c>
      <c r="K847" s="9">
        <f>E847+F847+G847+H847+I847-J847</f>
        <v/>
      </c>
      <c r="L847" s="10">
        <f>Q846</f>
        <v/>
      </c>
      <c r="M847" s="10" t="n">
        <v>0</v>
      </c>
      <c r="N847" s="10" t="n">
        <v>11</v>
      </c>
      <c r="O847" s="10">
        <f>J847/160</f>
        <v/>
      </c>
      <c r="P847" s="10" t="n">
        <v>100</v>
      </c>
      <c r="Q847" s="10">
        <f>L847+M847+N847+O847-P847</f>
        <v/>
      </c>
      <c r="R847" s="11">
        <f>T846</f>
        <v/>
      </c>
      <c r="S847" s="11">
        <f>N(V847) + N(X847) + N(Z847)</f>
        <v/>
      </c>
      <c r="T847" s="11">
        <f>R847+P847-S847</f>
        <v/>
      </c>
      <c r="U847" s="11" t="inlineStr">
        <is>
          <t>是</t>
        </is>
      </c>
      <c r="V847" s="11" t="n">
        <v>49</v>
      </c>
      <c r="W847" s="11" t="inlineStr">
        <is>
          <t>是</t>
        </is>
      </c>
      <c r="X847" s="11" t="n">
        <v>48</v>
      </c>
      <c r="Y847" s="11" t="inlineStr">
        <is>
          <t>-</t>
        </is>
      </c>
      <c r="Z847" s="11" t="n">
        <v>0</v>
      </c>
      <c r="AA847" s="11" t="inlineStr">
        <is>
          <t>无</t>
        </is>
      </c>
      <c r="AB847" s="12">
        <f>AE846</f>
        <v/>
      </c>
      <c r="AC847" s="12" t="n">
        <v>0</v>
      </c>
      <c r="AD847" s="12" t="n">
        <v>0</v>
      </c>
      <c r="AE847" s="12">
        <f>AB847+AC847+AD847</f>
        <v/>
      </c>
      <c r="AF847" s="13">
        <f>AI846</f>
        <v/>
      </c>
      <c r="AG847" s="13" t="n">
        <v>0</v>
      </c>
      <c r="AH847" s="13" t="n">
        <v>0</v>
      </c>
      <c r="AI847" s="13">
        <f>AF847+AG847+AH847</f>
        <v/>
      </c>
      <c r="AJ847" s="14" t="n">
        <v>30</v>
      </c>
      <c r="AK847" s="14" t="n">
        <v>0</v>
      </c>
      <c r="AL847" s="14" t="n">
        <v>0</v>
      </c>
      <c r="AM847" s="14">
        <f>AJ847+AK847+AL847</f>
        <v/>
      </c>
      <c r="AN847" s="14">
        <f>AN846+AM847</f>
        <v/>
      </c>
    </row>
    <row r="848">
      <c r="A848" s="8" t="n">
        <v>33</v>
      </c>
      <c r="B848" s="8" t="n">
        <v>8</v>
      </c>
      <c r="C848" s="8" t="n">
        <v>1</v>
      </c>
      <c r="D848" s="8" t="inlineStr">
        <is>
          <t>版本免费+义相逢 + 月卡收益</t>
        </is>
      </c>
      <c r="E848" s="9">
        <f>K847</f>
        <v/>
      </c>
      <c r="F848" s="9" t="n">
        <v>1540</v>
      </c>
      <c r="G848" s="9" t="n">
        <v>4800</v>
      </c>
      <c r="H848" s="9" t="n">
        <v>0</v>
      </c>
      <c r="I848" s="9" t="n">
        <v>0</v>
      </c>
      <c r="J848" s="9" t="n">
        <v>0</v>
      </c>
      <c r="K848" s="9">
        <f>E848+F848+G848+H848+I848-J848</f>
        <v/>
      </c>
      <c r="L848" s="10">
        <f>Q847</f>
        <v/>
      </c>
      <c r="M848" s="10" t="n">
        <v>85</v>
      </c>
      <c r="N848" s="10" t="n">
        <v>6</v>
      </c>
      <c r="O848" s="10">
        <f>J848/160</f>
        <v/>
      </c>
      <c r="P848" s="10" t="n">
        <v>60</v>
      </c>
      <c r="Q848" s="10">
        <f>L848+M848+N848+O848-P848</f>
        <v/>
      </c>
      <c r="R848" s="11">
        <f>T847</f>
        <v/>
      </c>
      <c r="S848" s="11">
        <f>N(V848) + N(X848) + N(Z848)</f>
        <v/>
      </c>
      <c r="T848" s="11">
        <f>R848+P848-S848</f>
        <v/>
      </c>
      <c r="U848" s="11" t="inlineStr">
        <is>
          <t>是</t>
        </is>
      </c>
      <c r="V848" s="11" t="n">
        <v>50</v>
      </c>
      <c r="W848" s="11" t="inlineStr">
        <is>
          <t>否</t>
        </is>
      </c>
      <c r="X848" s="11" t="inlineStr">
        <is>
          <t>-</t>
        </is>
      </c>
      <c r="Y848" s="11" t="inlineStr">
        <is>
          <t>-</t>
        </is>
      </c>
      <c r="Z848" s="11" t="n">
        <v>0</v>
      </c>
      <c r="AA848" s="11" t="inlineStr">
        <is>
          <t>垫到60抽</t>
        </is>
      </c>
      <c r="AB848" s="12">
        <f>AE847</f>
        <v/>
      </c>
      <c r="AC848" s="12" t="n">
        <v>4</v>
      </c>
      <c r="AD848" s="12" t="n">
        <v>0</v>
      </c>
      <c r="AE848" s="12">
        <f>AB848+AC848+AD848</f>
        <v/>
      </c>
      <c r="AF848" s="13">
        <f>AI847</f>
        <v/>
      </c>
      <c r="AG848" s="13" t="n">
        <v>0</v>
      </c>
      <c r="AH848" s="13" t="n">
        <v>0</v>
      </c>
      <c r="AI848" s="13">
        <f>AF848+AG848+AH848</f>
        <v/>
      </c>
      <c r="AJ848" s="14" t="n">
        <v>0</v>
      </c>
      <c r="AK848" s="14" t="n">
        <v>50</v>
      </c>
      <c r="AL848" s="14" t="n">
        <v>0</v>
      </c>
      <c r="AM848" s="14">
        <f>AJ848+AK848+AL848</f>
        <v/>
      </c>
      <c r="AN848" s="14">
        <f>AN847+AM848</f>
        <v/>
      </c>
    </row>
    <row r="849">
      <c r="A849" s="8" t="n">
        <v>33</v>
      </c>
      <c r="B849" s="8" t="n">
        <v>8</v>
      </c>
      <c r="C849" s="8" t="n">
        <v>2</v>
      </c>
      <c r="D849" s="8" t="inlineStr">
        <is>
          <t>月卡收益 [月卡续费-30元]</t>
        </is>
      </c>
      <c r="E849" s="9">
        <f>K848</f>
        <v/>
      </c>
      <c r="F849" s="9" t="n">
        <v>1540</v>
      </c>
      <c r="G849" s="9" t="n">
        <v>0</v>
      </c>
      <c r="H849" s="9" t="n">
        <v>0</v>
      </c>
      <c r="I849" s="9" t="n">
        <v>0</v>
      </c>
      <c r="J849" s="9" t="n">
        <v>960</v>
      </c>
      <c r="K849" s="9">
        <f>E849+F849+G849+H849+I849-J849</f>
        <v/>
      </c>
      <c r="L849" s="10">
        <f>Q848</f>
        <v/>
      </c>
      <c r="M849" s="10" t="n">
        <v>0</v>
      </c>
      <c r="N849" s="10" t="n">
        <v>3</v>
      </c>
      <c r="O849" s="10">
        <f>J849/160</f>
        <v/>
      </c>
      <c r="P849" s="10" t="n">
        <v>40</v>
      </c>
      <c r="Q849" s="10">
        <f>L849+M849+N849+O849-P849</f>
        <v/>
      </c>
      <c r="R849" s="11">
        <f>T848</f>
        <v/>
      </c>
      <c r="S849" s="11">
        <f>N(V849) + N(X849) + N(Z849)</f>
        <v/>
      </c>
      <c r="T849" s="11">
        <f>R849+P849-S849</f>
        <v/>
      </c>
      <c r="U849" s="11" t="inlineStr">
        <is>
          <t>是</t>
        </is>
      </c>
      <c r="V849" s="11" t="n">
        <v>47</v>
      </c>
      <c r="W849" s="11" t="inlineStr">
        <is>
          <t>否</t>
        </is>
      </c>
      <c r="X849" s="11" t="inlineStr">
        <is>
          <t>-</t>
        </is>
      </c>
      <c r="Y849" s="11" t="inlineStr">
        <is>
          <t>-</t>
        </is>
      </c>
      <c r="Z849" s="11" t="n">
        <v>0</v>
      </c>
      <c r="AA849" s="11" t="inlineStr">
        <is>
          <t>无</t>
        </is>
      </c>
      <c r="AB849" s="12">
        <f>AE848</f>
        <v/>
      </c>
      <c r="AC849" s="12" t="n">
        <v>0</v>
      </c>
      <c r="AD849" s="12" t="n">
        <v>0</v>
      </c>
      <c r="AE849" s="12">
        <f>AB849+AC849+AD849</f>
        <v/>
      </c>
      <c r="AF849" s="13">
        <f>AI848</f>
        <v/>
      </c>
      <c r="AG849" s="13" t="n">
        <v>0</v>
      </c>
      <c r="AH849" s="13" t="n">
        <v>0</v>
      </c>
      <c r="AI849" s="13">
        <f>AF849+AG849+AH849</f>
        <v/>
      </c>
      <c r="AJ849" s="14" t="n">
        <v>30</v>
      </c>
      <c r="AK849" s="14" t="n">
        <v>0</v>
      </c>
      <c r="AL849" s="14" t="n">
        <v>0</v>
      </c>
      <c r="AM849" s="14">
        <f>AJ849+AK849+AL849</f>
        <v/>
      </c>
      <c r="AN849" s="14">
        <f>AN848+AM849</f>
        <v/>
      </c>
    </row>
    <row r="850">
      <c r="A850" s="8" t="n">
        <v>33</v>
      </c>
      <c r="B850" s="8" t="n">
        <v>9</v>
      </c>
      <c r="C850" s="8" t="n">
        <v>1</v>
      </c>
      <c r="D850" s="8" t="inlineStr">
        <is>
          <t>版本免费+义相逢 + 月卡收益</t>
        </is>
      </c>
      <c r="E850" s="9">
        <f>K849</f>
        <v/>
      </c>
      <c r="F850" s="9" t="n">
        <v>1540</v>
      </c>
      <c r="G850" s="9" t="n">
        <v>4800</v>
      </c>
      <c r="H850" s="9" t="n">
        <v>0</v>
      </c>
      <c r="I850" s="9" t="n">
        <v>0</v>
      </c>
      <c r="J850" s="9" t="n">
        <v>0</v>
      </c>
      <c r="K850" s="9">
        <f>E850+F850+G850+H850+I850-J850</f>
        <v/>
      </c>
      <c r="L850" s="10">
        <f>Q849</f>
        <v/>
      </c>
      <c r="M850" s="10" t="n">
        <v>85</v>
      </c>
      <c r="N850" s="10" t="n">
        <v>6</v>
      </c>
      <c r="O850" s="10">
        <f>J850/160</f>
        <v/>
      </c>
      <c r="P850" s="10" t="n">
        <v>60</v>
      </c>
      <c r="Q850" s="10">
        <f>L850+M850+N850+O850-P850</f>
        <v/>
      </c>
      <c r="R850" s="11">
        <f>T849</f>
        <v/>
      </c>
      <c r="S850" s="11">
        <f>N(V850) + N(X850) + N(Z850)</f>
        <v/>
      </c>
      <c r="T850" s="11">
        <f>R850+P850-S850</f>
        <v/>
      </c>
      <c r="U850" s="11" t="inlineStr">
        <is>
          <t>是</t>
        </is>
      </c>
      <c r="V850" s="11" t="n">
        <v>50</v>
      </c>
      <c r="W850" s="11" t="inlineStr">
        <is>
          <t>是</t>
        </is>
      </c>
      <c r="X850" s="11" t="n">
        <v>14</v>
      </c>
      <c r="Y850" s="11" t="inlineStr">
        <is>
          <t>-</t>
        </is>
      </c>
      <c r="Z850" s="11" t="n">
        <v>0</v>
      </c>
      <c r="AA850" s="11" t="inlineStr">
        <is>
          <t>无</t>
        </is>
      </c>
      <c r="AB850" s="12">
        <f>AE849</f>
        <v/>
      </c>
      <c r="AC850" s="12" t="n">
        <v>4</v>
      </c>
      <c r="AD850" s="12" t="n">
        <v>0</v>
      </c>
      <c r="AE850" s="12">
        <f>AB850+AC850+AD850</f>
        <v/>
      </c>
      <c r="AF850" s="13">
        <f>AI849</f>
        <v/>
      </c>
      <c r="AG850" s="13" t="n">
        <v>0</v>
      </c>
      <c r="AH850" s="13" t="n">
        <v>0</v>
      </c>
      <c r="AI850" s="13">
        <f>AF850+AG850+AH850</f>
        <v/>
      </c>
      <c r="AJ850" s="14" t="n">
        <v>0</v>
      </c>
      <c r="AK850" s="14" t="n">
        <v>50</v>
      </c>
      <c r="AL850" s="14" t="n">
        <v>0</v>
      </c>
      <c r="AM850" s="14">
        <f>AJ850+AK850+AL850</f>
        <v/>
      </c>
      <c r="AN850" s="14">
        <f>AN849+AM850</f>
        <v/>
      </c>
    </row>
    <row r="851">
      <c r="A851" s="8" t="n">
        <v>33</v>
      </c>
      <c r="B851" s="8" t="n">
        <v>9</v>
      </c>
      <c r="C851" s="8" t="n">
        <v>2</v>
      </c>
      <c r="D851" s="8" t="inlineStr">
        <is>
          <t>月卡收益 [月卡续费-30元]</t>
        </is>
      </c>
      <c r="E851" s="9">
        <f>K850</f>
        <v/>
      </c>
      <c r="F851" s="9" t="n">
        <v>1540</v>
      </c>
      <c r="G851" s="9" t="n">
        <v>0</v>
      </c>
      <c r="H851" s="9" t="n">
        <v>0</v>
      </c>
      <c r="I851" s="9" t="n">
        <v>0</v>
      </c>
      <c r="J851" s="9" t="n">
        <v>23680</v>
      </c>
      <c r="K851" s="9">
        <f>E851+F851+G851+H851+I851-J851</f>
        <v/>
      </c>
      <c r="L851" s="10">
        <f>Q850</f>
        <v/>
      </c>
      <c r="M851" s="10" t="n">
        <v>0</v>
      </c>
      <c r="N851" s="10" t="n">
        <v>21</v>
      </c>
      <c r="O851" s="10">
        <f>J851/160</f>
        <v/>
      </c>
      <c r="P851" s="10" t="n">
        <v>200</v>
      </c>
      <c r="Q851" s="10">
        <f>L851+M851+N851+O851-P851</f>
        <v/>
      </c>
      <c r="R851" s="11">
        <f>T850</f>
        <v/>
      </c>
      <c r="S851" s="11">
        <f>N(V851) + N(X851) + N(Z851)</f>
        <v/>
      </c>
      <c r="T851" s="11">
        <f>R851+P851-S851</f>
        <v/>
      </c>
      <c r="U851" s="11" t="inlineStr">
        <is>
          <t>是</t>
        </is>
      </c>
      <c r="V851" s="11" t="n">
        <v>46</v>
      </c>
      <c r="W851" s="11" t="inlineStr">
        <is>
          <t>是</t>
        </is>
      </c>
      <c r="X851" s="11" t="n">
        <v>53</v>
      </c>
      <c r="Y851" s="11" t="inlineStr">
        <is>
          <t>歪(47), UP(38)</t>
        </is>
      </c>
      <c r="Z851" s="11" t="n">
        <v>85</v>
      </c>
      <c r="AA851" s="11" t="inlineStr">
        <is>
          <t>冲刺200(动态100)</t>
        </is>
      </c>
      <c r="AB851" s="12">
        <f>AE850</f>
        <v/>
      </c>
      <c r="AC851" s="12" t="n">
        <v>0</v>
      </c>
      <c r="AD851" s="12" t="n">
        <v>1</v>
      </c>
      <c r="AE851" s="12">
        <f>AB851+AC851+AD851</f>
        <v/>
      </c>
      <c r="AF851" s="13">
        <f>AI850</f>
        <v/>
      </c>
      <c r="AG851" s="13" t="n">
        <v>0</v>
      </c>
      <c r="AH851" s="13" t="n">
        <v>5000</v>
      </c>
      <c r="AI851" s="13">
        <f>AF851+AG851+AH851</f>
        <v/>
      </c>
      <c r="AJ851" s="14" t="n">
        <v>30</v>
      </c>
      <c r="AK851" s="14" t="n">
        <v>0</v>
      </c>
      <c r="AL851" s="14" t="n">
        <v>0</v>
      </c>
      <c r="AM851" s="14">
        <f>AJ851+AK851+AL851</f>
        <v/>
      </c>
      <c r="AN851" s="14">
        <f>AN850+AM851</f>
        <v/>
      </c>
    </row>
    <row r="852">
      <c r="A852" s="8" t="n">
        <v>33</v>
      </c>
      <c r="B852" s="8" t="n">
        <v>10</v>
      </c>
      <c r="C852" s="8" t="n">
        <v>1</v>
      </c>
      <c r="D852" s="8" t="inlineStr">
        <is>
          <t>版本免费+义相逢 + 月卡收益</t>
        </is>
      </c>
      <c r="E852" s="9">
        <f>K851</f>
        <v/>
      </c>
      <c r="F852" s="9" t="n">
        <v>1540</v>
      </c>
      <c r="G852" s="9" t="n">
        <v>4800</v>
      </c>
      <c r="H852" s="9" t="n">
        <v>0</v>
      </c>
      <c r="I852" s="9" t="n">
        <v>0</v>
      </c>
      <c r="J852" s="9" t="n">
        <v>0</v>
      </c>
      <c r="K852" s="9">
        <f>E852+F852+G852+H852+I852-J852</f>
        <v/>
      </c>
      <c r="L852" s="10">
        <f>Q851</f>
        <v/>
      </c>
      <c r="M852" s="10" t="n">
        <v>85</v>
      </c>
      <c r="N852" s="10" t="n">
        <v>3</v>
      </c>
      <c r="O852" s="10">
        <f>J852/160</f>
        <v/>
      </c>
      <c r="P852" s="10" t="n">
        <v>40</v>
      </c>
      <c r="Q852" s="10">
        <f>L852+M852+N852+O852-P852</f>
        <v/>
      </c>
      <c r="R852" s="11">
        <f>T851</f>
        <v/>
      </c>
      <c r="S852" s="11">
        <f>N(V852) + N(X852) + N(Z852)</f>
        <v/>
      </c>
      <c r="T852" s="11">
        <f>R852+P852-S852</f>
        <v/>
      </c>
      <c r="U852" s="11" t="inlineStr">
        <is>
          <t>是</t>
        </is>
      </c>
      <c r="V852" s="11" t="n">
        <v>49</v>
      </c>
      <c r="W852" s="11" t="inlineStr">
        <is>
          <t>否</t>
        </is>
      </c>
      <c r="X852" s="11" t="inlineStr">
        <is>
          <t>-</t>
        </is>
      </c>
      <c r="Y852" s="11" t="inlineStr">
        <is>
          <t>-</t>
        </is>
      </c>
      <c r="Z852" s="11" t="n">
        <v>0</v>
      </c>
      <c r="AA852" s="11" t="inlineStr">
        <is>
          <t>无</t>
        </is>
      </c>
      <c r="AB852" s="12">
        <f>AE851</f>
        <v/>
      </c>
      <c r="AC852" s="12" t="n">
        <v>4</v>
      </c>
      <c r="AD852" s="12" t="n">
        <v>0</v>
      </c>
      <c r="AE852" s="12">
        <f>AB852+AC852+AD852</f>
        <v/>
      </c>
      <c r="AF852" s="13">
        <f>AI851</f>
        <v/>
      </c>
      <c r="AG852" s="13" t="n">
        <v>0</v>
      </c>
      <c r="AH852" s="13" t="n">
        <v>0</v>
      </c>
      <c r="AI852" s="13">
        <f>AF852+AG852+AH852</f>
        <v/>
      </c>
      <c r="AJ852" s="14" t="n">
        <v>0</v>
      </c>
      <c r="AK852" s="14" t="n">
        <v>50</v>
      </c>
      <c r="AL852" s="14" t="n">
        <v>0</v>
      </c>
      <c r="AM852" s="14">
        <f>AJ852+AK852+AL852</f>
        <v/>
      </c>
      <c r="AN852" s="14">
        <f>AN851+AM852</f>
        <v/>
      </c>
    </row>
    <row r="853">
      <c r="A853" s="8" t="n">
        <v>33</v>
      </c>
      <c r="B853" s="8" t="n">
        <v>10</v>
      </c>
      <c r="C853" s="8" t="n">
        <v>2</v>
      </c>
      <c r="D853" s="8" t="inlineStr">
        <is>
          <t>月卡收益 [月卡续费-30元]</t>
        </is>
      </c>
      <c r="E853" s="9">
        <f>K852</f>
        <v/>
      </c>
      <c r="F853" s="9" t="n">
        <v>1540</v>
      </c>
      <c r="G853" s="9" t="n">
        <v>0</v>
      </c>
      <c r="H853" s="9" t="n">
        <v>0</v>
      </c>
      <c r="I853" s="9" t="n">
        <v>0</v>
      </c>
      <c r="J853" s="9" t="n">
        <v>1440</v>
      </c>
      <c r="K853" s="9">
        <f>E853+F853+G853+H853+I853-J853</f>
        <v/>
      </c>
      <c r="L853" s="10">
        <f>Q852</f>
        <v/>
      </c>
      <c r="M853" s="10" t="n">
        <v>0</v>
      </c>
      <c r="N853" s="10" t="n">
        <v>6</v>
      </c>
      <c r="O853" s="10">
        <f>J853/160</f>
        <v/>
      </c>
      <c r="P853" s="10" t="n">
        <v>60</v>
      </c>
      <c r="Q853" s="10">
        <f>L853+M853+N853+O853-P853</f>
        <v/>
      </c>
      <c r="R853" s="11">
        <f>T852</f>
        <v/>
      </c>
      <c r="S853" s="11">
        <f>N(V853) + N(X853) + N(Z853)</f>
        <v/>
      </c>
      <c r="T853" s="11">
        <f>R853+P853-S853</f>
        <v/>
      </c>
      <c r="U853" s="11" t="inlineStr">
        <is>
          <t>是</t>
        </is>
      </c>
      <c r="V853" s="11" t="n">
        <v>51</v>
      </c>
      <c r="W853" s="11" t="inlineStr">
        <is>
          <t>否</t>
        </is>
      </c>
      <c r="X853" s="11" t="inlineStr">
        <is>
          <t>-</t>
        </is>
      </c>
      <c r="Y853" s="11" t="inlineStr">
        <is>
          <t>-</t>
        </is>
      </c>
      <c r="Z853" s="11" t="n">
        <v>0</v>
      </c>
      <c r="AA853" s="11" t="inlineStr">
        <is>
          <t>垫到60抽</t>
        </is>
      </c>
      <c r="AB853" s="12">
        <f>AE852</f>
        <v/>
      </c>
      <c r="AC853" s="12" t="n">
        <v>0</v>
      </c>
      <c r="AD853" s="12" t="n">
        <v>0</v>
      </c>
      <c r="AE853" s="12">
        <f>AB853+AC853+AD853</f>
        <v/>
      </c>
      <c r="AF853" s="13">
        <f>AI852</f>
        <v/>
      </c>
      <c r="AG853" s="13" t="n">
        <v>0</v>
      </c>
      <c r="AH853" s="13" t="n">
        <v>0</v>
      </c>
      <c r="AI853" s="13">
        <f>AF853+AG853+AH853</f>
        <v/>
      </c>
      <c r="AJ853" s="14" t="n">
        <v>30</v>
      </c>
      <c r="AK853" s="14" t="n">
        <v>0</v>
      </c>
      <c r="AL853" s="14" t="n">
        <v>0</v>
      </c>
      <c r="AM853" s="14">
        <f>AJ853+AK853+AL853</f>
        <v/>
      </c>
      <c r="AN853" s="14">
        <f>AN852+AM853</f>
        <v/>
      </c>
    </row>
    <row r="854">
      <c r="A854" s="8" t="n">
        <v>33</v>
      </c>
      <c r="B854" s="8" t="n">
        <v>11</v>
      </c>
      <c r="C854" s="8" t="n">
        <v>1</v>
      </c>
      <c r="D854" s="8" t="inlineStr">
        <is>
          <t>版本免费+义相逢 + 月卡收益</t>
        </is>
      </c>
      <c r="E854" s="9">
        <f>K853</f>
        <v/>
      </c>
      <c r="F854" s="9" t="n">
        <v>1540</v>
      </c>
      <c r="G854" s="9" t="n">
        <v>4800</v>
      </c>
      <c r="H854" s="9" t="n">
        <v>0</v>
      </c>
      <c r="I854" s="9" t="n">
        <v>0</v>
      </c>
      <c r="J854" s="9" t="n">
        <v>0</v>
      </c>
      <c r="K854" s="9">
        <f>E854+F854+G854+H854+I854-J854</f>
        <v/>
      </c>
      <c r="L854" s="10">
        <f>Q853</f>
        <v/>
      </c>
      <c r="M854" s="10" t="n">
        <v>85</v>
      </c>
      <c r="N854" s="10" t="n">
        <v>11</v>
      </c>
      <c r="O854" s="10">
        <f>J854/160</f>
        <v/>
      </c>
      <c r="P854" s="10" t="n">
        <v>90</v>
      </c>
      <c r="Q854" s="10">
        <f>L854+M854+N854+O854-P854</f>
        <v/>
      </c>
      <c r="R854" s="11">
        <f>T853</f>
        <v/>
      </c>
      <c r="S854" s="11">
        <f>N(V854) + N(X854) + N(Z854)</f>
        <v/>
      </c>
      <c r="T854" s="11">
        <f>R854+P854-S854</f>
        <v/>
      </c>
      <c r="U854" s="11" t="inlineStr">
        <is>
          <t>是</t>
        </is>
      </c>
      <c r="V854" s="11" t="n">
        <v>48</v>
      </c>
      <c r="W854" s="11" t="inlineStr">
        <is>
          <t>是</t>
        </is>
      </c>
      <c r="X854" s="11" t="n">
        <v>50</v>
      </c>
      <c r="Y854" s="11" t="inlineStr">
        <is>
          <t>-</t>
        </is>
      </c>
      <c r="Z854" s="11" t="n">
        <v>0</v>
      </c>
      <c r="AA854" s="11" t="inlineStr">
        <is>
          <t>垫到90抽</t>
        </is>
      </c>
      <c r="AB854" s="12">
        <f>AE853</f>
        <v/>
      </c>
      <c r="AC854" s="12" t="n">
        <v>4</v>
      </c>
      <c r="AD854" s="12" t="n">
        <v>0</v>
      </c>
      <c r="AE854" s="12">
        <f>AB854+AC854+AD854</f>
        <v/>
      </c>
      <c r="AF854" s="13">
        <f>AI853</f>
        <v/>
      </c>
      <c r="AG854" s="13" t="n">
        <v>0</v>
      </c>
      <c r="AH854" s="13" t="n">
        <v>0</v>
      </c>
      <c r="AI854" s="13">
        <f>AF854+AG854+AH854</f>
        <v/>
      </c>
      <c r="AJ854" s="14" t="n">
        <v>0</v>
      </c>
      <c r="AK854" s="14" t="n">
        <v>50</v>
      </c>
      <c r="AL854" s="14" t="n">
        <v>0</v>
      </c>
      <c r="AM854" s="14">
        <f>AJ854+AK854+AL854</f>
        <v/>
      </c>
      <c r="AN854" s="14">
        <f>AN853+AM854</f>
        <v/>
      </c>
    </row>
    <row r="855">
      <c r="A855" s="8" t="n">
        <v>33</v>
      </c>
      <c r="B855" s="8" t="n">
        <v>11</v>
      </c>
      <c r="C855" s="8" t="n">
        <v>2</v>
      </c>
      <c r="D855" s="8" t="inlineStr">
        <is>
          <t>月卡收益 [月卡续费-30元]</t>
        </is>
      </c>
      <c r="E855" s="9">
        <f>K854</f>
        <v/>
      </c>
      <c r="F855" s="9" t="n">
        <v>1540</v>
      </c>
      <c r="G855" s="9" t="n">
        <v>0</v>
      </c>
      <c r="H855" s="9" t="n">
        <v>0</v>
      </c>
      <c r="I855" s="9" t="n">
        <v>0</v>
      </c>
      <c r="J855" s="9" t="n">
        <v>7680</v>
      </c>
      <c r="K855" s="9">
        <f>E855+F855+G855+H855+I855-J855</f>
        <v/>
      </c>
      <c r="L855" s="10">
        <f>Q854</f>
        <v/>
      </c>
      <c r="M855" s="10" t="n">
        <v>0</v>
      </c>
      <c r="N855" s="10" t="n">
        <v>6</v>
      </c>
      <c r="O855" s="10">
        <f>J855/160</f>
        <v/>
      </c>
      <c r="P855" s="10" t="n">
        <v>60</v>
      </c>
      <c r="Q855" s="10">
        <f>L855+M855+N855+O855-P855</f>
        <v/>
      </c>
      <c r="R855" s="11">
        <f>T854</f>
        <v/>
      </c>
      <c r="S855" s="11">
        <f>N(V855) + N(X855) + N(Z855)</f>
        <v/>
      </c>
      <c r="T855" s="11">
        <f>R855+P855-S855</f>
        <v/>
      </c>
      <c r="U855" s="11" t="inlineStr">
        <is>
          <t>是</t>
        </is>
      </c>
      <c r="V855" s="11" t="n">
        <v>51</v>
      </c>
      <c r="W855" s="11" t="inlineStr">
        <is>
          <t>否</t>
        </is>
      </c>
      <c r="X855" s="11" t="inlineStr">
        <is>
          <t>-</t>
        </is>
      </c>
      <c r="Y855" s="11" t="inlineStr">
        <is>
          <t>-</t>
        </is>
      </c>
      <c r="Z855" s="11" t="n">
        <v>0</v>
      </c>
      <c r="AA855" s="11" t="inlineStr">
        <is>
          <t>垫到60抽</t>
        </is>
      </c>
      <c r="AB855" s="12">
        <f>AE854</f>
        <v/>
      </c>
      <c r="AC855" s="12" t="n">
        <v>0</v>
      </c>
      <c r="AD855" s="12" t="n">
        <v>0</v>
      </c>
      <c r="AE855" s="12">
        <f>AB855+AC855+AD855</f>
        <v/>
      </c>
      <c r="AF855" s="13">
        <f>AI854</f>
        <v/>
      </c>
      <c r="AG855" s="13" t="n">
        <v>0</v>
      </c>
      <c r="AH855" s="13" t="n">
        <v>0</v>
      </c>
      <c r="AI855" s="13">
        <f>AF855+AG855+AH855</f>
        <v/>
      </c>
      <c r="AJ855" s="14" t="n">
        <v>30</v>
      </c>
      <c r="AK855" s="14" t="n">
        <v>0</v>
      </c>
      <c r="AL855" s="14" t="n">
        <v>0</v>
      </c>
      <c r="AM855" s="14">
        <f>AJ855+AK855+AL855</f>
        <v/>
      </c>
      <c r="AN855" s="14">
        <f>AN854+AM855</f>
        <v/>
      </c>
    </row>
    <row r="856">
      <c r="A856" s="8" t="n">
        <v>33</v>
      </c>
      <c r="B856" s="8" t="n">
        <v>12</v>
      </c>
      <c r="C856" s="8" t="n">
        <v>1</v>
      </c>
      <c r="D856" s="8" t="inlineStr">
        <is>
          <t>版本免费+义相逢 + 月卡收益</t>
        </is>
      </c>
      <c r="E856" s="9">
        <f>K855</f>
        <v/>
      </c>
      <c r="F856" s="9" t="n">
        <v>1540</v>
      </c>
      <c r="G856" s="9" t="n">
        <v>4800</v>
      </c>
      <c r="H856" s="9" t="n">
        <v>0</v>
      </c>
      <c r="I856" s="9" t="n">
        <v>0</v>
      </c>
      <c r="J856" s="9" t="n">
        <v>0</v>
      </c>
      <c r="K856" s="9">
        <f>E856+F856+G856+H856+I856-J856</f>
        <v/>
      </c>
      <c r="L856" s="10">
        <f>Q855</f>
        <v/>
      </c>
      <c r="M856" s="10" t="n">
        <v>85</v>
      </c>
      <c r="N856" s="10" t="n">
        <v>3</v>
      </c>
      <c r="O856" s="10">
        <f>J856/160</f>
        <v/>
      </c>
      <c r="P856" s="10" t="n">
        <v>40</v>
      </c>
      <c r="Q856" s="10">
        <f>L856+M856+N856+O856-P856</f>
        <v/>
      </c>
      <c r="R856" s="11">
        <f>T855</f>
        <v/>
      </c>
      <c r="S856" s="11">
        <f>N(V856) + N(X856) + N(Z856)</f>
        <v/>
      </c>
      <c r="T856" s="11">
        <f>R856+P856-S856</f>
        <v/>
      </c>
      <c r="U856" s="11" t="inlineStr">
        <is>
          <t>是</t>
        </is>
      </c>
      <c r="V856" s="11" t="n">
        <v>55</v>
      </c>
      <c r="W856" s="11" t="inlineStr">
        <is>
          <t>否</t>
        </is>
      </c>
      <c r="X856" s="11" t="inlineStr">
        <is>
          <t>-</t>
        </is>
      </c>
      <c r="Y856" s="11" t="inlineStr">
        <is>
          <t>-</t>
        </is>
      </c>
      <c r="Z856" s="11" t="n">
        <v>0</v>
      </c>
      <c r="AA856" s="11" t="inlineStr">
        <is>
          <t>无</t>
        </is>
      </c>
      <c r="AB856" s="12">
        <f>AE855</f>
        <v/>
      </c>
      <c r="AC856" s="12" t="n">
        <v>4</v>
      </c>
      <c r="AD856" s="12" t="n">
        <v>0</v>
      </c>
      <c r="AE856" s="12">
        <f>AB856+AC856+AD856</f>
        <v/>
      </c>
      <c r="AF856" s="13">
        <f>AI855</f>
        <v/>
      </c>
      <c r="AG856" s="13" t="n">
        <v>0</v>
      </c>
      <c r="AH856" s="13" t="n">
        <v>0</v>
      </c>
      <c r="AI856" s="13">
        <f>AF856+AG856+AH856</f>
        <v/>
      </c>
      <c r="AJ856" s="14" t="n">
        <v>0</v>
      </c>
      <c r="AK856" s="14" t="n">
        <v>50</v>
      </c>
      <c r="AL856" s="14" t="n">
        <v>0</v>
      </c>
      <c r="AM856" s="14">
        <f>AJ856+AK856+AL856</f>
        <v/>
      </c>
      <c r="AN856" s="14">
        <f>AN855+AM856</f>
        <v/>
      </c>
    </row>
    <row r="857">
      <c r="A857" s="8" t="n">
        <v>33</v>
      </c>
      <c r="B857" s="8" t="n">
        <v>12</v>
      </c>
      <c r="C857" s="8" t="n">
        <v>2</v>
      </c>
      <c r="D857" s="8" t="inlineStr">
        <is>
          <t>月卡收益</t>
        </is>
      </c>
      <c r="E857" s="9">
        <f>K856</f>
        <v/>
      </c>
      <c r="F857" s="9" t="n">
        <v>1540</v>
      </c>
      <c r="G857" s="9" t="n">
        <v>0</v>
      </c>
      <c r="H857" s="9" t="n">
        <v>0</v>
      </c>
      <c r="I857" s="9" t="n">
        <v>0</v>
      </c>
      <c r="J857" s="9" t="n">
        <v>960</v>
      </c>
      <c r="K857" s="9">
        <f>E857+F857+G857+H857+I857-J857</f>
        <v/>
      </c>
      <c r="L857" s="10">
        <f>Q856</f>
        <v/>
      </c>
      <c r="M857" s="10" t="n">
        <v>0</v>
      </c>
      <c r="N857" s="10" t="n">
        <v>6</v>
      </c>
      <c r="O857" s="10">
        <f>J857/160</f>
        <v/>
      </c>
      <c r="P857" s="10" t="n">
        <v>60</v>
      </c>
      <c r="Q857" s="10">
        <f>L857+M857+N857+O857-P857</f>
        <v/>
      </c>
      <c r="R857" s="11">
        <f>T856</f>
        <v/>
      </c>
      <c r="S857" s="11">
        <f>N(V857) + N(X857) + N(Z857)</f>
        <v/>
      </c>
      <c r="T857" s="11">
        <f>R857+P857-S857</f>
        <v/>
      </c>
      <c r="U857" s="11" t="inlineStr">
        <is>
          <t>是</t>
        </is>
      </c>
      <c r="V857" s="11" t="n">
        <v>51</v>
      </c>
      <c r="W857" s="11" t="inlineStr">
        <is>
          <t>否</t>
        </is>
      </c>
      <c r="X857" s="11" t="inlineStr">
        <is>
          <t>-</t>
        </is>
      </c>
      <c r="Y857" s="11" t="inlineStr">
        <is>
          <t>-</t>
        </is>
      </c>
      <c r="Z857" s="11" t="n">
        <v>0</v>
      </c>
      <c r="AA857" s="11" t="inlineStr">
        <is>
          <t>垫到60抽</t>
        </is>
      </c>
      <c r="AB857" s="12">
        <f>AE856</f>
        <v/>
      </c>
      <c r="AC857" s="12" t="n">
        <v>0</v>
      </c>
      <c r="AD857" s="12" t="n">
        <v>0</v>
      </c>
      <c r="AE857" s="12">
        <f>AB857+AC857+AD857</f>
        <v/>
      </c>
      <c r="AF857" s="13">
        <f>AI856</f>
        <v/>
      </c>
      <c r="AG857" s="13" t="n">
        <v>0</v>
      </c>
      <c r="AH857" s="13" t="n">
        <v>0</v>
      </c>
      <c r="AI857" s="13">
        <f>AF857+AG857+AH857</f>
        <v/>
      </c>
      <c r="AJ857" s="14" t="n">
        <v>0</v>
      </c>
      <c r="AK857" s="14" t="n">
        <v>0</v>
      </c>
      <c r="AL857" s="14" t="n">
        <v>0</v>
      </c>
      <c r="AM857" s="14">
        <f>AJ857+AK857+AL857</f>
        <v/>
      </c>
      <c r="AN857" s="14">
        <f>AN856+AM857</f>
        <v/>
      </c>
    </row>
    <row r="858">
      <c r="A858" s="8" t="n">
        <v>33</v>
      </c>
      <c r="B858" s="8" t="n">
        <v>13</v>
      </c>
      <c r="C858" s="8" t="n">
        <v>1</v>
      </c>
      <c r="D858" s="8" t="inlineStr">
        <is>
          <t>版本免费+义相逢 + 月卡收益 [月卡续费-30元]</t>
        </is>
      </c>
      <c r="E858" s="9">
        <f>K857</f>
        <v/>
      </c>
      <c r="F858" s="9" t="n">
        <v>1540</v>
      </c>
      <c r="G858" s="9" t="n">
        <v>4800</v>
      </c>
      <c r="H858" s="9" t="n">
        <v>0</v>
      </c>
      <c r="I858" s="9" t="n">
        <v>0</v>
      </c>
      <c r="J858" s="9" t="n">
        <v>0</v>
      </c>
      <c r="K858" s="9">
        <f>E858+F858+G858+H858+I858-J858</f>
        <v/>
      </c>
      <c r="L858" s="10">
        <f>Q857</f>
        <v/>
      </c>
      <c r="M858" s="10" t="n">
        <v>85</v>
      </c>
      <c r="N858" s="10" t="n">
        <v>3</v>
      </c>
      <c r="O858" s="10">
        <f>J858/160</f>
        <v/>
      </c>
      <c r="P858" s="10" t="n">
        <v>40</v>
      </c>
      <c r="Q858" s="10">
        <f>L858+M858+N858+O858-P858</f>
        <v/>
      </c>
      <c r="R858" s="11">
        <f>T857</f>
        <v/>
      </c>
      <c r="S858" s="11">
        <f>N(V858) + N(X858) + N(Z858)</f>
        <v/>
      </c>
      <c r="T858" s="11">
        <f>R858+P858-S858</f>
        <v/>
      </c>
      <c r="U858" s="11" t="inlineStr">
        <is>
          <t>是</t>
        </is>
      </c>
      <c r="V858" s="11" t="n">
        <v>46</v>
      </c>
      <c r="W858" s="11" t="inlineStr">
        <is>
          <t>否</t>
        </is>
      </c>
      <c r="X858" s="11" t="inlineStr">
        <is>
          <t>-</t>
        </is>
      </c>
      <c r="Y858" s="11" t="inlineStr">
        <is>
          <t>-</t>
        </is>
      </c>
      <c r="Z858" s="11" t="n">
        <v>0</v>
      </c>
      <c r="AA858" s="11" t="inlineStr">
        <is>
          <t>无</t>
        </is>
      </c>
      <c r="AB858" s="12">
        <f>AE857</f>
        <v/>
      </c>
      <c r="AC858" s="12" t="n">
        <v>4</v>
      </c>
      <c r="AD858" s="12" t="n">
        <v>0</v>
      </c>
      <c r="AE858" s="12">
        <f>AB858+AC858+AD858</f>
        <v/>
      </c>
      <c r="AF858" s="13">
        <f>AI857</f>
        <v/>
      </c>
      <c r="AG858" s="13" t="n">
        <v>0</v>
      </c>
      <c r="AH858" s="13" t="n">
        <v>0</v>
      </c>
      <c r="AI858" s="13">
        <f>AF858+AG858+AH858</f>
        <v/>
      </c>
      <c r="AJ858" s="14" t="n">
        <v>30</v>
      </c>
      <c r="AK858" s="14" t="n">
        <v>50</v>
      </c>
      <c r="AL858" s="14" t="n">
        <v>0</v>
      </c>
      <c r="AM858" s="14">
        <f>AJ858+AK858+AL858</f>
        <v/>
      </c>
      <c r="AN858" s="14">
        <f>AN857+AM858</f>
        <v/>
      </c>
    </row>
    <row r="859">
      <c r="A859" s="8" t="n">
        <v>33</v>
      </c>
      <c r="B859" s="8" t="n">
        <v>13</v>
      </c>
      <c r="C859" s="8" t="n">
        <v>2</v>
      </c>
      <c r="D859" s="8" t="inlineStr">
        <is>
          <t>月卡收益</t>
        </is>
      </c>
      <c r="E859" s="9">
        <f>K858</f>
        <v/>
      </c>
      <c r="F859" s="9" t="n">
        <v>1540</v>
      </c>
      <c r="G859" s="9" t="n">
        <v>0</v>
      </c>
      <c r="H859" s="9" t="n">
        <v>0</v>
      </c>
      <c r="I859" s="9" t="n">
        <v>0</v>
      </c>
      <c r="J859" s="9" t="n">
        <v>20480</v>
      </c>
      <c r="K859" s="9">
        <f>E859+F859+G859+H859+I859-J859</f>
        <v/>
      </c>
      <c r="L859" s="10">
        <f>Q858</f>
        <v/>
      </c>
      <c r="M859" s="10" t="n">
        <v>0</v>
      </c>
      <c r="N859" s="10" t="n">
        <v>21</v>
      </c>
      <c r="O859" s="10">
        <f>J859/160</f>
        <v/>
      </c>
      <c r="P859" s="10" t="n">
        <v>200</v>
      </c>
      <c r="Q859" s="10">
        <f>L859+M859+N859+O859-P859</f>
        <v/>
      </c>
      <c r="R859" s="11">
        <f>T858</f>
        <v/>
      </c>
      <c r="S859" s="11">
        <f>N(V859) + N(X859) + N(Z859)</f>
        <v/>
      </c>
      <c r="T859" s="11">
        <f>R859+P859-S859</f>
        <v/>
      </c>
      <c r="U859" s="11" t="inlineStr">
        <is>
          <t>是</t>
        </is>
      </c>
      <c r="V859" s="11" t="n">
        <v>49</v>
      </c>
      <c r="W859" s="11" t="inlineStr">
        <is>
          <t>是</t>
        </is>
      </c>
      <c r="X859" s="11" t="n">
        <v>51</v>
      </c>
      <c r="Y859" s="11" t="inlineStr">
        <is>
          <t>UP(48), 歪(48)</t>
        </is>
      </c>
      <c r="Z859" s="11" t="n">
        <v>96</v>
      </c>
      <c r="AA859" s="11" t="inlineStr">
        <is>
          <t>冲刺200(动态100)</t>
        </is>
      </c>
      <c r="AB859" s="12">
        <f>AE858</f>
        <v/>
      </c>
      <c r="AC859" s="12" t="n">
        <v>0</v>
      </c>
      <c r="AD859" s="12" t="n">
        <v>1</v>
      </c>
      <c r="AE859" s="12">
        <f>AB859+AC859+AD859</f>
        <v/>
      </c>
      <c r="AF859" s="13">
        <f>AI858</f>
        <v/>
      </c>
      <c r="AG859" s="13" t="n">
        <v>0</v>
      </c>
      <c r="AH859" s="13" t="n">
        <v>5000</v>
      </c>
      <c r="AI859" s="13">
        <f>AF859+AG859+AH859</f>
        <v/>
      </c>
      <c r="AJ859" s="14" t="n">
        <v>0</v>
      </c>
      <c r="AK859" s="14" t="n">
        <v>0</v>
      </c>
      <c r="AL859" s="14" t="n">
        <v>0</v>
      </c>
      <c r="AM859" s="14">
        <f>AJ859+AK859+AL859</f>
        <v/>
      </c>
      <c r="AN859" s="14">
        <f>AN858+AM859</f>
        <v/>
      </c>
    </row>
    <row r="860">
      <c r="A860" s="8" t="n">
        <v>34</v>
      </c>
      <c r="B860" s="8" t="n">
        <v>1</v>
      </c>
      <c r="C860" s="8" t="n">
        <v>1</v>
      </c>
      <c r="D860" s="8" t="inlineStr">
        <is>
          <t>版本免费+义相逢 + 月卡收益 [月卡续费-30元]</t>
        </is>
      </c>
      <c r="E860" s="9" t="n">
        <v>20680</v>
      </c>
      <c r="F860" s="9" t="n">
        <v>1540</v>
      </c>
      <c r="G860" s="9" t="n">
        <v>4800</v>
      </c>
      <c r="H860" s="9" t="n">
        <v>0</v>
      </c>
      <c r="I860" s="9" t="n">
        <v>0</v>
      </c>
      <c r="J860" s="9" t="n">
        <v>0</v>
      </c>
      <c r="K860" s="9">
        <f>E860+F860+G860+H860+I860-J860</f>
        <v/>
      </c>
      <c r="L860" s="10" t="n">
        <v>0</v>
      </c>
      <c r="M860" s="10" t="n">
        <v>85</v>
      </c>
      <c r="N860" s="10" t="n">
        <v>3</v>
      </c>
      <c r="O860" s="10">
        <f>J860/160</f>
        <v/>
      </c>
      <c r="P860" s="10" t="n">
        <v>40</v>
      </c>
      <c r="Q860" s="10">
        <f>L860+M860+N860+O860-P860</f>
        <v/>
      </c>
      <c r="R860" s="11" t="n">
        <v>11</v>
      </c>
      <c r="S860" s="11">
        <f>N(V860) + N(X860) + N(Z860)</f>
        <v/>
      </c>
      <c r="T860" s="11">
        <f>R860+P860-S860</f>
        <v/>
      </c>
      <c r="U860" s="11" t="inlineStr">
        <is>
          <t>是</t>
        </is>
      </c>
      <c r="V860" s="11" t="n">
        <v>48</v>
      </c>
      <c r="W860" s="11" t="inlineStr">
        <is>
          <t>否</t>
        </is>
      </c>
      <c r="X860" s="11" t="inlineStr">
        <is>
          <t>-</t>
        </is>
      </c>
      <c r="Y860" s="11" t="inlineStr">
        <is>
          <t>-</t>
        </is>
      </c>
      <c r="Z860" s="11" t="n">
        <v>0</v>
      </c>
      <c r="AA860" s="11" t="inlineStr">
        <is>
          <t>无</t>
        </is>
      </c>
      <c r="AB860" s="12" t="n">
        <v>1772</v>
      </c>
      <c r="AC860" s="12" t="n">
        <v>4</v>
      </c>
      <c r="AD860" s="12" t="n">
        <v>0</v>
      </c>
      <c r="AE860" s="12">
        <f>AB860+AC860+AD860</f>
        <v/>
      </c>
      <c r="AF860" s="13" t="n">
        <v>280000</v>
      </c>
      <c r="AG860" s="13" t="n">
        <v>0</v>
      </c>
      <c r="AH860" s="13" t="n">
        <v>0</v>
      </c>
      <c r="AI860" s="13">
        <f>AF860+AG860+AH860</f>
        <v/>
      </c>
      <c r="AJ860" s="14" t="n">
        <v>30</v>
      </c>
      <c r="AK860" s="14" t="n">
        <v>50</v>
      </c>
      <c r="AL860" s="14" t="n">
        <v>0</v>
      </c>
      <c r="AM860" s="14">
        <f>AJ860+AK860+AL860</f>
        <v/>
      </c>
      <c r="AN860" s="14">
        <f>AM860</f>
        <v/>
      </c>
    </row>
    <row r="861">
      <c r="A861" s="8" t="n">
        <v>34</v>
      </c>
      <c r="B861" s="8" t="n">
        <v>1</v>
      </c>
      <c r="C861" s="8" t="n">
        <v>2</v>
      </c>
      <c r="D861" s="8" t="inlineStr">
        <is>
          <t>月卡收益</t>
        </is>
      </c>
      <c r="E861" s="9">
        <f>K860</f>
        <v/>
      </c>
      <c r="F861" s="9" t="n">
        <v>1540</v>
      </c>
      <c r="G861" s="9" t="n">
        <v>0</v>
      </c>
      <c r="H861" s="9" t="n">
        <v>0</v>
      </c>
      <c r="I861" s="9" t="n">
        <v>0</v>
      </c>
      <c r="J861" s="9" t="n">
        <v>1440</v>
      </c>
      <c r="K861" s="9">
        <f>E861+F861+G861+H861+I861-J861</f>
        <v/>
      </c>
      <c r="L861" s="10">
        <f>Q860</f>
        <v/>
      </c>
      <c r="M861" s="10" t="n">
        <v>0</v>
      </c>
      <c r="N861" s="10" t="n">
        <v>6</v>
      </c>
      <c r="O861" s="10">
        <f>J861/160</f>
        <v/>
      </c>
      <c r="P861" s="10" t="n">
        <v>60</v>
      </c>
      <c r="Q861" s="10">
        <f>L861+M861+N861+O861-P861</f>
        <v/>
      </c>
      <c r="R861" s="11">
        <f>T860</f>
        <v/>
      </c>
      <c r="S861" s="11">
        <f>N(V861) + N(X861) + N(Z861)</f>
        <v/>
      </c>
      <c r="T861" s="11">
        <f>R861+P861-S861</f>
        <v/>
      </c>
      <c r="U861" s="11" t="inlineStr">
        <is>
          <t>是</t>
        </is>
      </c>
      <c r="V861" s="11" t="n">
        <v>50</v>
      </c>
      <c r="W861" s="11" t="inlineStr">
        <is>
          <t>否</t>
        </is>
      </c>
      <c r="X861" s="11" t="inlineStr">
        <is>
          <t>-</t>
        </is>
      </c>
      <c r="Y861" s="11" t="inlineStr">
        <is>
          <t>-</t>
        </is>
      </c>
      <c r="Z861" s="11" t="n">
        <v>0</v>
      </c>
      <c r="AA861" s="11" t="inlineStr">
        <is>
          <t>垫到60抽</t>
        </is>
      </c>
      <c r="AB861" s="12">
        <f>AE860</f>
        <v/>
      </c>
      <c r="AC861" s="12" t="n">
        <v>0</v>
      </c>
      <c r="AD861" s="12" t="n">
        <v>0</v>
      </c>
      <c r="AE861" s="12">
        <f>AB861+AC861+AD861</f>
        <v/>
      </c>
      <c r="AF861" s="13">
        <f>AI860</f>
        <v/>
      </c>
      <c r="AG861" s="13" t="n">
        <v>0</v>
      </c>
      <c r="AH861" s="13" t="n">
        <v>0</v>
      </c>
      <c r="AI861" s="13">
        <f>AF861+AG861+AH861</f>
        <v/>
      </c>
      <c r="AJ861" s="14" t="n">
        <v>0</v>
      </c>
      <c r="AK861" s="14" t="n">
        <v>0</v>
      </c>
      <c r="AL861" s="14" t="n">
        <v>0</v>
      </c>
      <c r="AM861" s="14">
        <f>AJ861+AK861+AL861</f>
        <v/>
      </c>
      <c r="AN861" s="14">
        <f>AN860+AM861</f>
        <v/>
      </c>
    </row>
    <row r="862">
      <c r="A862" s="8" t="n">
        <v>34</v>
      </c>
      <c r="B862" s="8" t="n">
        <v>2</v>
      </c>
      <c r="C862" s="8" t="n">
        <v>1</v>
      </c>
      <c r="D862" s="8" t="inlineStr">
        <is>
          <t>版本免费+义相逢 + 月卡收益 [月卡续费-30元]</t>
        </is>
      </c>
      <c r="E862" s="9">
        <f>K861</f>
        <v/>
      </c>
      <c r="F862" s="9" t="n">
        <v>1540</v>
      </c>
      <c r="G862" s="9" t="n">
        <v>4800</v>
      </c>
      <c r="H862" s="9" t="n">
        <v>0</v>
      </c>
      <c r="I862" s="9" t="n">
        <v>0</v>
      </c>
      <c r="J862" s="9" t="n">
        <v>0</v>
      </c>
      <c r="K862" s="9">
        <f>E862+F862+G862+H862+I862-J862</f>
        <v/>
      </c>
      <c r="L862" s="10">
        <f>Q861</f>
        <v/>
      </c>
      <c r="M862" s="10" t="n">
        <v>85</v>
      </c>
      <c r="N862" s="10" t="n">
        <v>11</v>
      </c>
      <c r="O862" s="10">
        <f>J862/160</f>
        <v/>
      </c>
      <c r="P862" s="10" t="n">
        <v>90</v>
      </c>
      <c r="Q862" s="10">
        <f>L862+M862+N862+O862-P862</f>
        <v/>
      </c>
      <c r="R862" s="11">
        <f>T861</f>
        <v/>
      </c>
      <c r="S862" s="11">
        <f>N(V862) + N(X862) + N(Z862)</f>
        <v/>
      </c>
      <c r="T862" s="11">
        <f>R862+P862-S862</f>
        <v/>
      </c>
      <c r="U862" s="11" t="inlineStr">
        <is>
          <t>是</t>
        </is>
      </c>
      <c r="V862" s="11" t="n">
        <v>47</v>
      </c>
      <c r="W862" s="11" t="inlineStr">
        <is>
          <t>是</t>
        </is>
      </c>
      <c r="X862" s="11" t="n">
        <v>50</v>
      </c>
      <c r="Y862" s="11" t="inlineStr">
        <is>
          <t>-</t>
        </is>
      </c>
      <c r="Z862" s="11" t="n">
        <v>0</v>
      </c>
      <c r="AA862" s="11" t="inlineStr">
        <is>
          <t>无</t>
        </is>
      </c>
      <c r="AB862" s="12">
        <f>AE861</f>
        <v/>
      </c>
      <c r="AC862" s="12" t="n">
        <v>4</v>
      </c>
      <c r="AD862" s="12" t="n">
        <v>0</v>
      </c>
      <c r="AE862" s="12">
        <f>AB862+AC862+AD862</f>
        <v/>
      </c>
      <c r="AF862" s="13">
        <f>AI861</f>
        <v/>
      </c>
      <c r="AG862" s="13" t="n">
        <v>0</v>
      </c>
      <c r="AH862" s="13" t="n">
        <v>0</v>
      </c>
      <c r="AI862" s="13">
        <f>AF862+AG862+AH862</f>
        <v/>
      </c>
      <c r="AJ862" s="14" t="n">
        <v>30</v>
      </c>
      <c r="AK862" s="14" t="n">
        <v>50</v>
      </c>
      <c r="AL862" s="14" t="n">
        <v>0</v>
      </c>
      <c r="AM862" s="14">
        <f>AJ862+AK862+AL862</f>
        <v/>
      </c>
      <c r="AN862" s="14">
        <f>AN861+AM862</f>
        <v/>
      </c>
    </row>
    <row r="863">
      <c r="A863" s="8" t="n">
        <v>34</v>
      </c>
      <c r="B863" s="8" t="n">
        <v>2</v>
      </c>
      <c r="C863" s="8" t="n">
        <v>2</v>
      </c>
      <c r="D863" s="8" t="inlineStr">
        <is>
          <t>月卡收益</t>
        </is>
      </c>
      <c r="E863" s="9">
        <f>K862</f>
        <v/>
      </c>
      <c r="F863" s="9" t="n">
        <v>1540</v>
      </c>
      <c r="G863" s="9" t="n">
        <v>0</v>
      </c>
      <c r="H863" s="9" t="n">
        <v>0</v>
      </c>
      <c r="I863" s="9" t="n">
        <v>0</v>
      </c>
      <c r="J863" s="9" t="n">
        <v>7680</v>
      </c>
      <c r="K863" s="9">
        <f>E863+F863+G863+H863+I863-J863</f>
        <v/>
      </c>
      <c r="L863" s="10">
        <f>Q862</f>
        <v/>
      </c>
      <c r="M863" s="10" t="n">
        <v>0</v>
      </c>
      <c r="N863" s="10" t="n">
        <v>6</v>
      </c>
      <c r="O863" s="10">
        <f>J863/160</f>
        <v/>
      </c>
      <c r="P863" s="10" t="n">
        <v>60</v>
      </c>
      <c r="Q863" s="10">
        <f>L863+M863+N863+O863-P863</f>
        <v/>
      </c>
      <c r="R863" s="11">
        <f>T862</f>
        <v/>
      </c>
      <c r="S863" s="11">
        <f>N(V863) + N(X863) + N(Z863)</f>
        <v/>
      </c>
      <c r="T863" s="11">
        <f>R863+P863-S863</f>
        <v/>
      </c>
      <c r="U863" s="11" t="inlineStr">
        <is>
          <t>是</t>
        </is>
      </c>
      <c r="V863" s="11" t="n">
        <v>51</v>
      </c>
      <c r="W863" s="11" t="inlineStr">
        <is>
          <t>否</t>
        </is>
      </c>
      <c r="X863" s="11" t="inlineStr">
        <is>
          <t>-</t>
        </is>
      </c>
      <c r="Y863" s="11" t="inlineStr">
        <is>
          <t>-</t>
        </is>
      </c>
      <c r="Z863" s="11" t="n">
        <v>0</v>
      </c>
      <c r="AA863" s="11" t="inlineStr">
        <is>
          <t>垫到60抽</t>
        </is>
      </c>
      <c r="AB863" s="12">
        <f>AE862</f>
        <v/>
      </c>
      <c r="AC863" s="12" t="n">
        <v>0</v>
      </c>
      <c r="AD863" s="12" t="n">
        <v>0</v>
      </c>
      <c r="AE863" s="12">
        <f>AB863+AC863+AD863</f>
        <v/>
      </c>
      <c r="AF863" s="13">
        <f>AI862</f>
        <v/>
      </c>
      <c r="AG863" s="13" t="n">
        <v>0</v>
      </c>
      <c r="AH863" s="13" t="n">
        <v>0</v>
      </c>
      <c r="AI863" s="13">
        <f>AF863+AG863+AH863</f>
        <v/>
      </c>
      <c r="AJ863" s="14" t="n">
        <v>0</v>
      </c>
      <c r="AK863" s="14" t="n">
        <v>0</v>
      </c>
      <c r="AL863" s="14" t="n">
        <v>0</v>
      </c>
      <c r="AM863" s="14">
        <f>AJ863+AK863+AL863</f>
        <v/>
      </c>
      <c r="AN863" s="14">
        <f>AN862+AM863</f>
        <v/>
      </c>
    </row>
    <row r="864">
      <c r="A864" s="8" t="n">
        <v>34</v>
      </c>
      <c r="B864" s="8" t="n">
        <v>3</v>
      </c>
      <c r="C864" s="8" t="n">
        <v>1</v>
      </c>
      <c r="D864" s="8" t="inlineStr">
        <is>
          <t>版本免费+义相逢 + 月卡收益 [月卡续费-30元]</t>
        </is>
      </c>
      <c r="E864" s="9">
        <f>K863</f>
        <v/>
      </c>
      <c r="F864" s="9" t="n">
        <v>1540</v>
      </c>
      <c r="G864" s="9" t="n">
        <v>4800</v>
      </c>
      <c r="H864" s="9" t="n">
        <v>0</v>
      </c>
      <c r="I864" s="9" t="n">
        <v>0</v>
      </c>
      <c r="J864" s="9" t="n">
        <v>0</v>
      </c>
      <c r="K864" s="9">
        <f>E864+F864+G864+H864+I864-J864</f>
        <v/>
      </c>
      <c r="L864" s="10">
        <f>Q863</f>
        <v/>
      </c>
      <c r="M864" s="10" t="n">
        <v>85</v>
      </c>
      <c r="N864" s="10" t="n">
        <v>11</v>
      </c>
      <c r="O864" s="10">
        <f>J864/160</f>
        <v/>
      </c>
      <c r="P864" s="10" t="n">
        <v>90</v>
      </c>
      <c r="Q864" s="10">
        <f>L864+M864+N864+O864-P864</f>
        <v/>
      </c>
      <c r="R864" s="11">
        <f>T863</f>
        <v/>
      </c>
      <c r="S864" s="11">
        <f>N(V864) + N(X864) + N(Z864)</f>
        <v/>
      </c>
      <c r="T864" s="11">
        <f>R864+P864-S864</f>
        <v/>
      </c>
      <c r="U864" s="11" t="inlineStr">
        <is>
          <t>是</t>
        </is>
      </c>
      <c r="V864" s="11" t="n">
        <v>49</v>
      </c>
      <c r="W864" s="11" t="inlineStr">
        <is>
          <t>是</t>
        </is>
      </c>
      <c r="X864" s="11" t="n">
        <v>48</v>
      </c>
      <c r="Y864" s="11" t="inlineStr">
        <is>
          <t>-</t>
        </is>
      </c>
      <c r="Z864" s="11" t="n">
        <v>0</v>
      </c>
      <c r="AA864" s="11" t="inlineStr">
        <is>
          <t>无</t>
        </is>
      </c>
      <c r="AB864" s="12">
        <f>AE863</f>
        <v/>
      </c>
      <c r="AC864" s="12" t="n">
        <v>4</v>
      </c>
      <c r="AD864" s="12" t="n">
        <v>0</v>
      </c>
      <c r="AE864" s="12">
        <f>AB864+AC864+AD864</f>
        <v/>
      </c>
      <c r="AF864" s="13">
        <f>AI863</f>
        <v/>
      </c>
      <c r="AG864" s="13" t="n">
        <v>0</v>
      </c>
      <c r="AH864" s="13" t="n">
        <v>0</v>
      </c>
      <c r="AI864" s="13">
        <f>AF864+AG864+AH864</f>
        <v/>
      </c>
      <c r="AJ864" s="14" t="n">
        <v>30</v>
      </c>
      <c r="AK864" s="14" t="n">
        <v>50</v>
      </c>
      <c r="AL864" s="14" t="n">
        <v>0</v>
      </c>
      <c r="AM864" s="14">
        <f>AJ864+AK864+AL864</f>
        <v/>
      </c>
      <c r="AN864" s="14">
        <f>AN863+AM864</f>
        <v/>
      </c>
    </row>
    <row r="865">
      <c r="A865" s="8" t="n">
        <v>34</v>
      </c>
      <c r="B865" s="8" t="n">
        <v>3</v>
      </c>
      <c r="C865" s="8" t="n">
        <v>2</v>
      </c>
      <c r="D865" s="8" t="inlineStr">
        <is>
          <t>月卡收益</t>
        </is>
      </c>
      <c r="E865" s="9">
        <f>K864</f>
        <v/>
      </c>
      <c r="F865" s="9" t="n">
        <v>1540</v>
      </c>
      <c r="G865" s="9" t="n">
        <v>0</v>
      </c>
      <c r="H865" s="9" t="n">
        <v>0</v>
      </c>
      <c r="I865" s="9" t="n">
        <v>0</v>
      </c>
      <c r="J865" s="9" t="n">
        <v>12800</v>
      </c>
      <c r="K865" s="9">
        <f>E865+F865+G865+H865+I865-J865</f>
        <v/>
      </c>
      <c r="L865" s="10">
        <f>Q864</f>
        <v/>
      </c>
      <c r="M865" s="10" t="n">
        <v>0</v>
      </c>
      <c r="N865" s="10" t="n">
        <v>11</v>
      </c>
      <c r="O865" s="10">
        <f>J865/160</f>
        <v/>
      </c>
      <c r="P865" s="10" t="n">
        <v>100</v>
      </c>
      <c r="Q865" s="10">
        <f>L865+M865+N865+O865-P865</f>
        <v/>
      </c>
      <c r="R865" s="11">
        <f>T864</f>
        <v/>
      </c>
      <c r="S865" s="11">
        <f>N(V865) + N(X865) + N(Z865)</f>
        <v/>
      </c>
      <c r="T865" s="11">
        <f>R865+P865-S865</f>
        <v/>
      </c>
      <c r="U865" s="11" t="inlineStr">
        <is>
          <t>是</t>
        </is>
      </c>
      <c r="V865" s="11" t="n">
        <v>52</v>
      </c>
      <c r="W865" s="11" t="inlineStr">
        <is>
          <t>是</t>
        </is>
      </c>
      <c r="X865" s="11" t="n">
        <v>49</v>
      </c>
      <c r="Y865" s="11" t="inlineStr">
        <is>
          <t>-</t>
        </is>
      </c>
      <c r="Z865" s="11" t="n">
        <v>0</v>
      </c>
      <c r="AA865" s="11" t="inlineStr">
        <is>
          <t>无</t>
        </is>
      </c>
      <c r="AB865" s="12">
        <f>AE864</f>
        <v/>
      </c>
      <c r="AC865" s="12" t="n">
        <v>0</v>
      </c>
      <c r="AD865" s="12" t="n">
        <v>0</v>
      </c>
      <c r="AE865" s="12">
        <f>AB865+AC865+AD865</f>
        <v/>
      </c>
      <c r="AF865" s="13">
        <f>AI864</f>
        <v/>
      </c>
      <c r="AG865" s="13" t="n">
        <v>0</v>
      </c>
      <c r="AH865" s="13" t="n">
        <v>0</v>
      </c>
      <c r="AI865" s="13">
        <f>AF865+AG865+AH865</f>
        <v/>
      </c>
      <c r="AJ865" s="14" t="n">
        <v>0</v>
      </c>
      <c r="AK865" s="14" t="n">
        <v>0</v>
      </c>
      <c r="AL865" s="14" t="n">
        <v>0</v>
      </c>
      <c r="AM865" s="14">
        <f>AJ865+AK865+AL865</f>
        <v/>
      </c>
      <c r="AN865" s="14">
        <f>AN864+AM865</f>
        <v/>
      </c>
    </row>
    <row r="866">
      <c r="A866" s="8" t="n">
        <v>34</v>
      </c>
      <c r="B866" s="8" t="n">
        <v>4</v>
      </c>
      <c r="C866" s="8" t="n">
        <v>1</v>
      </c>
      <c r="D866" s="8" t="inlineStr">
        <is>
          <t>版本免费+义相逢 + 月卡收益 [月卡续费-30元]</t>
        </is>
      </c>
      <c r="E866" s="9">
        <f>K865</f>
        <v/>
      </c>
      <c r="F866" s="9" t="n">
        <v>1540</v>
      </c>
      <c r="G866" s="9" t="n">
        <v>4800</v>
      </c>
      <c r="H866" s="9" t="n">
        <v>0</v>
      </c>
      <c r="I866" s="9" t="n">
        <v>0</v>
      </c>
      <c r="J866" s="9" t="n">
        <v>640</v>
      </c>
      <c r="K866" s="9">
        <f>E866+F866+G866+H866+I866-J866</f>
        <v/>
      </c>
      <c r="L866" s="10">
        <f>Q865</f>
        <v/>
      </c>
      <c r="M866" s="10" t="n">
        <v>85</v>
      </c>
      <c r="N866" s="10" t="n">
        <v>11</v>
      </c>
      <c r="O866" s="10">
        <f>J866/160</f>
        <v/>
      </c>
      <c r="P866" s="10" t="n">
        <v>100</v>
      </c>
      <c r="Q866" s="10">
        <f>L866+M866+N866+O866-P866</f>
        <v/>
      </c>
      <c r="R866" s="11">
        <f>T865</f>
        <v/>
      </c>
      <c r="S866" s="11">
        <f>N(V866) + N(X866) + N(Z866)</f>
        <v/>
      </c>
      <c r="T866" s="11">
        <f>R866+P866-S866</f>
        <v/>
      </c>
      <c r="U866" s="11" t="inlineStr">
        <is>
          <t>是</t>
        </is>
      </c>
      <c r="V866" s="11" t="n">
        <v>50</v>
      </c>
      <c r="W866" s="11" t="inlineStr">
        <is>
          <t>是</t>
        </is>
      </c>
      <c r="X866" s="11" t="n">
        <v>50</v>
      </c>
      <c r="Y866" s="11" t="inlineStr">
        <is>
          <t>-</t>
        </is>
      </c>
      <c r="Z866" s="11" t="n">
        <v>0</v>
      </c>
      <c r="AA866" s="11" t="inlineStr">
        <is>
          <t>无</t>
        </is>
      </c>
      <c r="AB866" s="12">
        <f>AE865</f>
        <v/>
      </c>
      <c r="AC866" s="12" t="n">
        <v>4</v>
      </c>
      <c r="AD866" s="12" t="n">
        <v>0</v>
      </c>
      <c r="AE866" s="12">
        <f>AB866+AC866+AD866</f>
        <v/>
      </c>
      <c r="AF866" s="13">
        <f>AI865</f>
        <v/>
      </c>
      <c r="AG866" s="13" t="n">
        <v>0</v>
      </c>
      <c r="AH866" s="13" t="n">
        <v>0</v>
      </c>
      <c r="AI866" s="13">
        <f>AF866+AG866+AH866</f>
        <v/>
      </c>
      <c r="AJ866" s="14" t="n">
        <v>30</v>
      </c>
      <c r="AK866" s="14" t="n">
        <v>50</v>
      </c>
      <c r="AL866" s="14" t="n">
        <v>0</v>
      </c>
      <c r="AM866" s="14">
        <f>AJ866+AK866+AL866</f>
        <v/>
      </c>
      <c r="AN866" s="14">
        <f>AN865+AM866</f>
        <v/>
      </c>
    </row>
    <row r="867">
      <c r="A867" s="8" t="n">
        <v>34</v>
      </c>
      <c r="B867" s="8" t="n">
        <v>4</v>
      </c>
      <c r="C867" s="8" t="n">
        <v>2</v>
      </c>
      <c r="D867" s="8" t="inlineStr">
        <is>
          <t>月卡收益</t>
        </is>
      </c>
      <c r="E867" s="9">
        <f>K866</f>
        <v/>
      </c>
      <c r="F867" s="9" t="n">
        <v>1540</v>
      </c>
      <c r="G867" s="9" t="n">
        <v>0</v>
      </c>
      <c r="H867" s="9" t="n">
        <v>0</v>
      </c>
      <c r="I867" s="9" t="n">
        <v>0</v>
      </c>
      <c r="J867" s="9" t="n">
        <v>14240</v>
      </c>
      <c r="K867" s="9">
        <f>E867+F867+G867+H867+I867-J867</f>
        <v/>
      </c>
      <c r="L867" s="10">
        <f>Q866</f>
        <v/>
      </c>
      <c r="M867" s="10" t="n">
        <v>0</v>
      </c>
      <c r="N867" s="10" t="n">
        <v>11</v>
      </c>
      <c r="O867" s="10">
        <f>J867/160</f>
        <v/>
      </c>
      <c r="P867" s="10" t="n">
        <v>100</v>
      </c>
      <c r="Q867" s="10">
        <f>L867+M867+N867+O867-P867</f>
        <v/>
      </c>
      <c r="R867" s="11">
        <f>T866</f>
        <v/>
      </c>
      <c r="S867" s="11">
        <f>N(V867) + N(X867) + N(Z867)</f>
        <v/>
      </c>
      <c r="T867" s="11">
        <f>R867+P867-S867</f>
        <v/>
      </c>
      <c r="U867" s="11" t="inlineStr">
        <is>
          <t>是</t>
        </is>
      </c>
      <c r="V867" s="11" t="n">
        <v>52</v>
      </c>
      <c r="W867" s="11" t="inlineStr">
        <is>
          <t>是</t>
        </is>
      </c>
      <c r="X867" s="11" t="n">
        <v>51</v>
      </c>
      <c r="Y867" s="11" t="inlineStr">
        <is>
          <t>-</t>
        </is>
      </c>
      <c r="Z867" s="11" t="n">
        <v>0</v>
      </c>
      <c r="AA867" s="11" t="inlineStr">
        <is>
          <t>无</t>
        </is>
      </c>
      <c r="AB867" s="12">
        <f>AE866</f>
        <v/>
      </c>
      <c r="AC867" s="12" t="n">
        <v>0</v>
      </c>
      <c r="AD867" s="12" t="n">
        <v>0</v>
      </c>
      <c r="AE867" s="12">
        <f>AB867+AC867+AD867</f>
        <v/>
      </c>
      <c r="AF867" s="13">
        <f>AI866</f>
        <v/>
      </c>
      <c r="AG867" s="13" t="n">
        <v>0</v>
      </c>
      <c r="AH867" s="13" t="n">
        <v>0</v>
      </c>
      <c r="AI867" s="13">
        <f>AF867+AG867+AH867</f>
        <v/>
      </c>
      <c r="AJ867" s="14" t="n">
        <v>0</v>
      </c>
      <c r="AK867" s="14" t="n">
        <v>0</v>
      </c>
      <c r="AL867" s="14" t="n">
        <v>0</v>
      </c>
      <c r="AM867" s="14">
        <f>AJ867+AK867+AL867</f>
        <v/>
      </c>
      <c r="AN867" s="14">
        <f>AN866+AM867</f>
        <v/>
      </c>
    </row>
    <row r="868">
      <c r="A868" s="8" t="n">
        <v>34</v>
      </c>
      <c r="B868" s="8" t="n">
        <v>5</v>
      </c>
      <c r="C868" s="8" t="n">
        <v>1</v>
      </c>
      <c r="D868" s="8" t="inlineStr">
        <is>
          <t>版本免费+义相逢 + 月卡收益 [月卡续费-30元]</t>
        </is>
      </c>
      <c r="E868" s="9">
        <f>K867</f>
        <v/>
      </c>
      <c r="F868" s="9" t="n">
        <v>1540</v>
      </c>
      <c r="G868" s="9" t="n">
        <v>4800</v>
      </c>
      <c r="H868" s="9" t="n">
        <v>0</v>
      </c>
      <c r="I868" s="9" t="n">
        <v>0</v>
      </c>
      <c r="J868" s="9" t="n">
        <v>0</v>
      </c>
      <c r="K868" s="9">
        <f>E868+F868+G868+H868+I868-J868</f>
        <v/>
      </c>
      <c r="L868" s="10">
        <f>Q867</f>
        <v/>
      </c>
      <c r="M868" s="10" t="n">
        <v>85</v>
      </c>
      <c r="N868" s="10" t="n">
        <v>6</v>
      </c>
      <c r="O868" s="10">
        <f>J868/160</f>
        <v/>
      </c>
      <c r="P868" s="10" t="n">
        <v>70</v>
      </c>
      <c r="Q868" s="10">
        <f>L868+M868+N868+O868-P868</f>
        <v/>
      </c>
      <c r="R868" s="11">
        <f>T867</f>
        <v/>
      </c>
      <c r="S868" s="11">
        <f>N(V868) + N(X868) + N(Z868)</f>
        <v/>
      </c>
      <c r="T868" s="11">
        <f>R868+P868-S868</f>
        <v/>
      </c>
      <c r="U868" s="11" t="inlineStr">
        <is>
          <t>是</t>
        </is>
      </c>
      <c r="V868" s="11" t="n">
        <v>55</v>
      </c>
      <c r="W868" s="11" t="inlineStr">
        <is>
          <t>是</t>
        </is>
      </c>
      <c r="X868" s="11" t="n">
        <v>12</v>
      </c>
      <c r="Y868" s="11" t="inlineStr">
        <is>
          <t>-</t>
        </is>
      </c>
      <c r="Z868" s="11" t="n">
        <v>0</v>
      </c>
      <c r="AA868" s="11" t="inlineStr">
        <is>
          <t>无</t>
        </is>
      </c>
      <c r="AB868" s="12">
        <f>AE867</f>
        <v/>
      </c>
      <c r="AC868" s="12" t="n">
        <v>4</v>
      </c>
      <c r="AD868" s="12" t="n">
        <v>0</v>
      </c>
      <c r="AE868" s="12">
        <f>AB868+AC868+AD868</f>
        <v/>
      </c>
      <c r="AF868" s="13">
        <f>AI867</f>
        <v/>
      </c>
      <c r="AG868" s="13" t="n">
        <v>0</v>
      </c>
      <c r="AH868" s="13" t="n">
        <v>0</v>
      </c>
      <c r="AI868" s="13">
        <f>AF868+AG868+AH868</f>
        <v/>
      </c>
      <c r="AJ868" s="14" t="n">
        <v>30</v>
      </c>
      <c r="AK868" s="14" t="n">
        <v>50</v>
      </c>
      <c r="AL868" s="14" t="n">
        <v>0</v>
      </c>
      <c r="AM868" s="14">
        <f>AJ868+AK868+AL868</f>
        <v/>
      </c>
      <c r="AN868" s="14">
        <f>AN867+AM868</f>
        <v/>
      </c>
    </row>
    <row r="869">
      <c r="A869" s="8" t="n">
        <v>34</v>
      </c>
      <c r="B869" s="8" t="n">
        <v>5</v>
      </c>
      <c r="C869" s="8" t="n">
        <v>2</v>
      </c>
      <c r="D869" s="8" t="inlineStr">
        <is>
          <t>月卡收益</t>
        </is>
      </c>
      <c r="E869" s="9">
        <f>K868</f>
        <v/>
      </c>
      <c r="F869" s="9" t="n">
        <v>1540</v>
      </c>
      <c r="G869" s="9" t="n">
        <v>0</v>
      </c>
      <c r="H869" s="9" t="n">
        <v>0</v>
      </c>
      <c r="I869" s="9" t="n">
        <v>0</v>
      </c>
      <c r="J869" s="9" t="n">
        <v>10080</v>
      </c>
      <c r="K869" s="9">
        <f>E869+F869+G869+H869+I869-J869</f>
        <v/>
      </c>
      <c r="L869" s="10">
        <f>Q868</f>
        <v/>
      </c>
      <c r="M869" s="10" t="n">
        <v>0</v>
      </c>
      <c r="N869" s="10" t="n">
        <v>11</v>
      </c>
      <c r="O869" s="10">
        <f>J869/160</f>
        <v/>
      </c>
      <c r="P869" s="10" t="n">
        <v>90</v>
      </c>
      <c r="Q869" s="10">
        <f>L869+M869+N869+O869-P869</f>
        <v/>
      </c>
      <c r="R869" s="11">
        <f>T868</f>
        <v/>
      </c>
      <c r="S869" s="11">
        <f>N(V869) + N(X869) + N(Z869)</f>
        <v/>
      </c>
      <c r="T869" s="11">
        <f>R869+P869-S869</f>
        <v/>
      </c>
      <c r="U869" s="11" t="inlineStr">
        <is>
          <t>是</t>
        </is>
      </c>
      <c r="V869" s="11" t="n">
        <v>46</v>
      </c>
      <c r="W869" s="11" t="inlineStr">
        <is>
          <t>是</t>
        </is>
      </c>
      <c r="X869" s="11" t="n">
        <v>46</v>
      </c>
      <c r="Y869" s="11" t="inlineStr">
        <is>
          <t>-</t>
        </is>
      </c>
      <c r="Z869" s="11" t="n">
        <v>0</v>
      </c>
      <c r="AA869" s="11" t="inlineStr">
        <is>
          <t>无</t>
        </is>
      </c>
      <c r="AB869" s="12">
        <f>AE868</f>
        <v/>
      </c>
      <c r="AC869" s="12" t="n">
        <v>0</v>
      </c>
      <c r="AD869" s="12" t="n">
        <v>0</v>
      </c>
      <c r="AE869" s="12">
        <f>AB869+AC869+AD869</f>
        <v/>
      </c>
      <c r="AF869" s="13">
        <f>AI868</f>
        <v/>
      </c>
      <c r="AG869" s="13" t="n">
        <v>0</v>
      </c>
      <c r="AH869" s="13" t="n">
        <v>0</v>
      </c>
      <c r="AI869" s="13">
        <f>AF869+AG869+AH869</f>
        <v/>
      </c>
      <c r="AJ869" s="14" t="n">
        <v>0</v>
      </c>
      <c r="AK869" s="14" t="n">
        <v>0</v>
      </c>
      <c r="AL869" s="14" t="n">
        <v>0</v>
      </c>
      <c r="AM869" s="14">
        <f>AJ869+AK869+AL869</f>
        <v/>
      </c>
      <c r="AN869" s="14">
        <f>AN868+AM869</f>
        <v/>
      </c>
    </row>
    <row r="870">
      <c r="A870" s="8" t="n">
        <v>34</v>
      </c>
      <c r="B870" s="8" t="n">
        <v>6</v>
      </c>
      <c r="C870" s="8" t="n">
        <v>1</v>
      </c>
      <c r="D870" s="8" t="inlineStr">
        <is>
          <t>版本免费+义相逢 + 月卡收益 [月卡续费-30元]</t>
        </is>
      </c>
      <c r="E870" s="9">
        <f>K869</f>
        <v/>
      </c>
      <c r="F870" s="9" t="n">
        <v>1540</v>
      </c>
      <c r="G870" s="9" t="n">
        <v>4800</v>
      </c>
      <c r="H870" s="9" t="n">
        <v>0</v>
      </c>
      <c r="I870" s="9" t="n">
        <v>0</v>
      </c>
      <c r="J870" s="9" t="n">
        <v>0</v>
      </c>
      <c r="K870" s="9">
        <f>E870+F870+G870+H870+I870-J870</f>
        <v/>
      </c>
      <c r="L870" s="10">
        <f>Q869</f>
        <v/>
      </c>
      <c r="M870" s="10" t="n">
        <v>85</v>
      </c>
      <c r="N870" s="10" t="n">
        <v>6</v>
      </c>
      <c r="O870" s="10">
        <f>J870/160</f>
        <v/>
      </c>
      <c r="P870" s="10" t="n">
        <v>60</v>
      </c>
      <c r="Q870" s="10">
        <f>L870+M870+N870+O870-P870</f>
        <v/>
      </c>
      <c r="R870" s="11">
        <f>T869</f>
        <v/>
      </c>
      <c r="S870" s="11">
        <f>N(V870) + N(X870) + N(Z870)</f>
        <v/>
      </c>
      <c r="T870" s="11">
        <f>R870+P870-S870</f>
        <v/>
      </c>
      <c r="U870" s="11" t="inlineStr">
        <is>
          <t>是</t>
        </is>
      </c>
      <c r="V870" s="11" t="n">
        <v>50</v>
      </c>
      <c r="W870" s="11" t="inlineStr">
        <is>
          <t>否</t>
        </is>
      </c>
      <c r="X870" s="11" t="inlineStr">
        <is>
          <t>-</t>
        </is>
      </c>
      <c r="Y870" s="11" t="inlineStr">
        <is>
          <t>-</t>
        </is>
      </c>
      <c r="Z870" s="11" t="n">
        <v>0</v>
      </c>
      <c r="AA870" s="11" t="inlineStr">
        <is>
          <t>垫到60抽</t>
        </is>
      </c>
      <c r="AB870" s="12">
        <f>AE869</f>
        <v/>
      </c>
      <c r="AC870" s="12" t="n">
        <v>4</v>
      </c>
      <c r="AD870" s="12" t="n">
        <v>0</v>
      </c>
      <c r="AE870" s="12">
        <f>AB870+AC870+AD870</f>
        <v/>
      </c>
      <c r="AF870" s="13">
        <f>AI869</f>
        <v/>
      </c>
      <c r="AG870" s="13" t="n">
        <v>0</v>
      </c>
      <c r="AH870" s="13" t="n">
        <v>0</v>
      </c>
      <c r="AI870" s="13">
        <f>AF870+AG870+AH870</f>
        <v/>
      </c>
      <c r="AJ870" s="14" t="n">
        <v>30</v>
      </c>
      <c r="AK870" s="14" t="n">
        <v>50</v>
      </c>
      <c r="AL870" s="14" t="n">
        <v>0</v>
      </c>
      <c r="AM870" s="14">
        <f>AJ870+AK870+AL870</f>
        <v/>
      </c>
      <c r="AN870" s="14">
        <f>AN869+AM870</f>
        <v/>
      </c>
    </row>
    <row r="871">
      <c r="A871" s="8" t="n">
        <v>34</v>
      </c>
      <c r="B871" s="8" t="n">
        <v>6</v>
      </c>
      <c r="C871" s="8" t="n">
        <v>2</v>
      </c>
      <c r="D871" s="8" t="inlineStr">
        <is>
          <t>月卡收益</t>
        </is>
      </c>
      <c r="E871" s="9">
        <f>K870</f>
        <v/>
      </c>
      <c r="F871" s="9" t="n">
        <v>1540</v>
      </c>
      <c r="G871" s="9" t="n">
        <v>0</v>
      </c>
      <c r="H871" s="9" t="n">
        <v>0</v>
      </c>
      <c r="I871" s="9" t="n">
        <v>0</v>
      </c>
      <c r="J871" s="9" t="n">
        <v>160</v>
      </c>
      <c r="K871" s="9">
        <f>E871+F871+G871+H871+I871-J871</f>
        <v/>
      </c>
      <c r="L871" s="10">
        <f>Q870</f>
        <v/>
      </c>
      <c r="M871" s="10" t="n">
        <v>0</v>
      </c>
      <c r="N871" s="10" t="n">
        <v>3</v>
      </c>
      <c r="O871" s="10">
        <f>J871/160</f>
        <v/>
      </c>
      <c r="P871" s="10" t="n">
        <v>40</v>
      </c>
      <c r="Q871" s="10">
        <f>L871+M871+N871+O871-P871</f>
        <v/>
      </c>
      <c r="R871" s="11">
        <f>T870</f>
        <v/>
      </c>
      <c r="S871" s="11">
        <f>N(V871) + N(X871) + N(Z871)</f>
        <v/>
      </c>
      <c r="T871" s="11">
        <f>R871+P871-S871</f>
        <v/>
      </c>
      <c r="U871" s="11" t="inlineStr">
        <is>
          <t>是</t>
        </is>
      </c>
      <c r="V871" s="11" t="n">
        <v>49</v>
      </c>
      <c r="W871" s="11" t="inlineStr">
        <is>
          <t>否</t>
        </is>
      </c>
      <c r="X871" s="11" t="inlineStr">
        <is>
          <t>-</t>
        </is>
      </c>
      <c r="Y871" s="11" t="inlineStr">
        <is>
          <t>-</t>
        </is>
      </c>
      <c r="Z871" s="11" t="n">
        <v>0</v>
      </c>
      <c r="AA871" s="11" t="inlineStr">
        <is>
          <t>无</t>
        </is>
      </c>
      <c r="AB871" s="12">
        <f>AE870</f>
        <v/>
      </c>
      <c r="AC871" s="12" t="n">
        <v>0</v>
      </c>
      <c r="AD871" s="12" t="n">
        <v>0</v>
      </c>
      <c r="AE871" s="12">
        <f>AB871+AC871+AD871</f>
        <v/>
      </c>
      <c r="AF871" s="13">
        <f>AI870</f>
        <v/>
      </c>
      <c r="AG871" s="13" t="n">
        <v>0</v>
      </c>
      <c r="AH871" s="13" t="n">
        <v>0</v>
      </c>
      <c r="AI871" s="13">
        <f>AF871+AG871+AH871</f>
        <v/>
      </c>
      <c r="AJ871" s="14" t="n">
        <v>0</v>
      </c>
      <c r="AK871" s="14" t="n">
        <v>0</v>
      </c>
      <c r="AL871" s="14" t="n">
        <v>0</v>
      </c>
      <c r="AM871" s="14">
        <f>AJ871+AK871+AL871</f>
        <v/>
      </c>
      <c r="AN871" s="14">
        <f>AN870+AM871</f>
        <v/>
      </c>
    </row>
    <row r="872">
      <c r="A872" s="8" t="n">
        <v>34</v>
      </c>
      <c r="B872" s="8" t="n">
        <v>7</v>
      </c>
      <c r="C872" s="8" t="n">
        <v>1</v>
      </c>
      <c r="D872" s="8" t="inlineStr">
        <is>
          <t>版本免费+义相逢 + 月卡收益</t>
        </is>
      </c>
      <c r="E872" s="9">
        <f>K871</f>
        <v/>
      </c>
      <c r="F872" s="9" t="n">
        <v>1540</v>
      </c>
      <c r="G872" s="9" t="n">
        <v>4800</v>
      </c>
      <c r="H872" s="9" t="n">
        <v>0</v>
      </c>
      <c r="I872" s="9" t="n">
        <v>0</v>
      </c>
      <c r="J872" s="9" t="n">
        <v>0</v>
      </c>
      <c r="K872" s="9">
        <f>E872+F872+G872+H872+I872-J872</f>
        <v/>
      </c>
      <c r="L872" s="10">
        <f>Q871</f>
        <v/>
      </c>
      <c r="M872" s="10" t="n">
        <v>85</v>
      </c>
      <c r="N872" s="10" t="n">
        <v>6</v>
      </c>
      <c r="O872" s="10">
        <f>J872/160</f>
        <v/>
      </c>
      <c r="P872" s="10" t="n">
        <v>70</v>
      </c>
      <c r="Q872" s="10">
        <f>L872+M872+N872+O872-P872</f>
        <v/>
      </c>
      <c r="R872" s="11">
        <f>T871</f>
        <v/>
      </c>
      <c r="S872" s="11">
        <f>N(V872) + N(X872) + N(Z872)</f>
        <v/>
      </c>
      <c r="T872" s="11">
        <f>R872+P872-S872</f>
        <v/>
      </c>
      <c r="U872" s="11" t="inlineStr">
        <is>
          <t>是</t>
        </is>
      </c>
      <c r="V872" s="11" t="n">
        <v>11</v>
      </c>
      <c r="W872" s="11" t="inlineStr">
        <is>
          <t>是</t>
        </is>
      </c>
      <c r="X872" s="11" t="n">
        <v>56</v>
      </c>
      <c r="Y872" s="11" t="inlineStr">
        <is>
          <t>-</t>
        </is>
      </c>
      <c r="Z872" s="11" t="n">
        <v>0</v>
      </c>
      <c r="AA872" s="11" t="inlineStr">
        <is>
          <t>无</t>
        </is>
      </c>
      <c r="AB872" s="12">
        <f>AE871</f>
        <v/>
      </c>
      <c r="AC872" s="12" t="n">
        <v>4</v>
      </c>
      <c r="AD872" s="12" t="n">
        <v>0</v>
      </c>
      <c r="AE872" s="12">
        <f>AB872+AC872+AD872</f>
        <v/>
      </c>
      <c r="AF872" s="13">
        <f>AI871</f>
        <v/>
      </c>
      <c r="AG872" s="13" t="n">
        <v>0</v>
      </c>
      <c r="AH872" s="13" t="n">
        <v>0</v>
      </c>
      <c r="AI872" s="13">
        <f>AF872+AG872+AH872</f>
        <v/>
      </c>
      <c r="AJ872" s="14" t="n">
        <v>0</v>
      </c>
      <c r="AK872" s="14" t="n">
        <v>50</v>
      </c>
      <c r="AL872" s="14" t="n">
        <v>0</v>
      </c>
      <c r="AM872" s="14">
        <f>AJ872+AK872+AL872</f>
        <v/>
      </c>
      <c r="AN872" s="14">
        <f>AN871+AM872</f>
        <v/>
      </c>
    </row>
    <row r="873">
      <c r="A873" s="8" t="n">
        <v>34</v>
      </c>
      <c r="B873" s="8" t="n">
        <v>7</v>
      </c>
      <c r="C873" s="8" t="n">
        <v>2</v>
      </c>
      <c r="D873" s="8" t="inlineStr">
        <is>
          <t>月卡收益 [月卡续费-30元]</t>
        </is>
      </c>
      <c r="E873" s="9">
        <f>K872</f>
        <v/>
      </c>
      <c r="F873" s="9" t="n">
        <v>1540</v>
      </c>
      <c r="G873" s="9" t="n">
        <v>0</v>
      </c>
      <c r="H873" s="9" t="n">
        <v>0</v>
      </c>
      <c r="I873" s="9" t="n">
        <v>0</v>
      </c>
      <c r="J873" s="9" t="n">
        <v>10080</v>
      </c>
      <c r="K873" s="9">
        <f>E873+F873+G873+H873+I873-J873</f>
        <v/>
      </c>
      <c r="L873" s="10">
        <f>Q872</f>
        <v/>
      </c>
      <c r="M873" s="10" t="n">
        <v>0</v>
      </c>
      <c r="N873" s="10" t="n">
        <v>11</v>
      </c>
      <c r="O873" s="10">
        <f>J873/160</f>
        <v/>
      </c>
      <c r="P873" s="10" t="n">
        <v>90</v>
      </c>
      <c r="Q873" s="10">
        <f>L873+M873+N873+O873-P873</f>
        <v/>
      </c>
      <c r="R873" s="11">
        <f>T872</f>
        <v/>
      </c>
      <c r="S873" s="11">
        <f>N(V873) + N(X873) + N(Z873)</f>
        <v/>
      </c>
      <c r="T873" s="11">
        <f>R873+P873-S873</f>
        <v/>
      </c>
      <c r="U873" s="11" t="inlineStr">
        <is>
          <t>是</t>
        </is>
      </c>
      <c r="V873" s="11" t="n">
        <v>47</v>
      </c>
      <c r="W873" s="11" t="inlineStr">
        <is>
          <t>是</t>
        </is>
      </c>
      <c r="X873" s="11" t="n">
        <v>49</v>
      </c>
      <c r="Y873" s="11" t="inlineStr">
        <is>
          <t>-</t>
        </is>
      </c>
      <c r="Z873" s="11" t="n">
        <v>0</v>
      </c>
      <c r="AA873" s="11" t="inlineStr">
        <is>
          <t>无</t>
        </is>
      </c>
      <c r="AB873" s="12">
        <f>AE872</f>
        <v/>
      </c>
      <c r="AC873" s="12" t="n">
        <v>0</v>
      </c>
      <c r="AD873" s="12" t="n">
        <v>0</v>
      </c>
      <c r="AE873" s="12">
        <f>AB873+AC873+AD873</f>
        <v/>
      </c>
      <c r="AF873" s="13">
        <f>AI872</f>
        <v/>
      </c>
      <c r="AG873" s="13" t="n">
        <v>0</v>
      </c>
      <c r="AH873" s="13" t="n">
        <v>0</v>
      </c>
      <c r="AI873" s="13">
        <f>AF873+AG873+AH873</f>
        <v/>
      </c>
      <c r="AJ873" s="14" t="n">
        <v>30</v>
      </c>
      <c r="AK873" s="14" t="n">
        <v>0</v>
      </c>
      <c r="AL873" s="14" t="n">
        <v>0</v>
      </c>
      <c r="AM873" s="14">
        <f>AJ873+AK873+AL873</f>
        <v/>
      </c>
      <c r="AN873" s="14">
        <f>AN872+AM873</f>
        <v/>
      </c>
    </row>
    <row r="874">
      <c r="A874" s="8" t="n">
        <v>34</v>
      </c>
      <c r="B874" s="8" t="n">
        <v>8</v>
      </c>
      <c r="C874" s="8" t="n">
        <v>1</v>
      </c>
      <c r="D874" s="8" t="inlineStr">
        <is>
          <t>版本免费+义相逢 + 月卡收益</t>
        </is>
      </c>
      <c r="E874" s="9">
        <f>K873</f>
        <v/>
      </c>
      <c r="F874" s="9" t="n">
        <v>1540</v>
      </c>
      <c r="G874" s="9" t="n">
        <v>4800</v>
      </c>
      <c r="H874" s="9" t="n">
        <v>0</v>
      </c>
      <c r="I874" s="9" t="n">
        <v>0</v>
      </c>
      <c r="J874" s="9" t="n">
        <v>0</v>
      </c>
      <c r="K874" s="9">
        <f>E874+F874+G874+H874+I874-J874</f>
        <v/>
      </c>
      <c r="L874" s="10">
        <f>Q873</f>
        <v/>
      </c>
      <c r="M874" s="10" t="n">
        <v>85</v>
      </c>
      <c r="N874" s="10" t="n">
        <v>6</v>
      </c>
      <c r="O874" s="10">
        <f>J874/160</f>
        <v/>
      </c>
      <c r="P874" s="10" t="n">
        <v>60</v>
      </c>
      <c r="Q874" s="10">
        <f>L874+M874+N874+O874-P874</f>
        <v/>
      </c>
      <c r="R874" s="11">
        <f>T873</f>
        <v/>
      </c>
      <c r="S874" s="11">
        <f>N(V874) + N(X874) + N(Z874)</f>
        <v/>
      </c>
      <c r="T874" s="11">
        <f>R874+P874-S874</f>
        <v/>
      </c>
      <c r="U874" s="11" t="inlineStr">
        <is>
          <t>是</t>
        </is>
      </c>
      <c r="V874" s="11" t="n">
        <v>48</v>
      </c>
      <c r="W874" s="11" t="inlineStr">
        <is>
          <t>否</t>
        </is>
      </c>
      <c r="X874" s="11" t="inlineStr">
        <is>
          <t>-</t>
        </is>
      </c>
      <c r="Y874" s="11" t="inlineStr">
        <is>
          <t>-</t>
        </is>
      </c>
      <c r="Z874" s="11" t="n">
        <v>0</v>
      </c>
      <c r="AA874" s="11" t="inlineStr">
        <is>
          <t>垫到60抽</t>
        </is>
      </c>
      <c r="AB874" s="12">
        <f>AE873</f>
        <v/>
      </c>
      <c r="AC874" s="12" t="n">
        <v>4</v>
      </c>
      <c r="AD874" s="12" t="n">
        <v>0</v>
      </c>
      <c r="AE874" s="12">
        <f>AB874+AC874+AD874</f>
        <v/>
      </c>
      <c r="AF874" s="13">
        <f>AI873</f>
        <v/>
      </c>
      <c r="AG874" s="13" t="n">
        <v>0</v>
      </c>
      <c r="AH874" s="13" t="n">
        <v>0</v>
      </c>
      <c r="AI874" s="13">
        <f>AF874+AG874+AH874</f>
        <v/>
      </c>
      <c r="AJ874" s="14" t="n">
        <v>0</v>
      </c>
      <c r="AK874" s="14" t="n">
        <v>50</v>
      </c>
      <c r="AL874" s="14" t="n">
        <v>0</v>
      </c>
      <c r="AM874" s="14">
        <f>AJ874+AK874+AL874</f>
        <v/>
      </c>
      <c r="AN874" s="14">
        <f>AN873+AM874</f>
        <v/>
      </c>
    </row>
    <row r="875">
      <c r="A875" s="8" t="n">
        <v>34</v>
      </c>
      <c r="B875" s="8" t="n">
        <v>8</v>
      </c>
      <c r="C875" s="8" t="n">
        <v>2</v>
      </c>
      <c r="D875" s="8" t="inlineStr">
        <is>
          <t>月卡收益 [月卡续费-30元]</t>
        </is>
      </c>
      <c r="E875" s="9">
        <f>K874</f>
        <v/>
      </c>
      <c r="F875" s="9" t="n">
        <v>1540</v>
      </c>
      <c r="G875" s="9" t="n">
        <v>0</v>
      </c>
      <c r="H875" s="9" t="n">
        <v>0</v>
      </c>
      <c r="I875" s="9" t="n">
        <v>0</v>
      </c>
      <c r="J875" s="9" t="n">
        <v>7680</v>
      </c>
      <c r="K875" s="9">
        <f>E875+F875+G875+H875+I875-J875</f>
        <v/>
      </c>
      <c r="L875" s="10">
        <f>Q874</f>
        <v/>
      </c>
      <c r="M875" s="10" t="n">
        <v>0</v>
      </c>
      <c r="N875" s="10" t="n">
        <v>11</v>
      </c>
      <c r="O875" s="10">
        <f>J875/160</f>
        <v/>
      </c>
      <c r="P875" s="10" t="n">
        <v>90</v>
      </c>
      <c r="Q875" s="10">
        <f>L875+M875+N875+O875-P875</f>
        <v/>
      </c>
      <c r="R875" s="11">
        <f>T874</f>
        <v/>
      </c>
      <c r="S875" s="11">
        <f>N(V875) + N(X875) + N(Z875)</f>
        <v/>
      </c>
      <c r="T875" s="11">
        <f>R875+P875-S875</f>
        <v/>
      </c>
      <c r="U875" s="11" t="inlineStr">
        <is>
          <t>是</t>
        </is>
      </c>
      <c r="V875" s="11" t="n">
        <v>51</v>
      </c>
      <c r="W875" s="11" t="inlineStr">
        <is>
          <t>是</t>
        </is>
      </c>
      <c r="X875" s="11" t="n">
        <v>51</v>
      </c>
      <c r="Y875" s="11" t="inlineStr">
        <is>
          <t>-</t>
        </is>
      </c>
      <c r="Z875" s="11" t="n">
        <v>0</v>
      </c>
      <c r="AA875" s="11" t="inlineStr">
        <is>
          <t>无</t>
        </is>
      </c>
      <c r="AB875" s="12">
        <f>AE874</f>
        <v/>
      </c>
      <c r="AC875" s="12" t="n">
        <v>0</v>
      </c>
      <c r="AD875" s="12" t="n">
        <v>0</v>
      </c>
      <c r="AE875" s="12">
        <f>AB875+AC875+AD875</f>
        <v/>
      </c>
      <c r="AF875" s="13">
        <f>AI874</f>
        <v/>
      </c>
      <c r="AG875" s="13" t="n">
        <v>0</v>
      </c>
      <c r="AH875" s="13" t="n">
        <v>0</v>
      </c>
      <c r="AI875" s="13">
        <f>AF875+AG875+AH875</f>
        <v/>
      </c>
      <c r="AJ875" s="14" t="n">
        <v>30</v>
      </c>
      <c r="AK875" s="14" t="n">
        <v>0</v>
      </c>
      <c r="AL875" s="14" t="n">
        <v>0</v>
      </c>
      <c r="AM875" s="14">
        <f>AJ875+AK875+AL875</f>
        <v/>
      </c>
      <c r="AN875" s="14">
        <f>AN874+AM875</f>
        <v/>
      </c>
    </row>
    <row r="876">
      <c r="A876" s="8" t="n">
        <v>34</v>
      </c>
      <c r="B876" s="8" t="n">
        <v>9</v>
      </c>
      <c r="C876" s="8" t="n">
        <v>1</v>
      </c>
      <c r="D876" s="8" t="inlineStr">
        <is>
          <t>版本免费+义相逢 + 月卡收益</t>
        </is>
      </c>
      <c r="E876" s="9">
        <f>K875</f>
        <v/>
      </c>
      <c r="F876" s="9" t="n">
        <v>1540</v>
      </c>
      <c r="G876" s="9" t="n">
        <v>4800</v>
      </c>
      <c r="H876" s="9" t="n">
        <v>0</v>
      </c>
      <c r="I876" s="9" t="n">
        <v>0</v>
      </c>
      <c r="J876" s="9" t="n">
        <v>0</v>
      </c>
      <c r="K876" s="9">
        <f>E876+F876+G876+H876+I876-J876</f>
        <v/>
      </c>
      <c r="L876" s="10">
        <f>Q875</f>
        <v/>
      </c>
      <c r="M876" s="10" t="n">
        <v>85</v>
      </c>
      <c r="N876" s="10" t="n">
        <v>6</v>
      </c>
      <c r="O876" s="10">
        <f>J876/160</f>
        <v/>
      </c>
      <c r="P876" s="10" t="n">
        <v>60</v>
      </c>
      <c r="Q876" s="10">
        <f>L876+M876+N876+O876-P876</f>
        <v/>
      </c>
      <c r="R876" s="11">
        <f>T875</f>
        <v/>
      </c>
      <c r="S876" s="11">
        <f>N(V876) + N(X876) + N(Z876)</f>
        <v/>
      </c>
      <c r="T876" s="11">
        <f>R876+P876-S876</f>
        <v/>
      </c>
      <c r="U876" s="11" t="inlineStr">
        <is>
          <t>是</t>
        </is>
      </c>
      <c r="V876" s="11" t="n">
        <v>49</v>
      </c>
      <c r="W876" s="11" t="inlineStr">
        <is>
          <t>否</t>
        </is>
      </c>
      <c r="X876" s="11" t="inlineStr">
        <is>
          <t>-</t>
        </is>
      </c>
      <c r="Y876" s="11" t="inlineStr">
        <is>
          <t>-</t>
        </is>
      </c>
      <c r="Z876" s="11" t="n">
        <v>0</v>
      </c>
      <c r="AA876" s="11" t="inlineStr">
        <is>
          <t>垫到60抽</t>
        </is>
      </c>
      <c r="AB876" s="12">
        <f>AE875</f>
        <v/>
      </c>
      <c r="AC876" s="12" t="n">
        <v>4</v>
      </c>
      <c r="AD876" s="12" t="n">
        <v>0</v>
      </c>
      <c r="AE876" s="12">
        <f>AB876+AC876+AD876</f>
        <v/>
      </c>
      <c r="AF876" s="13">
        <f>AI875</f>
        <v/>
      </c>
      <c r="AG876" s="13" t="n">
        <v>0</v>
      </c>
      <c r="AH876" s="13" t="n">
        <v>0</v>
      </c>
      <c r="AI876" s="13">
        <f>AF876+AG876+AH876</f>
        <v/>
      </c>
      <c r="AJ876" s="14" t="n">
        <v>0</v>
      </c>
      <c r="AK876" s="14" t="n">
        <v>50</v>
      </c>
      <c r="AL876" s="14" t="n">
        <v>0</v>
      </c>
      <c r="AM876" s="14">
        <f>AJ876+AK876+AL876</f>
        <v/>
      </c>
      <c r="AN876" s="14">
        <f>AN875+AM876</f>
        <v/>
      </c>
    </row>
    <row r="877">
      <c r="A877" s="8" t="n">
        <v>34</v>
      </c>
      <c r="B877" s="8" t="n">
        <v>9</v>
      </c>
      <c r="C877" s="8" t="n">
        <v>2</v>
      </c>
      <c r="D877" s="8" t="inlineStr">
        <is>
          <t>月卡收益 [月卡续费-30元]</t>
        </is>
      </c>
      <c r="E877" s="9">
        <f>K876</f>
        <v/>
      </c>
      <c r="F877" s="9" t="n">
        <v>1540</v>
      </c>
      <c r="G877" s="9" t="n">
        <v>0</v>
      </c>
      <c r="H877" s="9" t="n">
        <v>0</v>
      </c>
      <c r="I877" s="9" t="n">
        <v>0</v>
      </c>
      <c r="J877" s="9" t="n">
        <v>7680</v>
      </c>
      <c r="K877" s="9">
        <f>E877+F877+G877+H877+I877-J877</f>
        <v/>
      </c>
      <c r="L877" s="10">
        <f>Q876</f>
        <v/>
      </c>
      <c r="M877" s="10" t="n">
        <v>0</v>
      </c>
      <c r="N877" s="10" t="n">
        <v>11</v>
      </c>
      <c r="O877" s="10">
        <f>J877/160</f>
        <v/>
      </c>
      <c r="P877" s="10" t="n">
        <v>90</v>
      </c>
      <c r="Q877" s="10">
        <f>L877+M877+N877+O877-P877</f>
        <v/>
      </c>
      <c r="R877" s="11">
        <f>T876</f>
        <v/>
      </c>
      <c r="S877" s="11">
        <f>N(V877) + N(X877) + N(Z877)</f>
        <v/>
      </c>
      <c r="T877" s="11">
        <f>R877+P877-S877</f>
        <v/>
      </c>
      <c r="U877" s="11" t="inlineStr">
        <is>
          <t>是</t>
        </is>
      </c>
      <c r="V877" s="11" t="n">
        <v>49</v>
      </c>
      <c r="W877" s="11" t="inlineStr">
        <is>
          <t>是</t>
        </is>
      </c>
      <c r="X877" s="11" t="n">
        <v>50</v>
      </c>
      <c r="Y877" s="11" t="inlineStr">
        <is>
          <t>-</t>
        </is>
      </c>
      <c r="Z877" s="11" t="n">
        <v>0</v>
      </c>
      <c r="AA877" s="11" t="inlineStr">
        <is>
          <t>无</t>
        </is>
      </c>
      <c r="AB877" s="12">
        <f>AE876</f>
        <v/>
      </c>
      <c r="AC877" s="12" t="n">
        <v>0</v>
      </c>
      <c r="AD877" s="12" t="n">
        <v>0</v>
      </c>
      <c r="AE877" s="12">
        <f>AB877+AC877+AD877</f>
        <v/>
      </c>
      <c r="AF877" s="13">
        <f>AI876</f>
        <v/>
      </c>
      <c r="AG877" s="13" t="n">
        <v>0</v>
      </c>
      <c r="AH877" s="13" t="n">
        <v>0</v>
      </c>
      <c r="AI877" s="13">
        <f>AF877+AG877+AH877</f>
        <v/>
      </c>
      <c r="AJ877" s="14" t="n">
        <v>30</v>
      </c>
      <c r="AK877" s="14" t="n">
        <v>0</v>
      </c>
      <c r="AL877" s="14" t="n">
        <v>0</v>
      </c>
      <c r="AM877" s="14">
        <f>AJ877+AK877+AL877</f>
        <v/>
      </c>
      <c r="AN877" s="14">
        <f>AN876+AM877</f>
        <v/>
      </c>
    </row>
    <row r="878">
      <c r="A878" s="8" t="n">
        <v>34</v>
      </c>
      <c r="B878" s="8" t="n">
        <v>10</v>
      </c>
      <c r="C878" s="8" t="n">
        <v>1</v>
      </c>
      <c r="D878" s="8" t="inlineStr">
        <is>
          <t>版本免费+义相逢 + 月卡收益</t>
        </is>
      </c>
      <c r="E878" s="9">
        <f>K877</f>
        <v/>
      </c>
      <c r="F878" s="9" t="n">
        <v>1540</v>
      </c>
      <c r="G878" s="9" t="n">
        <v>4800</v>
      </c>
      <c r="H878" s="9" t="n">
        <v>0</v>
      </c>
      <c r="I878" s="9" t="n">
        <v>0</v>
      </c>
      <c r="J878" s="9" t="n">
        <v>0</v>
      </c>
      <c r="K878" s="9">
        <f>E878+F878+G878+H878+I878-J878</f>
        <v/>
      </c>
      <c r="L878" s="10">
        <f>Q877</f>
        <v/>
      </c>
      <c r="M878" s="10" t="n">
        <v>85</v>
      </c>
      <c r="N878" s="10" t="n">
        <v>11</v>
      </c>
      <c r="O878" s="10">
        <f>J878/160</f>
        <v/>
      </c>
      <c r="P878" s="10" t="n">
        <v>100</v>
      </c>
      <c r="Q878" s="10">
        <f>L878+M878+N878+O878-P878</f>
        <v/>
      </c>
      <c r="R878" s="11">
        <f>T877</f>
        <v/>
      </c>
      <c r="S878" s="11">
        <f>N(V878) + N(X878) + N(Z878)</f>
        <v/>
      </c>
      <c r="T878" s="11">
        <f>R878+P878-S878</f>
        <v/>
      </c>
      <c r="U878" s="11" t="inlineStr">
        <is>
          <t>是</t>
        </is>
      </c>
      <c r="V878" s="11" t="n">
        <v>51</v>
      </c>
      <c r="W878" s="11" t="inlineStr">
        <is>
          <t>是</t>
        </is>
      </c>
      <c r="X878" s="11" t="n">
        <v>49</v>
      </c>
      <c r="Y878" s="11" t="inlineStr">
        <is>
          <t>-</t>
        </is>
      </c>
      <c r="Z878" s="11" t="n">
        <v>0</v>
      </c>
      <c r="AA878" s="11" t="inlineStr">
        <is>
          <t>无</t>
        </is>
      </c>
      <c r="AB878" s="12">
        <f>AE877</f>
        <v/>
      </c>
      <c r="AC878" s="12" t="n">
        <v>4</v>
      </c>
      <c r="AD878" s="12" t="n">
        <v>0</v>
      </c>
      <c r="AE878" s="12">
        <f>AB878+AC878+AD878</f>
        <v/>
      </c>
      <c r="AF878" s="13">
        <f>AI877</f>
        <v/>
      </c>
      <c r="AG878" s="13" t="n">
        <v>0</v>
      </c>
      <c r="AH878" s="13" t="n">
        <v>0</v>
      </c>
      <c r="AI878" s="13">
        <f>AF878+AG878+AH878</f>
        <v/>
      </c>
      <c r="AJ878" s="14" t="n">
        <v>0</v>
      </c>
      <c r="AK878" s="14" t="n">
        <v>50</v>
      </c>
      <c r="AL878" s="14" t="n">
        <v>0</v>
      </c>
      <c r="AM878" s="14">
        <f>AJ878+AK878+AL878</f>
        <v/>
      </c>
      <c r="AN878" s="14">
        <f>AN877+AM878</f>
        <v/>
      </c>
    </row>
    <row r="879">
      <c r="A879" s="8" t="n">
        <v>34</v>
      </c>
      <c r="B879" s="8" t="n">
        <v>10</v>
      </c>
      <c r="C879" s="8" t="n">
        <v>2</v>
      </c>
      <c r="D879" s="8" t="inlineStr">
        <is>
          <t>月卡收益 [月卡续费-30元]</t>
        </is>
      </c>
      <c r="E879" s="9">
        <f>K878</f>
        <v/>
      </c>
      <c r="F879" s="9" t="n">
        <v>1540</v>
      </c>
      <c r="G879" s="9" t="n">
        <v>0</v>
      </c>
      <c r="H879" s="9" t="n">
        <v>0</v>
      </c>
      <c r="I879" s="9" t="n">
        <v>0</v>
      </c>
      <c r="J879" s="9" t="n">
        <v>8960</v>
      </c>
      <c r="K879" s="9">
        <f>E879+F879+G879+H879+I879-J879</f>
        <v/>
      </c>
      <c r="L879" s="10">
        <f>Q878</f>
        <v/>
      </c>
      <c r="M879" s="10" t="n">
        <v>0</v>
      </c>
      <c r="N879" s="10" t="n">
        <v>6</v>
      </c>
      <c r="O879" s="10">
        <f>J879/160</f>
        <v/>
      </c>
      <c r="P879" s="10" t="n">
        <v>60</v>
      </c>
      <c r="Q879" s="10">
        <f>L879+M879+N879+O879-P879</f>
        <v/>
      </c>
      <c r="R879" s="11">
        <f>T878</f>
        <v/>
      </c>
      <c r="S879" s="11">
        <f>N(V879) + N(X879) + N(Z879)</f>
        <v/>
      </c>
      <c r="T879" s="11">
        <f>R879+P879-S879</f>
        <v/>
      </c>
      <c r="U879" s="11" t="inlineStr">
        <is>
          <t>是</t>
        </is>
      </c>
      <c r="V879" s="11" t="n">
        <v>49</v>
      </c>
      <c r="W879" s="11" t="inlineStr">
        <is>
          <t>否</t>
        </is>
      </c>
      <c r="X879" s="11" t="inlineStr">
        <is>
          <t>-</t>
        </is>
      </c>
      <c r="Y879" s="11" t="inlineStr">
        <is>
          <t>-</t>
        </is>
      </c>
      <c r="Z879" s="11" t="n">
        <v>0</v>
      </c>
      <c r="AA879" s="11" t="inlineStr">
        <is>
          <t>垫到60抽</t>
        </is>
      </c>
      <c r="AB879" s="12">
        <f>AE878</f>
        <v/>
      </c>
      <c r="AC879" s="12" t="n">
        <v>0</v>
      </c>
      <c r="AD879" s="12" t="n">
        <v>0</v>
      </c>
      <c r="AE879" s="12">
        <f>AB879+AC879+AD879</f>
        <v/>
      </c>
      <c r="AF879" s="13">
        <f>AI878</f>
        <v/>
      </c>
      <c r="AG879" s="13" t="n">
        <v>0</v>
      </c>
      <c r="AH879" s="13" t="n">
        <v>0</v>
      </c>
      <c r="AI879" s="13">
        <f>AF879+AG879+AH879</f>
        <v/>
      </c>
      <c r="AJ879" s="14" t="n">
        <v>30</v>
      </c>
      <c r="AK879" s="14" t="n">
        <v>0</v>
      </c>
      <c r="AL879" s="14" t="n">
        <v>0</v>
      </c>
      <c r="AM879" s="14">
        <f>AJ879+AK879+AL879</f>
        <v/>
      </c>
      <c r="AN879" s="14">
        <f>AN878+AM879</f>
        <v/>
      </c>
    </row>
    <row r="880">
      <c r="A880" s="8" t="n">
        <v>34</v>
      </c>
      <c r="B880" s="8" t="n">
        <v>11</v>
      </c>
      <c r="C880" s="8" t="n">
        <v>1</v>
      </c>
      <c r="D880" s="8" t="inlineStr">
        <is>
          <t>版本免费+义相逢 + 月卡收益</t>
        </is>
      </c>
      <c r="E880" s="9">
        <f>K879</f>
        <v/>
      </c>
      <c r="F880" s="9" t="n">
        <v>1540</v>
      </c>
      <c r="G880" s="9" t="n">
        <v>4800</v>
      </c>
      <c r="H880" s="9" t="n">
        <v>0</v>
      </c>
      <c r="I880" s="9" t="n">
        <v>0</v>
      </c>
      <c r="J880" s="9" t="n">
        <v>0</v>
      </c>
      <c r="K880" s="9">
        <f>E880+F880+G880+H880+I880-J880</f>
        <v/>
      </c>
      <c r="L880" s="10">
        <f>Q879</f>
        <v/>
      </c>
      <c r="M880" s="10" t="n">
        <v>85</v>
      </c>
      <c r="N880" s="10" t="n">
        <v>3</v>
      </c>
      <c r="O880" s="10">
        <f>J880/160</f>
        <v/>
      </c>
      <c r="P880" s="10" t="n">
        <v>40</v>
      </c>
      <c r="Q880" s="10">
        <f>L880+M880+N880+O880-P880</f>
        <v/>
      </c>
      <c r="R880" s="11">
        <f>T879</f>
        <v/>
      </c>
      <c r="S880" s="11">
        <f>N(V880) + N(X880) + N(Z880)</f>
        <v/>
      </c>
      <c r="T880" s="11">
        <f>R880+P880-S880</f>
        <v/>
      </c>
      <c r="U880" s="11" t="inlineStr">
        <is>
          <t>是</t>
        </is>
      </c>
      <c r="V880" s="11" t="n">
        <v>49</v>
      </c>
      <c r="W880" s="11" t="inlineStr">
        <is>
          <t>否</t>
        </is>
      </c>
      <c r="X880" s="11" t="inlineStr">
        <is>
          <t>-</t>
        </is>
      </c>
      <c r="Y880" s="11" t="inlineStr">
        <is>
          <t>-</t>
        </is>
      </c>
      <c r="Z880" s="11" t="n">
        <v>0</v>
      </c>
      <c r="AA880" s="11" t="inlineStr">
        <is>
          <t>无</t>
        </is>
      </c>
      <c r="AB880" s="12">
        <f>AE879</f>
        <v/>
      </c>
      <c r="AC880" s="12" t="n">
        <v>4</v>
      </c>
      <c r="AD880" s="12" t="n">
        <v>0</v>
      </c>
      <c r="AE880" s="12">
        <f>AB880+AC880+AD880</f>
        <v/>
      </c>
      <c r="AF880" s="13">
        <f>AI879</f>
        <v/>
      </c>
      <c r="AG880" s="13" t="n">
        <v>0</v>
      </c>
      <c r="AH880" s="13" t="n">
        <v>0</v>
      </c>
      <c r="AI880" s="13">
        <f>AF880+AG880+AH880</f>
        <v/>
      </c>
      <c r="AJ880" s="14" t="n">
        <v>0</v>
      </c>
      <c r="AK880" s="14" t="n">
        <v>50</v>
      </c>
      <c r="AL880" s="14" t="n">
        <v>0</v>
      </c>
      <c r="AM880" s="14">
        <f>AJ880+AK880+AL880</f>
        <v/>
      </c>
      <c r="AN880" s="14">
        <f>AN879+AM880</f>
        <v/>
      </c>
    </row>
    <row r="881">
      <c r="A881" s="8" t="n">
        <v>34</v>
      </c>
      <c r="B881" s="8" t="n">
        <v>11</v>
      </c>
      <c r="C881" s="8" t="n">
        <v>2</v>
      </c>
      <c r="D881" s="8" t="inlineStr">
        <is>
          <t>月卡收益 [月卡续费-30元]</t>
        </is>
      </c>
      <c r="E881" s="9">
        <f>K880</f>
        <v/>
      </c>
      <c r="F881" s="9" t="n">
        <v>1540</v>
      </c>
      <c r="G881" s="9" t="n">
        <v>0</v>
      </c>
      <c r="H881" s="9" t="n">
        <v>0</v>
      </c>
      <c r="I881" s="9" t="n">
        <v>0</v>
      </c>
      <c r="J881" s="9" t="n">
        <v>6080</v>
      </c>
      <c r="K881" s="9">
        <f>E881+F881+G881+H881+I881-J881</f>
        <v/>
      </c>
      <c r="L881" s="10">
        <f>Q880</f>
        <v/>
      </c>
      <c r="M881" s="10" t="n">
        <v>0</v>
      </c>
      <c r="N881" s="10" t="n">
        <v>11</v>
      </c>
      <c r="O881" s="10">
        <f>J881/160</f>
        <v/>
      </c>
      <c r="P881" s="10" t="n">
        <v>100</v>
      </c>
      <c r="Q881" s="10">
        <f>L881+M881+N881+O881-P881</f>
        <v/>
      </c>
      <c r="R881" s="11">
        <f>T880</f>
        <v/>
      </c>
      <c r="S881" s="11">
        <f>N(V881) + N(X881) + N(Z881)</f>
        <v/>
      </c>
      <c r="T881" s="11">
        <f>R881+P881-S881</f>
        <v/>
      </c>
      <c r="U881" s="11" t="inlineStr">
        <is>
          <t>是</t>
        </is>
      </c>
      <c r="V881" s="11" t="n">
        <v>53</v>
      </c>
      <c r="W881" s="11" t="inlineStr">
        <is>
          <t>是</t>
        </is>
      </c>
      <c r="X881" s="11" t="n">
        <v>49</v>
      </c>
      <c r="Y881" s="11" t="inlineStr">
        <is>
          <t>-</t>
        </is>
      </c>
      <c r="Z881" s="11" t="n">
        <v>0</v>
      </c>
      <c r="AA881" s="11" t="inlineStr">
        <is>
          <t>无</t>
        </is>
      </c>
      <c r="AB881" s="12">
        <f>AE880</f>
        <v/>
      </c>
      <c r="AC881" s="12" t="n">
        <v>0</v>
      </c>
      <c r="AD881" s="12" t="n">
        <v>0</v>
      </c>
      <c r="AE881" s="12">
        <f>AB881+AC881+AD881</f>
        <v/>
      </c>
      <c r="AF881" s="13">
        <f>AI880</f>
        <v/>
      </c>
      <c r="AG881" s="13" t="n">
        <v>0</v>
      </c>
      <c r="AH881" s="13" t="n">
        <v>0</v>
      </c>
      <c r="AI881" s="13">
        <f>AF881+AG881+AH881</f>
        <v/>
      </c>
      <c r="AJ881" s="14" t="n">
        <v>30</v>
      </c>
      <c r="AK881" s="14" t="n">
        <v>0</v>
      </c>
      <c r="AL881" s="14" t="n">
        <v>0</v>
      </c>
      <c r="AM881" s="14">
        <f>AJ881+AK881+AL881</f>
        <v/>
      </c>
      <c r="AN881" s="14">
        <f>AN880+AM881</f>
        <v/>
      </c>
    </row>
    <row r="882">
      <c r="A882" s="8" t="n">
        <v>34</v>
      </c>
      <c r="B882" s="8" t="n">
        <v>12</v>
      </c>
      <c r="C882" s="8" t="n">
        <v>1</v>
      </c>
      <c r="D882" s="8" t="inlineStr">
        <is>
          <t>版本免费+义相逢 + 月卡收益</t>
        </is>
      </c>
      <c r="E882" s="9">
        <f>K881</f>
        <v/>
      </c>
      <c r="F882" s="9" t="n">
        <v>1540</v>
      </c>
      <c r="G882" s="9" t="n">
        <v>4800</v>
      </c>
      <c r="H882" s="9" t="n">
        <v>0</v>
      </c>
      <c r="I882" s="9" t="n">
        <v>0</v>
      </c>
      <c r="J882" s="9" t="n">
        <v>0</v>
      </c>
      <c r="K882" s="9">
        <f>E882+F882+G882+H882+I882-J882</f>
        <v/>
      </c>
      <c r="L882" s="10">
        <f>Q881</f>
        <v/>
      </c>
      <c r="M882" s="10" t="n">
        <v>85</v>
      </c>
      <c r="N882" s="10" t="n">
        <v>6</v>
      </c>
      <c r="O882" s="10">
        <f>J882/160</f>
        <v/>
      </c>
      <c r="P882" s="10" t="n">
        <v>60</v>
      </c>
      <c r="Q882" s="10">
        <f>L882+M882+N882+O882-P882</f>
        <v/>
      </c>
      <c r="R882" s="11">
        <f>T881</f>
        <v/>
      </c>
      <c r="S882" s="11">
        <f>N(V882) + N(X882) + N(Z882)</f>
        <v/>
      </c>
      <c r="T882" s="11">
        <f>R882+P882-S882</f>
        <v/>
      </c>
      <c r="U882" s="11" t="inlineStr">
        <is>
          <t>是</t>
        </is>
      </c>
      <c r="V882" s="11" t="n">
        <v>53</v>
      </c>
      <c r="W882" s="11" t="inlineStr">
        <is>
          <t>否</t>
        </is>
      </c>
      <c r="X882" s="11" t="inlineStr">
        <is>
          <t>-</t>
        </is>
      </c>
      <c r="Y882" s="11" t="inlineStr">
        <is>
          <t>-</t>
        </is>
      </c>
      <c r="Z882" s="11" t="n">
        <v>0</v>
      </c>
      <c r="AA882" s="11" t="inlineStr">
        <is>
          <t>垫到60抽</t>
        </is>
      </c>
      <c r="AB882" s="12">
        <f>AE881</f>
        <v/>
      </c>
      <c r="AC882" s="12" t="n">
        <v>4</v>
      </c>
      <c r="AD882" s="12" t="n">
        <v>0</v>
      </c>
      <c r="AE882" s="12">
        <f>AB882+AC882+AD882</f>
        <v/>
      </c>
      <c r="AF882" s="13">
        <f>AI881</f>
        <v/>
      </c>
      <c r="AG882" s="13" t="n">
        <v>0</v>
      </c>
      <c r="AH882" s="13" t="n">
        <v>0</v>
      </c>
      <c r="AI882" s="13">
        <f>AF882+AG882+AH882</f>
        <v/>
      </c>
      <c r="AJ882" s="14" t="n">
        <v>0</v>
      </c>
      <c r="AK882" s="14" t="n">
        <v>50</v>
      </c>
      <c r="AL882" s="14" t="n">
        <v>0</v>
      </c>
      <c r="AM882" s="14">
        <f>AJ882+AK882+AL882</f>
        <v/>
      </c>
      <c r="AN882" s="14">
        <f>AN881+AM882</f>
        <v/>
      </c>
    </row>
    <row r="883">
      <c r="A883" s="8" t="n">
        <v>34</v>
      </c>
      <c r="B883" s="8" t="n">
        <v>12</v>
      </c>
      <c r="C883" s="8" t="n">
        <v>2</v>
      </c>
      <c r="D883" s="8" t="inlineStr">
        <is>
          <t>月卡收益 [月卡续费-30元]</t>
        </is>
      </c>
      <c r="E883" s="9">
        <f>K882</f>
        <v/>
      </c>
      <c r="F883" s="9" t="n">
        <v>1540</v>
      </c>
      <c r="G883" s="9" t="n">
        <v>0</v>
      </c>
      <c r="H883" s="9" t="n">
        <v>0</v>
      </c>
      <c r="I883" s="9" t="n">
        <v>0</v>
      </c>
      <c r="J883" s="9" t="n">
        <v>8480</v>
      </c>
      <c r="K883" s="9">
        <f>E883+F883+G883+H883+I883-J883</f>
        <v/>
      </c>
      <c r="L883" s="10">
        <f>Q882</f>
        <v/>
      </c>
      <c r="M883" s="10" t="n">
        <v>0</v>
      </c>
      <c r="N883" s="10" t="n">
        <v>11</v>
      </c>
      <c r="O883" s="10">
        <f>J883/160</f>
        <v/>
      </c>
      <c r="P883" s="10" t="n">
        <v>90</v>
      </c>
      <c r="Q883" s="10">
        <f>L883+M883+N883+O883-P883</f>
        <v/>
      </c>
      <c r="R883" s="11">
        <f>T882</f>
        <v/>
      </c>
      <c r="S883" s="11">
        <f>N(V883) + N(X883) + N(Z883)</f>
        <v/>
      </c>
      <c r="T883" s="11">
        <f>R883+P883-S883</f>
        <v/>
      </c>
      <c r="U883" s="11" t="inlineStr">
        <is>
          <t>是</t>
        </is>
      </c>
      <c r="V883" s="11" t="n">
        <v>49</v>
      </c>
      <c r="W883" s="11" t="inlineStr">
        <is>
          <t>是</t>
        </is>
      </c>
      <c r="X883" s="11" t="n">
        <v>50</v>
      </c>
      <c r="Y883" s="11" t="inlineStr">
        <is>
          <t>-</t>
        </is>
      </c>
      <c r="Z883" s="11" t="n">
        <v>0</v>
      </c>
      <c r="AA883" s="11" t="inlineStr">
        <is>
          <t>无</t>
        </is>
      </c>
      <c r="AB883" s="12">
        <f>AE882</f>
        <v/>
      </c>
      <c r="AC883" s="12" t="n">
        <v>0</v>
      </c>
      <c r="AD883" s="12" t="n">
        <v>0</v>
      </c>
      <c r="AE883" s="12">
        <f>AB883+AC883+AD883</f>
        <v/>
      </c>
      <c r="AF883" s="13">
        <f>AI882</f>
        <v/>
      </c>
      <c r="AG883" s="13" t="n">
        <v>0</v>
      </c>
      <c r="AH883" s="13" t="n">
        <v>0</v>
      </c>
      <c r="AI883" s="13">
        <f>AF883+AG883+AH883</f>
        <v/>
      </c>
      <c r="AJ883" s="14" t="n">
        <v>30</v>
      </c>
      <c r="AK883" s="14" t="n">
        <v>0</v>
      </c>
      <c r="AL883" s="14" t="n">
        <v>0</v>
      </c>
      <c r="AM883" s="14">
        <f>AJ883+AK883+AL883</f>
        <v/>
      </c>
      <c r="AN883" s="14">
        <f>AN882+AM883</f>
        <v/>
      </c>
    </row>
    <row r="884">
      <c r="A884" s="8" t="n">
        <v>34</v>
      </c>
      <c r="B884" s="8" t="n">
        <v>13</v>
      </c>
      <c r="C884" s="8" t="n">
        <v>1</v>
      </c>
      <c r="D884" s="8" t="inlineStr">
        <is>
          <t>版本免费+义相逢 + 月卡收益</t>
        </is>
      </c>
      <c r="E884" s="9">
        <f>K883</f>
        <v/>
      </c>
      <c r="F884" s="9" t="n">
        <v>1540</v>
      </c>
      <c r="G884" s="9" t="n">
        <v>4800</v>
      </c>
      <c r="H884" s="9" t="n">
        <v>0</v>
      </c>
      <c r="I884" s="9" t="n">
        <v>0</v>
      </c>
      <c r="J884" s="9" t="n">
        <v>0</v>
      </c>
      <c r="K884" s="9">
        <f>E884+F884+G884+H884+I884-J884</f>
        <v/>
      </c>
      <c r="L884" s="10">
        <f>Q883</f>
        <v/>
      </c>
      <c r="M884" s="10" t="n">
        <v>85</v>
      </c>
      <c r="N884" s="10" t="n">
        <v>11</v>
      </c>
      <c r="O884" s="10">
        <f>J884/160</f>
        <v/>
      </c>
      <c r="P884" s="10" t="n">
        <v>100</v>
      </c>
      <c r="Q884" s="10">
        <f>L884+M884+N884+O884-P884</f>
        <v/>
      </c>
      <c r="R884" s="11">
        <f>T883</f>
        <v/>
      </c>
      <c r="S884" s="11">
        <f>N(V884) + N(X884) + N(Z884)</f>
        <v/>
      </c>
      <c r="T884" s="11">
        <f>R884+P884-S884</f>
        <v/>
      </c>
      <c r="U884" s="11" t="inlineStr">
        <is>
          <t>是</t>
        </is>
      </c>
      <c r="V884" s="11" t="n">
        <v>48</v>
      </c>
      <c r="W884" s="11" t="inlineStr">
        <is>
          <t>是</t>
        </is>
      </c>
      <c r="X884" s="11" t="n">
        <v>52</v>
      </c>
      <c r="Y884" s="11" t="inlineStr">
        <is>
          <t>-</t>
        </is>
      </c>
      <c r="Z884" s="11" t="n">
        <v>0</v>
      </c>
      <c r="AA884" s="11" t="inlineStr">
        <is>
          <t>无</t>
        </is>
      </c>
      <c r="AB884" s="12">
        <f>AE883</f>
        <v/>
      </c>
      <c r="AC884" s="12" t="n">
        <v>4</v>
      </c>
      <c r="AD884" s="12" t="n">
        <v>0</v>
      </c>
      <c r="AE884" s="12">
        <f>AB884+AC884+AD884</f>
        <v/>
      </c>
      <c r="AF884" s="13">
        <f>AI883</f>
        <v/>
      </c>
      <c r="AG884" s="13" t="n">
        <v>0</v>
      </c>
      <c r="AH884" s="13" t="n">
        <v>0</v>
      </c>
      <c r="AI884" s="13">
        <f>AF884+AG884+AH884</f>
        <v/>
      </c>
      <c r="AJ884" s="14" t="n">
        <v>0</v>
      </c>
      <c r="AK884" s="14" t="n">
        <v>50</v>
      </c>
      <c r="AL884" s="14" t="n">
        <v>0</v>
      </c>
      <c r="AM884" s="14">
        <f>AJ884+AK884+AL884</f>
        <v/>
      </c>
      <c r="AN884" s="14">
        <f>AN883+AM884</f>
        <v/>
      </c>
    </row>
    <row r="885">
      <c r="A885" s="8" t="n">
        <v>34</v>
      </c>
      <c r="B885" s="8" t="n">
        <v>13</v>
      </c>
      <c r="C885" s="8" t="n">
        <v>2</v>
      </c>
      <c r="D885" s="8" t="inlineStr">
        <is>
          <t>月卡收益 [月卡续费-30元]</t>
        </is>
      </c>
      <c r="E885" s="9">
        <f>K884</f>
        <v/>
      </c>
      <c r="F885" s="9" t="n">
        <v>1540</v>
      </c>
      <c r="G885" s="9" t="n">
        <v>0</v>
      </c>
      <c r="H885" s="9" t="n">
        <v>0</v>
      </c>
      <c r="I885" s="9" t="n">
        <v>0</v>
      </c>
      <c r="J885" s="9" t="n">
        <v>8960</v>
      </c>
      <c r="K885" s="9">
        <f>E885+F885+G885+H885+I885-J885</f>
        <v/>
      </c>
      <c r="L885" s="10">
        <f>Q884</f>
        <v/>
      </c>
      <c r="M885" s="10" t="n">
        <v>0</v>
      </c>
      <c r="N885" s="10" t="n">
        <v>6</v>
      </c>
      <c r="O885" s="10">
        <f>J885/160</f>
        <v/>
      </c>
      <c r="P885" s="10" t="n">
        <v>60</v>
      </c>
      <c r="Q885" s="10">
        <f>L885+M885+N885+O885-P885</f>
        <v/>
      </c>
      <c r="R885" s="11">
        <f>T884</f>
        <v/>
      </c>
      <c r="S885" s="11">
        <f>N(V885) + N(X885) + N(Z885)</f>
        <v/>
      </c>
      <c r="T885" s="11">
        <f>R885+P885-S885</f>
        <v/>
      </c>
      <c r="U885" s="11" t="inlineStr">
        <is>
          <t>是</t>
        </is>
      </c>
      <c r="V885" s="11" t="n">
        <v>52</v>
      </c>
      <c r="W885" s="11" t="inlineStr">
        <is>
          <t>否</t>
        </is>
      </c>
      <c r="X885" s="11" t="inlineStr">
        <is>
          <t>-</t>
        </is>
      </c>
      <c r="Y885" s="11" t="inlineStr">
        <is>
          <t>-</t>
        </is>
      </c>
      <c r="Z885" s="11" t="n">
        <v>0</v>
      </c>
      <c r="AA885" s="11" t="inlineStr">
        <is>
          <t>垫到60抽</t>
        </is>
      </c>
      <c r="AB885" s="12">
        <f>AE884</f>
        <v/>
      </c>
      <c r="AC885" s="12" t="n">
        <v>0</v>
      </c>
      <c r="AD885" s="12" t="n">
        <v>0</v>
      </c>
      <c r="AE885" s="12">
        <f>AB885+AC885+AD885</f>
        <v/>
      </c>
      <c r="AF885" s="13">
        <f>AI884</f>
        <v/>
      </c>
      <c r="AG885" s="13" t="n">
        <v>0</v>
      </c>
      <c r="AH885" s="13" t="n">
        <v>0</v>
      </c>
      <c r="AI885" s="13">
        <f>AF885+AG885+AH885</f>
        <v/>
      </c>
      <c r="AJ885" s="14" t="n">
        <v>30</v>
      </c>
      <c r="AK885" s="14" t="n">
        <v>0</v>
      </c>
      <c r="AL885" s="14" t="n">
        <v>0</v>
      </c>
      <c r="AM885" s="14">
        <f>AJ885+AK885+AL885</f>
        <v/>
      </c>
      <c r="AN885" s="14">
        <f>AN884+AM885</f>
        <v/>
      </c>
    </row>
    <row r="886">
      <c r="A886" s="8" t="n">
        <v>35</v>
      </c>
      <c r="B886" s="8" t="n">
        <v>1</v>
      </c>
      <c r="C886" s="8" t="n">
        <v>1</v>
      </c>
      <c r="D886" s="8" t="inlineStr">
        <is>
          <t>版本免费+义相逢 + 月卡收益</t>
        </is>
      </c>
      <c r="E886" s="9" t="n">
        <v>18160</v>
      </c>
      <c r="F886" s="9" t="n">
        <v>1540</v>
      </c>
      <c r="G886" s="9" t="n">
        <v>4800</v>
      </c>
      <c r="H886" s="9" t="n">
        <v>0</v>
      </c>
      <c r="I886" s="9" t="n">
        <v>0</v>
      </c>
      <c r="J886" s="9" t="n">
        <v>0</v>
      </c>
      <c r="K886" s="9">
        <f>E886+F886+G886+H886+I886-J886</f>
        <v/>
      </c>
      <c r="L886" s="10" t="n">
        <v>3</v>
      </c>
      <c r="M886" s="10" t="n">
        <v>85</v>
      </c>
      <c r="N886" s="10" t="n">
        <v>11</v>
      </c>
      <c r="O886" s="10">
        <f>J886/160</f>
        <v/>
      </c>
      <c r="P886" s="10" t="n">
        <v>90</v>
      </c>
      <c r="Q886" s="10">
        <f>L886+M886+N886+O886-P886</f>
        <v/>
      </c>
      <c r="R886" s="11" t="n">
        <v>11</v>
      </c>
      <c r="S886" s="11">
        <f>N(V886) + N(X886) + N(Z886)</f>
        <v/>
      </c>
      <c r="T886" s="11">
        <f>R886+P886-S886</f>
        <v/>
      </c>
      <c r="U886" s="11" t="inlineStr">
        <is>
          <t>是</t>
        </is>
      </c>
      <c r="V886" s="11" t="n">
        <v>49</v>
      </c>
      <c r="W886" s="11" t="inlineStr">
        <is>
          <t>是</t>
        </is>
      </c>
      <c r="X886" s="11" t="n">
        <v>52</v>
      </c>
      <c r="Y886" s="11" t="inlineStr">
        <is>
          <t>-</t>
        </is>
      </c>
      <c r="Z886" s="11" t="n">
        <v>0</v>
      </c>
      <c r="AA886" s="11" t="inlineStr">
        <is>
          <t>无</t>
        </is>
      </c>
      <c r="AB886" s="12" t="n">
        <v>1824</v>
      </c>
      <c r="AC886" s="12" t="n">
        <v>4</v>
      </c>
      <c r="AD886" s="12" t="n">
        <v>0</v>
      </c>
      <c r="AE886" s="12">
        <f>AB886+AC886+AD886</f>
        <v/>
      </c>
      <c r="AF886" s="13" t="n">
        <v>280000</v>
      </c>
      <c r="AG886" s="13" t="n">
        <v>0</v>
      </c>
      <c r="AH886" s="13" t="n">
        <v>0</v>
      </c>
      <c r="AI886" s="13">
        <f>AF886+AG886+AH886</f>
        <v/>
      </c>
      <c r="AJ886" s="14" t="n">
        <v>0</v>
      </c>
      <c r="AK886" s="14" t="n">
        <v>50</v>
      </c>
      <c r="AL886" s="14" t="n">
        <v>0</v>
      </c>
      <c r="AM886" s="14">
        <f>AJ886+AK886+AL886</f>
        <v/>
      </c>
      <c r="AN886" s="14">
        <f>AM886</f>
        <v/>
      </c>
    </row>
    <row r="887">
      <c r="A887" s="8" t="n">
        <v>35</v>
      </c>
      <c r="B887" s="8" t="n">
        <v>1</v>
      </c>
      <c r="C887" s="8" t="n">
        <v>2</v>
      </c>
      <c r="D887" s="8" t="inlineStr">
        <is>
          <t>月卡收益</t>
        </is>
      </c>
      <c r="E887" s="9">
        <f>K886</f>
        <v/>
      </c>
      <c r="F887" s="9" t="n">
        <v>1540</v>
      </c>
      <c r="G887" s="9" t="n">
        <v>0</v>
      </c>
      <c r="H887" s="9" t="n">
        <v>0</v>
      </c>
      <c r="I887" s="9" t="n">
        <v>0</v>
      </c>
      <c r="J887" s="9" t="n">
        <v>12800</v>
      </c>
      <c r="K887" s="9">
        <f>E887+F887+G887+H887+I887-J887</f>
        <v/>
      </c>
      <c r="L887" s="10">
        <f>Q886</f>
        <v/>
      </c>
      <c r="M887" s="10" t="n">
        <v>0</v>
      </c>
      <c r="N887" s="10" t="n">
        <v>11</v>
      </c>
      <c r="O887" s="10">
        <f>J887/160</f>
        <v/>
      </c>
      <c r="P887" s="10" t="n">
        <v>100</v>
      </c>
      <c r="Q887" s="10">
        <f>L887+M887+N887+O887-P887</f>
        <v/>
      </c>
      <c r="R887" s="11">
        <f>T886</f>
        <v/>
      </c>
      <c r="S887" s="11">
        <f>N(V887) + N(X887) + N(Z887)</f>
        <v/>
      </c>
      <c r="T887" s="11">
        <f>R887+P887-S887</f>
        <v/>
      </c>
      <c r="U887" s="11" t="inlineStr">
        <is>
          <t>是</t>
        </is>
      </c>
      <c r="V887" s="11" t="n">
        <v>51</v>
      </c>
      <c r="W887" s="11" t="inlineStr">
        <is>
          <t>是</t>
        </is>
      </c>
      <c r="X887" s="11" t="n">
        <v>48</v>
      </c>
      <c r="Y887" s="11" t="inlineStr">
        <is>
          <t>-</t>
        </is>
      </c>
      <c r="Z887" s="11" t="n">
        <v>0</v>
      </c>
      <c r="AA887" s="11" t="inlineStr">
        <is>
          <t>无</t>
        </is>
      </c>
      <c r="AB887" s="12">
        <f>AE886</f>
        <v/>
      </c>
      <c r="AC887" s="12" t="n">
        <v>0</v>
      </c>
      <c r="AD887" s="12" t="n">
        <v>0</v>
      </c>
      <c r="AE887" s="12">
        <f>AB887+AC887+AD887</f>
        <v/>
      </c>
      <c r="AF887" s="13">
        <f>AI886</f>
        <v/>
      </c>
      <c r="AG887" s="13" t="n">
        <v>0</v>
      </c>
      <c r="AH887" s="13" t="n">
        <v>0</v>
      </c>
      <c r="AI887" s="13">
        <f>AF887+AG887+AH887</f>
        <v/>
      </c>
      <c r="AJ887" s="14" t="n">
        <v>0</v>
      </c>
      <c r="AK887" s="14" t="n">
        <v>0</v>
      </c>
      <c r="AL887" s="14" t="n">
        <v>0</v>
      </c>
      <c r="AM887" s="14">
        <f>AJ887+AK887+AL887</f>
        <v/>
      </c>
      <c r="AN887" s="14">
        <f>AN886+AM887</f>
        <v/>
      </c>
    </row>
    <row r="888">
      <c r="A888" s="8" t="n">
        <v>35</v>
      </c>
      <c r="B888" s="8" t="n">
        <v>2</v>
      </c>
      <c r="C888" s="8" t="n">
        <v>1</v>
      </c>
      <c r="D888" s="8" t="inlineStr">
        <is>
          <t>版本免费+义相逢 + 月卡收益 [月卡续费-30元]</t>
        </is>
      </c>
      <c r="E888" s="9">
        <f>K887</f>
        <v/>
      </c>
      <c r="F888" s="9" t="n">
        <v>1540</v>
      </c>
      <c r="G888" s="9" t="n">
        <v>4800</v>
      </c>
      <c r="H888" s="9" t="n">
        <v>0</v>
      </c>
      <c r="I888" s="9" t="n">
        <v>0</v>
      </c>
      <c r="J888" s="9" t="n">
        <v>640</v>
      </c>
      <c r="K888" s="9">
        <f>E888+F888+G888+H888+I888-J888</f>
        <v/>
      </c>
      <c r="L888" s="10">
        <f>Q887</f>
        <v/>
      </c>
      <c r="M888" s="10" t="n">
        <v>85</v>
      </c>
      <c r="N888" s="10" t="n">
        <v>11</v>
      </c>
      <c r="O888" s="10">
        <f>J888/160</f>
        <v/>
      </c>
      <c r="P888" s="10" t="n">
        <v>100</v>
      </c>
      <c r="Q888" s="10">
        <f>L888+M888+N888+O888-P888</f>
        <v/>
      </c>
      <c r="R888" s="11">
        <f>T887</f>
        <v/>
      </c>
      <c r="S888" s="11">
        <f>N(V888) + N(X888) + N(Z888)</f>
        <v/>
      </c>
      <c r="T888" s="11">
        <f>R888+P888-S888</f>
        <v/>
      </c>
      <c r="U888" s="11" t="inlineStr">
        <is>
          <t>是</t>
        </is>
      </c>
      <c r="V888" s="11" t="n">
        <v>47</v>
      </c>
      <c r="W888" s="11" t="inlineStr">
        <is>
          <t>是</t>
        </is>
      </c>
      <c r="X888" s="11" t="n">
        <v>49</v>
      </c>
      <c r="Y888" s="11" t="inlineStr">
        <is>
          <t>-</t>
        </is>
      </c>
      <c r="Z888" s="11" t="n">
        <v>0</v>
      </c>
      <c r="AA888" s="11" t="inlineStr">
        <is>
          <t>无</t>
        </is>
      </c>
      <c r="AB888" s="12">
        <f>AE887</f>
        <v/>
      </c>
      <c r="AC888" s="12" t="n">
        <v>4</v>
      </c>
      <c r="AD888" s="12" t="n">
        <v>0</v>
      </c>
      <c r="AE888" s="12">
        <f>AB888+AC888+AD888</f>
        <v/>
      </c>
      <c r="AF888" s="13">
        <f>AI887</f>
        <v/>
      </c>
      <c r="AG888" s="13" t="n">
        <v>0</v>
      </c>
      <c r="AH888" s="13" t="n">
        <v>0</v>
      </c>
      <c r="AI888" s="13">
        <f>AF888+AG888+AH888</f>
        <v/>
      </c>
      <c r="AJ888" s="14" t="n">
        <v>30</v>
      </c>
      <c r="AK888" s="14" t="n">
        <v>50</v>
      </c>
      <c r="AL888" s="14" t="n">
        <v>0</v>
      </c>
      <c r="AM888" s="14">
        <f>AJ888+AK888+AL888</f>
        <v/>
      </c>
      <c r="AN888" s="14">
        <f>AN887+AM888</f>
        <v/>
      </c>
    </row>
    <row r="889">
      <c r="A889" s="8" t="n">
        <v>35</v>
      </c>
      <c r="B889" s="8" t="n">
        <v>2</v>
      </c>
      <c r="C889" s="8" t="n">
        <v>2</v>
      </c>
      <c r="D889" s="8" t="inlineStr">
        <is>
          <t>月卡收益</t>
        </is>
      </c>
      <c r="E889" s="9">
        <f>K888</f>
        <v/>
      </c>
      <c r="F889" s="9" t="n">
        <v>1540</v>
      </c>
      <c r="G889" s="9" t="n">
        <v>0</v>
      </c>
      <c r="H889" s="9" t="n">
        <v>0</v>
      </c>
      <c r="I889" s="9" t="n">
        <v>0</v>
      </c>
      <c r="J889" s="9" t="n">
        <v>4640</v>
      </c>
      <c r="K889" s="9">
        <f>E889+F889+G889+H889+I889-J889</f>
        <v/>
      </c>
      <c r="L889" s="10">
        <f>Q888</f>
        <v/>
      </c>
      <c r="M889" s="10" t="n">
        <v>0</v>
      </c>
      <c r="N889" s="10" t="n">
        <v>3</v>
      </c>
      <c r="O889" s="10">
        <f>J889/160</f>
        <v/>
      </c>
      <c r="P889" s="10" t="n">
        <v>30</v>
      </c>
      <c r="Q889" s="10">
        <f>L889+M889+N889+O889-P889</f>
        <v/>
      </c>
      <c r="R889" s="11">
        <f>T888</f>
        <v/>
      </c>
      <c r="S889" s="11">
        <f>N(V889) + N(X889) + N(Z889)</f>
        <v/>
      </c>
      <c r="T889" s="11">
        <f>R889+P889-S889</f>
        <v/>
      </c>
      <c r="U889" s="11" t="inlineStr">
        <is>
          <t>是</t>
        </is>
      </c>
      <c r="V889" s="11" t="n">
        <v>35</v>
      </c>
      <c r="W889" s="11" t="inlineStr">
        <is>
          <t>否</t>
        </is>
      </c>
      <c r="X889" s="11" t="inlineStr">
        <is>
          <t>-</t>
        </is>
      </c>
      <c r="Y889" s="11" t="inlineStr">
        <is>
          <t>-</t>
        </is>
      </c>
      <c r="Z889" s="11" t="n">
        <v>0</v>
      </c>
      <c r="AA889" s="11" t="inlineStr">
        <is>
          <t>无</t>
        </is>
      </c>
      <c r="AB889" s="12">
        <f>AE888</f>
        <v/>
      </c>
      <c r="AC889" s="12" t="n">
        <v>0</v>
      </c>
      <c r="AD889" s="12" t="n">
        <v>0</v>
      </c>
      <c r="AE889" s="12">
        <f>AB889+AC889+AD889</f>
        <v/>
      </c>
      <c r="AF889" s="13">
        <f>AI888</f>
        <v/>
      </c>
      <c r="AG889" s="13" t="n">
        <v>0</v>
      </c>
      <c r="AH889" s="13" t="n">
        <v>0</v>
      </c>
      <c r="AI889" s="13">
        <f>AF889+AG889+AH889</f>
        <v/>
      </c>
      <c r="AJ889" s="14" t="n">
        <v>0</v>
      </c>
      <c r="AK889" s="14" t="n">
        <v>0</v>
      </c>
      <c r="AL889" s="14" t="n">
        <v>0</v>
      </c>
      <c r="AM889" s="14">
        <f>AJ889+AK889+AL889</f>
        <v/>
      </c>
      <c r="AN889" s="14">
        <f>AN888+AM889</f>
        <v/>
      </c>
    </row>
    <row r="890">
      <c r="A890" s="8" t="n">
        <v>35</v>
      </c>
      <c r="B890" s="8" t="n">
        <v>3</v>
      </c>
      <c r="C890" s="8" t="n">
        <v>1</v>
      </c>
      <c r="D890" s="8" t="inlineStr">
        <is>
          <t>版本免费+义相逢 + 月卡收益 [月卡续费-30元]</t>
        </is>
      </c>
      <c r="E890" s="9">
        <f>K889</f>
        <v/>
      </c>
      <c r="F890" s="9" t="n">
        <v>1540</v>
      </c>
      <c r="G890" s="9" t="n">
        <v>4800</v>
      </c>
      <c r="H890" s="9" t="n">
        <v>0</v>
      </c>
      <c r="I890" s="9" t="n">
        <v>0</v>
      </c>
      <c r="J890" s="9" t="n">
        <v>0</v>
      </c>
      <c r="K890" s="9">
        <f>E890+F890+G890+H890+I890-J890</f>
        <v/>
      </c>
      <c r="L890" s="10">
        <f>Q889</f>
        <v/>
      </c>
      <c r="M890" s="10" t="n">
        <v>85</v>
      </c>
      <c r="N890" s="10" t="n">
        <v>6</v>
      </c>
      <c r="O890" s="10">
        <f>J890/160</f>
        <v/>
      </c>
      <c r="P890" s="10" t="n">
        <v>60</v>
      </c>
      <c r="Q890" s="10">
        <f>L890+M890+N890+O890-P890</f>
        <v/>
      </c>
      <c r="R890" s="11">
        <f>T889</f>
        <v/>
      </c>
      <c r="S890" s="11">
        <f>N(V890) + N(X890) + N(Z890)</f>
        <v/>
      </c>
      <c r="T890" s="11">
        <f>R890+P890-S890</f>
        <v/>
      </c>
      <c r="U890" s="11" t="inlineStr">
        <is>
          <t>是</t>
        </is>
      </c>
      <c r="V890" s="11" t="n">
        <v>47</v>
      </c>
      <c r="W890" s="11" t="inlineStr">
        <is>
          <t>否</t>
        </is>
      </c>
      <c r="X890" s="11" t="inlineStr">
        <is>
          <t>-</t>
        </is>
      </c>
      <c r="Y890" s="11" t="inlineStr">
        <is>
          <t>-</t>
        </is>
      </c>
      <c r="Z890" s="11" t="n">
        <v>0</v>
      </c>
      <c r="AA890" s="11" t="inlineStr">
        <is>
          <t>垫到60抽</t>
        </is>
      </c>
      <c r="AB890" s="12">
        <f>AE889</f>
        <v/>
      </c>
      <c r="AC890" s="12" t="n">
        <v>4</v>
      </c>
      <c r="AD890" s="12" t="n">
        <v>0</v>
      </c>
      <c r="AE890" s="12">
        <f>AB890+AC890+AD890</f>
        <v/>
      </c>
      <c r="AF890" s="13">
        <f>AI889</f>
        <v/>
      </c>
      <c r="AG890" s="13" t="n">
        <v>0</v>
      </c>
      <c r="AH890" s="13" t="n">
        <v>0</v>
      </c>
      <c r="AI890" s="13">
        <f>AF890+AG890+AH890</f>
        <v/>
      </c>
      <c r="AJ890" s="14" t="n">
        <v>30</v>
      </c>
      <c r="AK890" s="14" t="n">
        <v>50</v>
      </c>
      <c r="AL890" s="14" t="n">
        <v>0</v>
      </c>
      <c r="AM890" s="14">
        <f>AJ890+AK890+AL890</f>
        <v/>
      </c>
      <c r="AN890" s="14">
        <f>AN889+AM890</f>
        <v/>
      </c>
    </row>
    <row r="891">
      <c r="A891" s="8" t="n">
        <v>35</v>
      </c>
      <c r="B891" s="8" t="n">
        <v>3</v>
      </c>
      <c r="C891" s="8" t="n">
        <v>2</v>
      </c>
      <c r="D891" s="8" t="inlineStr">
        <is>
          <t>月卡收益</t>
        </is>
      </c>
      <c r="E891" s="9">
        <f>K890</f>
        <v/>
      </c>
      <c r="F891" s="9" t="n">
        <v>1540</v>
      </c>
      <c r="G891" s="9" t="n">
        <v>0</v>
      </c>
      <c r="H891" s="9" t="n">
        <v>0</v>
      </c>
      <c r="I891" s="9" t="n">
        <v>0</v>
      </c>
      <c r="J891" s="9" t="n">
        <v>8160</v>
      </c>
      <c r="K891" s="9">
        <f>E891+F891+G891+H891+I891-J891</f>
        <v/>
      </c>
      <c r="L891" s="10">
        <f>Q890</f>
        <v/>
      </c>
      <c r="M891" s="10" t="n">
        <v>0</v>
      </c>
      <c r="N891" s="10" t="n">
        <v>11</v>
      </c>
      <c r="O891" s="10">
        <f>J891/160</f>
        <v/>
      </c>
      <c r="P891" s="10" t="n">
        <v>90</v>
      </c>
      <c r="Q891" s="10">
        <f>L891+M891+N891+O891-P891</f>
        <v/>
      </c>
      <c r="R891" s="11">
        <f>T890</f>
        <v/>
      </c>
      <c r="S891" s="11">
        <f>N(V891) + N(X891) + N(Z891)</f>
        <v/>
      </c>
      <c r="T891" s="11">
        <f>R891+P891-S891</f>
        <v/>
      </c>
      <c r="U891" s="11" t="inlineStr">
        <is>
          <t>是</t>
        </is>
      </c>
      <c r="V891" s="11" t="n">
        <v>49</v>
      </c>
      <c r="W891" s="11" t="inlineStr">
        <is>
          <t>是</t>
        </is>
      </c>
      <c r="X891" s="11" t="n">
        <v>46</v>
      </c>
      <c r="Y891" s="11" t="inlineStr">
        <is>
          <t>-</t>
        </is>
      </c>
      <c r="Z891" s="11" t="n">
        <v>0</v>
      </c>
      <c r="AA891" s="11" t="inlineStr">
        <is>
          <t>无</t>
        </is>
      </c>
      <c r="AB891" s="12">
        <f>AE890</f>
        <v/>
      </c>
      <c r="AC891" s="12" t="n">
        <v>0</v>
      </c>
      <c r="AD891" s="12" t="n">
        <v>0</v>
      </c>
      <c r="AE891" s="12">
        <f>AB891+AC891+AD891</f>
        <v/>
      </c>
      <c r="AF891" s="13">
        <f>AI890</f>
        <v/>
      </c>
      <c r="AG891" s="13" t="n">
        <v>0</v>
      </c>
      <c r="AH891" s="13" t="n">
        <v>0</v>
      </c>
      <c r="AI891" s="13">
        <f>AF891+AG891+AH891</f>
        <v/>
      </c>
      <c r="AJ891" s="14" t="n">
        <v>0</v>
      </c>
      <c r="AK891" s="14" t="n">
        <v>0</v>
      </c>
      <c r="AL891" s="14" t="n">
        <v>0</v>
      </c>
      <c r="AM891" s="14">
        <f>AJ891+AK891+AL891</f>
        <v/>
      </c>
      <c r="AN891" s="14">
        <f>AN890+AM891</f>
        <v/>
      </c>
    </row>
    <row r="892">
      <c r="A892" s="8" t="n">
        <v>35</v>
      </c>
      <c r="B892" s="8" t="n">
        <v>4</v>
      </c>
      <c r="C892" s="8" t="n">
        <v>1</v>
      </c>
      <c r="D892" s="8" t="inlineStr">
        <is>
          <t>版本免费+义相逢 + 月卡收益 [月卡续费-30元]</t>
        </is>
      </c>
      <c r="E892" s="9">
        <f>K891</f>
        <v/>
      </c>
      <c r="F892" s="9" t="n">
        <v>1540</v>
      </c>
      <c r="G892" s="9" t="n">
        <v>4800</v>
      </c>
      <c r="H892" s="9" t="n">
        <v>0</v>
      </c>
      <c r="I892" s="9" t="n">
        <v>0</v>
      </c>
      <c r="J892" s="9" t="n">
        <v>0</v>
      </c>
      <c r="K892" s="9">
        <f>E892+F892+G892+H892+I892-J892</f>
        <v/>
      </c>
      <c r="L892" s="10">
        <f>Q891</f>
        <v/>
      </c>
      <c r="M892" s="10" t="n">
        <v>85</v>
      </c>
      <c r="N892" s="10" t="n">
        <v>11</v>
      </c>
      <c r="O892" s="10">
        <f>J892/160</f>
        <v/>
      </c>
      <c r="P892" s="10" t="n">
        <v>90</v>
      </c>
      <c r="Q892" s="10">
        <f>L892+M892+N892+O892-P892</f>
        <v/>
      </c>
      <c r="R892" s="11">
        <f>T891</f>
        <v/>
      </c>
      <c r="S892" s="11">
        <f>N(V892) + N(X892) + N(Z892)</f>
        <v/>
      </c>
      <c r="T892" s="11">
        <f>R892+P892-S892</f>
        <v/>
      </c>
      <c r="U892" s="11" t="inlineStr">
        <is>
          <t>是</t>
        </is>
      </c>
      <c r="V892" s="11" t="n">
        <v>46</v>
      </c>
      <c r="W892" s="11" t="inlineStr">
        <is>
          <t>是</t>
        </is>
      </c>
      <c r="X892" s="11" t="n">
        <v>49</v>
      </c>
      <c r="Y892" s="11" t="inlineStr">
        <is>
          <t>-</t>
        </is>
      </c>
      <c r="Z892" s="11" t="n">
        <v>0</v>
      </c>
      <c r="AA892" s="11" t="inlineStr">
        <is>
          <t>无</t>
        </is>
      </c>
      <c r="AB892" s="12">
        <f>AE891</f>
        <v/>
      </c>
      <c r="AC892" s="12" t="n">
        <v>4</v>
      </c>
      <c r="AD892" s="12" t="n">
        <v>0</v>
      </c>
      <c r="AE892" s="12">
        <f>AB892+AC892+AD892</f>
        <v/>
      </c>
      <c r="AF892" s="13">
        <f>AI891</f>
        <v/>
      </c>
      <c r="AG892" s="13" t="n">
        <v>0</v>
      </c>
      <c r="AH892" s="13" t="n">
        <v>0</v>
      </c>
      <c r="AI892" s="13">
        <f>AF892+AG892+AH892</f>
        <v/>
      </c>
      <c r="AJ892" s="14" t="n">
        <v>30</v>
      </c>
      <c r="AK892" s="14" t="n">
        <v>50</v>
      </c>
      <c r="AL892" s="14" t="n">
        <v>0</v>
      </c>
      <c r="AM892" s="14">
        <f>AJ892+AK892+AL892</f>
        <v/>
      </c>
      <c r="AN892" s="14">
        <f>AN891+AM892</f>
        <v/>
      </c>
    </row>
    <row r="893">
      <c r="A893" s="8" t="n">
        <v>35</v>
      </c>
      <c r="B893" s="8" t="n">
        <v>4</v>
      </c>
      <c r="C893" s="8" t="n">
        <v>2</v>
      </c>
      <c r="D893" s="8" t="inlineStr">
        <is>
          <t>月卡收益</t>
        </is>
      </c>
      <c r="E893" s="9">
        <f>K892</f>
        <v/>
      </c>
      <c r="F893" s="9" t="n">
        <v>1540</v>
      </c>
      <c r="G893" s="9" t="n">
        <v>0</v>
      </c>
      <c r="H893" s="9" t="n">
        <v>0</v>
      </c>
      <c r="I893" s="9" t="n">
        <v>0</v>
      </c>
      <c r="J893" s="9" t="n">
        <v>7360</v>
      </c>
      <c r="K893" s="9">
        <f>E893+F893+G893+H893+I893-J893</f>
        <v/>
      </c>
      <c r="L893" s="10">
        <f>Q892</f>
        <v/>
      </c>
      <c r="M893" s="10" t="n">
        <v>0</v>
      </c>
      <c r="N893" s="10" t="n">
        <v>6</v>
      </c>
      <c r="O893" s="10">
        <f>J893/160</f>
        <v/>
      </c>
      <c r="P893" s="10" t="n">
        <v>60</v>
      </c>
      <c r="Q893" s="10">
        <f>L893+M893+N893+O893-P893</f>
        <v/>
      </c>
      <c r="R893" s="11">
        <f>T892</f>
        <v/>
      </c>
      <c r="S893" s="11">
        <f>N(V893) + N(X893) + N(Z893)</f>
        <v/>
      </c>
      <c r="T893" s="11">
        <f>R893+P893-S893</f>
        <v/>
      </c>
      <c r="U893" s="11" t="inlineStr">
        <is>
          <t>是</t>
        </is>
      </c>
      <c r="V893" s="11" t="n">
        <v>50</v>
      </c>
      <c r="W893" s="11" t="inlineStr">
        <is>
          <t>否</t>
        </is>
      </c>
      <c r="X893" s="11" t="inlineStr">
        <is>
          <t>-</t>
        </is>
      </c>
      <c r="Y893" s="11" t="inlineStr">
        <is>
          <t>-</t>
        </is>
      </c>
      <c r="Z893" s="11" t="n">
        <v>0</v>
      </c>
      <c r="AA893" s="11" t="inlineStr">
        <is>
          <t>垫到60抽</t>
        </is>
      </c>
      <c r="AB893" s="12">
        <f>AE892</f>
        <v/>
      </c>
      <c r="AC893" s="12" t="n">
        <v>0</v>
      </c>
      <c r="AD893" s="12" t="n">
        <v>0</v>
      </c>
      <c r="AE893" s="12">
        <f>AB893+AC893+AD893</f>
        <v/>
      </c>
      <c r="AF893" s="13">
        <f>AI892</f>
        <v/>
      </c>
      <c r="AG893" s="13" t="n">
        <v>0</v>
      </c>
      <c r="AH893" s="13" t="n">
        <v>0</v>
      </c>
      <c r="AI893" s="13">
        <f>AF893+AG893+AH893</f>
        <v/>
      </c>
      <c r="AJ893" s="14" t="n">
        <v>0</v>
      </c>
      <c r="AK893" s="14" t="n">
        <v>0</v>
      </c>
      <c r="AL893" s="14" t="n">
        <v>0</v>
      </c>
      <c r="AM893" s="14">
        <f>AJ893+AK893+AL893</f>
        <v/>
      </c>
      <c r="AN893" s="14">
        <f>AN892+AM893</f>
        <v/>
      </c>
    </row>
    <row r="894">
      <c r="A894" s="8" t="n">
        <v>35</v>
      </c>
      <c r="B894" s="8" t="n">
        <v>5</v>
      </c>
      <c r="C894" s="8" t="n">
        <v>1</v>
      </c>
      <c r="D894" s="8" t="inlineStr">
        <is>
          <t>版本免费+义相逢 + 月卡收益 [月卡续费-30元]</t>
        </is>
      </c>
      <c r="E894" s="9">
        <f>K893</f>
        <v/>
      </c>
      <c r="F894" s="9" t="n">
        <v>1540</v>
      </c>
      <c r="G894" s="9" t="n">
        <v>4800</v>
      </c>
      <c r="H894" s="9" t="n">
        <v>0</v>
      </c>
      <c r="I894" s="9" t="n">
        <v>0</v>
      </c>
      <c r="J894" s="9" t="n">
        <v>0</v>
      </c>
      <c r="K894" s="9">
        <f>E894+F894+G894+H894+I894-J894</f>
        <v/>
      </c>
      <c r="L894" s="10">
        <f>Q893</f>
        <v/>
      </c>
      <c r="M894" s="10" t="n">
        <v>85</v>
      </c>
      <c r="N894" s="10" t="n">
        <v>11</v>
      </c>
      <c r="O894" s="10">
        <f>J894/160</f>
        <v/>
      </c>
      <c r="P894" s="10" t="n">
        <v>90</v>
      </c>
      <c r="Q894" s="10">
        <f>L894+M894+N894+O894-P894</f>
        <v/>
      </c>
      <c r="R894" s="11">
        <f>T893</f>
        <v/>
      </c>
      <c r="S894" s="11">
        <f>N(V894) + N(X894) + N(Z894)</f>
        <v/>
      </c>
      <c r="T894" s="11">
        <f>R894+P894-S894</f>
        <v/>
      </c>
      <c r="U894" s="11" t="inlineStr">
        <is>
          <t>是</t>
        </is>
      </c>
      <c r="V894" s="11" t="n">
        <v>47</v>
      </c>
      <c r="W894" s="11" t="inlineStr">
        <is>
          <t>是</t>
        </is>
      </c>
      <c r="X894" s="11" t="n">
        <v>50</v>
      </c>
      <c r="Y894" s="11" t="inlineStr">
        <is>
          <t>-</t>
        </is>
      </c>
      <c r="Z894" s="11" t="n">
        <v>0</v>
      </c>
      <c r="AA894" s="11" t="inlineStr">
        <is>
          <t>无</t>
        </is>
      </c>
      <c r="AB894" s="12">
        <f>AE893</f>
        <v/>
      </c>
      <c r="AC894" s="12" t="n">
        <v>4</v>
      </c>
      <c r="AD894" s="12" t="n">
        <v>0</v>
      </c>
      <c r="AE894" s="12">
        <f>AB894+AC894+AD894</f>
        <v/>
      </c>
      <c r="AF894" s="13">
        <f>AI893</f>
        <v/>
      </c>
      <c r="AG894" s="13" t="n">
        <v>0</v>
      </c>
      <c r="AH894" s="13" t="n">
        <v>0</v>
      </c>
      <c r="AI894" s="13">
        <f>AF894+AG894+AH894</f>
        <v/>
      </c>
      <c r="AJ894" s="14" t="n">
        <v>30</v>
      </c>
      <c r="AK894" s="14" t="n">
        <v>50</v>
      </c>
      <c r="AL894" s="14" t="n">
        <v>0</v>
      </c>
      <c r="AM894" s="14">
        <f>AJ894+AK894+AL894</f>
        <v/>
      </c>
      <c r="AN894" s="14">
        <f>AN893+AM894</f>
        <v/>
      </c>
    </row>
    <row r="895">
      <c r="A895" s="8" t="n">
        <v>35</v>
      </c>
      <c r="B895" s="8" t="n">
        <v>5</v>
      </c>
      <c r="C895" s="8" t="n">
        <v>2</v>
      </c>
      <c r="D895" s="8" t="inlineStr">
        <is>
          <t>月卡收益</t>
        </is>
      </c>
      <c r="E895" s="9">
        <f>K894</f>
        <v/>
      </c>
      <c r="F895" s="9" t="n">
        <v>1540</v>
      </c>
      <c r="G895" s="9" t="n">
        <v>0</v>
      </c>
      <c r="H895" s="9" t="n">
        <v>0</v>
      </c>
      <c r="I895" s="9" t="n">
        <v>0</v>
      </c>
      <c r="J895" s="9" t="n">
        <v>12800</v>
      </c>
      <c r="K895" s="9">
        <f>E895+F895+G895+H895+I895-J895</f>
        <v/>
      </c>
      <c r="L895" s="10">
        <f>Q894</f>
        <v/>
      </c>
      <c r="M895" s="10" t="n">
        <v>0</v>
      </c>
      <c r="N895" s="10" t="n">
        <v>11</v>
      </c>
      <c r="O895" s="10">
        <f>J895/160</f>
        <v/>
      </c>
      <c r="P895" s="10" t="n">
        <v>100</v>
      </c>
      <c r="Q895" s="10">
        <f>L895+M895+N895+O895-P895</f>
        <v/>
      </c>
      <c r="R895" s="11">
        <f>T894</f>
        <v/>
      </c>
      <c r="S895" s="11">
        <f>N(V895) + N(X895) + N(Z895)</f>
        <v/>
      </c>
      <c r="T895" s="11">
        <f>R895+P895-S895</f>
        <v/>
      </c>
      <c r="U895" s="11" t="inlineStr">
        <is>
          <t>是</t>
        </is>
      </c>
      <c r="V895" s="11" t="n">
        <v>48</v>
      </c>
      <c r="W895" s="11" t="inlineStr">
        <is>
          <t>是</t>
        </is>
      </c>
      <c r="X895" s="11" t="n">
        <v>49</v>
      </c>
      <c r="Y895" s="11" t="inlineStr">
        <is>
          <t>-</t>
        </is>
      </c>
      <c r="Z895" s="11" t="n">
        <v>0</v>
      </c>
      <c r="AA895" s="11" t="inlineStr">
        <is>
          <t>无</t>
        </is>
      </c>
      <c r="AB895" s="12">
        <f>AE894</f>
        <v/>
      </c>
      <c r="AC895" s="12" t="n">
        <v>0</v>
      </c>
      <c r="AD895" s="12" t="n">
        <v>0</v>
      </c>
      <c r="AE895" s="12">
        <f>AB895+AC895+AD895</f>
        <v/>
      </c>
      <c r="AF895" s="13">
        <f>AI894</f>
        <v/>
      </c>
      <c r="AG895" s="13" t="n">
        <v>0</v>
      </c>
      <c r="AH895" s="13" t="n">
        <v>0</v>
      </c>
      <c r="AI895" s="13">
        <f>AF895+AG895+AH895</f>
        <v/>
      </c>
      <c r="AJ895" s="14" t="n">
        <v>0</v>
      </c>
      <c r="AK895" s="14" t="n">
        <v>0</v>
      </c>
      <c r="AL895" s="14" t="n">
        <v>0</v>
      </c>
      <c r="AM895" s="14">
        <f>AJ895+AK895+AL895</f>
        <v/>
      </c>
      <c r="AN895" s="14">
        <f>AN894+AM895</f>
        <v/>
      </c>
    </row>
    <row r="896">
      <c r="A896" s="8" t="n">
        <v>35</v>
      </c>
      <c r="B896" s="8" t="n">
        <v>6</v>
      </c>
      <c r="C896" s="8" t="n">
        <v>1</v>
      </c>
      <c r="D896" s="8" t="inlineStr">
        <is>
          <t>版本免费+义相逢 + 月卡收益 [月卡续费-30元]</t>
        </is>
      </c>
      <c r="E896" s="9">
        <f>K895</f>
        <v/>
      </c>
      <c r="F896" s="9" t="n">
        <v>1540</v>
      </c>
      <c r="G896" s="9" t="n">
        <v>4800</v>
      </c>
      <c r="H896" s="9" t="n">
        <v>0</v>
      </c>
      <c r="I896" s="9" t="n">
        <v>0</v>
      </c>
      <c r="J896" s="9" t="n">
        <v>0</v>
      </c>
      <c r="K896" s="9">
        <f>E896+F896+G896+H896+I896-J896</f>
        <v/>
      </c>
      <c r="L896" s="10">
        <f>Q895</f>
        <v/>
      </c>
      <c r="M896" s="10" t="n">
        <v>85</v>
      </c>
      <c r="N896" s="10" t="n">
        <v>11</v>
      </c>
      <c r="O896" s="10">
        <f>J896/160</f>
        <v/>
      </c>
      <c r="P896" s="10" t="n">
        <v>90</v>
      </c>
      <c r="Q896" s="10">
        <f>L896+M896+N896+O896-P896</f>
        <v/>
      </c>
      <c r="R896" s="11">
        <f>T895</f>
        <v/>
      </c>
      <c r="S896" s="11">
        <f>N(V896) + N(X896) + N(Z896)</f>
        <v/>
      </c>
      <c r="T896" s="11">
        <f>R896+P896-S896</f>
        <v/>
      </c>
      <c r="U896" s="11" t="inlineStr">
        <is>
          <t>是</t>
        </is>
      </c>
      <c r="V896" s="11" t="n">
        <v>48</v>
      </c>
      <c r="W896" s="11" t="inlineStr">
        <is>
          <t>是</t>
        </is>
      </c>
      <c r="X896" s="11" t="n">
        <v>50</v>
      </c>
      <c r="Y896" s="11" t="inlineStr">
        <is>
          <t>-</t>
        </is>
      </c>
      <c r="Z896" s="11" t="n">
        <v>0</v>
      </c>
      <c r="AA896" s="11" t="inlineStr">
        <is>
          <t>无</t>
        </is>
      </c>
      <c r="AB896" s="12">
        <f>AE895</f>
        <v/>
      </c>
      <c r="AC896" s="12" t="n">
        <v>4</v>
      </c>
      <c r="AD896" s="12" t="n">
        <v>0</v>
      </c>
      <c r="AE896" s="12">
        <f>AB896+AC896+AD896</f>
        <v/>
      </c>
      <c r="AF896" s="13">
        <f>AI895</f>
        <v/>
      </c>
      <c r="AG896" s="13" t="n">
        <v>0</v>
      </c>
      <c r="AH896" s="13" t="n">
        <v>0</v>
      </c>
      <c r="AI896" s="13">
        <f>AF896+AG896+AH896</f>
        <v/>
      </c>
      <c r="AJ896" s="14" t="n">
        <v>30</v>
      </c>
      <c r="AK896" s="14" t="n">
        <v>50</v>
      </c>
      <c r="AL896" s="14" t="n">
        <v>0</v>
      </c>
      <c r="AM896" s="14">
        <f>AJ896+AK896+AL896</f>
        <v/>
      </c>
      <c r="AN896" s="14">
        <f>AN895+AM896</f>
        <v/>
      </c>
    </row>
    <row r="897">
      <c r="A897" s="8" t="n">
        <v>35</v>
      </c>
      <c r="B897" s="8" t="n">
        <v>6</v>
      </c>
      <c r="C897" s="8" t="n">
        <v>2</v>
      </c>
      <c r="D897" s="8" t="inlineStr">
        <is>
          <t>月卡收益</t>
        </is>
      </c>
      <c r="E897" s="9">
        <f>K896</f>
        <v/>
      </c>
      <c r="F897" s="9" t="n">
        <v>1540</v>
      </c>
      <c r="G897" s="9" t="n">
        <v>0</v>
      </c>
      <c r="H897" s="9" t="n">
        <v>0</v>
      </c>
      <c r="I897" s="9" t="n">
        <v>0</v>
      </c>
      <c r="J897" s="9" t="n">
        <v>13280</v>
      </c>
      <c r="K897" s="9">
        <f>E897+F897+G897+H897+I897-J897</f>
        <v/>
      </c>
      <c r="L897" s="10">
        <f>Q896</f>
        <v/>
      </c>
      <c r="M897" s="10" t="n">
        <v>0</v>
      </c>
      <c r="N897" s="10" t="n">
        <v>11</v>
      </c>
      <c r="O897" s="10">
        <f>J897/160</f>
        <v/>
      </c>
      <c r="P897" s="10" t="n">
        <v>100</v>
      </c>
      <c r="Q897" s="10">
        <f>L897+M897+N897+O897-P897</f>
        <v/>
      </c>
      <c r="R897" s="11">
        <f>T896</f>
        <v/>
      </c>
      <c r="S897" s="11">
        <f>N(V897) + N(X897) + N(Z897)</f>
        <v/>
      </c>
      <c r="T897" s="11">
        <f>R897+P897-S897</f>
        <v/>
      </c>
      <c r="U897" s="11" t="inlineStr">
        <is>
          <t>是</t>
        </is>
      </c>
      <c r="V897" s="11" t="n">
        <v>45</v>
      </c>
      <c r="W897" s="11" t="inlineStr">
        <is>
          <t>是</t>
        </is>
      </c>
      <c r="X897" s="11" t="n">
        <v>49</v>
      </c>
      <c r="Y897" s="11" t="inlineStr">
        <is>
          <t>-</t>
        </is>
      </c>
      <c r="Z897" s="11" t="n">
        <v>0</v>
      </c>
      <c r="AA897" s="11" t="inlineStr">
        <is>
          <t>无</t>
        </is>
      </c>
      <c r="AB897" s="12">
        <f>AE896</f>
        <v/>
      </c>
      <c r="AC897" s="12" t="n">
        <v>0</v>
      </c>
      <c r="AD897" s="12" t="n">
        <v>0</v>
      </c>
      <c r="AE897" s="12">
        <f>AB897+AC897+AD897</f>
        <v/>
      </c>
      <c r="AF897" s="13">
        <f>AI896</f>
        <v/>
      </c>
      <c r="AG897" s="13" t="n">
        <v>0</v>
      </c>
      <c r="AH897" s="13" t="n">
        <v>0</v>
      </c>
      <c r="AI897" s="13">
        <f>AF897+AG897+AH897</f>
        <v/>
      </c>
      <c r="AJ897" s="14" t="n">
        <v>0</v>
      </c>
      <c r="AK897" s="14" t="n">
        <v>0</v>
      </c>
      <c r="AL897" s="14" t="n">
        <v>0</v>
      </c>
      <c r="AM897" s="14">
        <f>AJ897+AK897+AL897</f>
        <v/>
      </c>
      <c r="AN897" s="14">
        <f>AN896+AM897</f>
        <v/>
      </c>
    </row>
    <row r="898">
      <c r="A898" s="8" t="n">
        <v>35</v>
      </c>
      <c r="B898" s="8" t="n">
        <v>7</v>
      </c>
      <c r="C898" s="8" t="n">
        <v>1</v>
      </c>
      <c r="D898" s="8" t="inlineStr">
        <is>
          <t>版本免费+义相逢 + 月卡收益 [月卡续费-30元]</t>
        </is>
      </c>
      <c r="E898" s="9">
        <f>K897</f>
        <v/>
      </c>
      <c r="F898" s="9" t="n">
        <v>1540</v>
      </c>
      <c r="G898" s="9" t="n">
        <v>4800</v>
      </c>
      <c r="H898" s="9" t="n">
        <v>0</v>
      </c>
      <c r="I898" s="9" t="n">
        <v>0</v>
      </c>
      <c r="J898" s="9" t="n">
        <v>0</v>
      </c>
      <c r="K898" s="9">
        <f>E898+F898+G898+H898+I898-J898</f>
        <v/>
      </c>
      <c r="L898" s="10">
        <f>Q897</f>
        <v/>
      </c>
      <c r="M898" s="10" t="n">
        <v>85</v>
      </c>
      <c r="N898" s="10" t="n">
        <v>11</v>
      </c>
      <c r="O898" s="10">
        <f>J898/160</f>
        <v/>
      </c>
      <c r="P898" s="10" t="n">
        <v>90</v>
      </c>
      <c r="Q898" s="10">
        <f>L898+M898+N898+O898-P898</f>
        <v/>
      </c>
      <c r="R898" s="11">
        <f>T897</f>
        <v/>
      </c>
      <c r="S898" s="11">
        <f>N(V898) + N(X898) + N(Z898)</f>
        <v/>
      </c>
      <c r="T898" s="11">
        <f>R898+P898-S898</f>
        <v/>
      </c>
      <c r="U898" s="11" t="inlineStr">
        <is>
          <t>是</t>
        </is>
      </c>
      <c r="V898" s="11" t="n">
        <v>46</v>
      </c>
      <c r="W898" s="11" t="inlineStr">
        <is>
          <t>是</t>
        </is>
      </c>
      <c r="X898" s="11" t="n">
        <v>51</v>
      </c>
      <c r="Y898" s="11" t="inlineStr">
        <is>
          <t>-</t>
        </is>
      </c>
      <c r="Z898" s="11" t="n">
        <v>0</v>
      </c>
      <c r="AA898" s="11" t="inlineStr">
        <is>
          <t>无</t>
        </is>
      </c>
      <c r="AB898" s="12">
        <f>AE897</f>
        <v/>
      </c>
      <c r="AC898" s="12" t="n">
        <v>4</v>
      </c>
      <c r="AD898" s="12" t="n">
        <v>0</v>
      </c>
      <c r="AE898" s="12">
        <f>AB898+AC898+AD898</f>
        <v/>
      </c>
      <c r="AF898" s="13">
        <f>AI897</f>
        <v/>
      </c>
      <c r="AG898" s="13" t="n">
        <v>0</v>
      </c>
      <c r="AH898" s="13" t="n">
        <v>0</v>
      </c>
      <c r="AI898" s="13">
        <f>AF898+AG898+AH898</f>
        <v/>
      </c>
      <c r="AJ898" s="14" t="n">
        <v>30</v>
      </c>
      <c r="AK898" s="14" t="n">
        <v>50</v>
      </c>
      <c r="AL898" s="14" t="n">
        <v>0</v>
      </c>
      <c r="AM898" s="14">
        <f>AJ898+AK898+AL898</f>
        <v/>
      </c>
      <c r="AN898" s="14">
        <f>AN897+AM898</f>
        <v/>
      </c>
    </row>
    <row r="899">
      <c r="A899" s="8" t="n">
        <v>35</v>
      </c>
      <c r="B899" s="8" t="n">
        <v>7</v>
      </c>
      <c r="C899" s="8" t="n">
        <v>2</v>
      </c>
      <c r="D899" s="8" t="inlineStr">
        <is>
          <t>月卡收益</t>
        </is>
      </c>
      <c r="E899" s="9">
        <f>K898</f>
        <v/>
      </c>
      <c r="F899" s="9" t="n">
        <v>1540</v>
      </c>
      <c r="G899" s="9" t="n">
        <v>0</v>
      </c>
      <c r="H899" s="9" t="n">
        <v>0</v>
      </c>
      <c r="I899" s="9" t="n">
        <v>0</v>
      </c>
      <c r="J899" s="9" t="n">
        <v>8160</v>
      </c>
      <c r="K899" s="9">
        <f>E899+F899+G899+H899+I899-J899</f>
        <v/>
      </c>
      <c r="L899" s="10">
        <f>Q898</f>
        <v/>
      </c>
      <c r="M899" s="10" t="n">
        <v>0</v>
      </c>
      <c r="N899" s="10" t="n">
        <v>6</v>
      </c>
      <c r="O899" s="10">
        <f>J899/160</f>
        <v/>
      </c>
      <c r="P899" s="10" t="n">
        <v>60</v>
      </c>
      <c r="Q899" s="10">
        <f>L899+M899+N899+O899-P899</f>
        <v/>
      </c>
      <c r="R899" s="11">
        <f>T898</f>
        <v/>
      </c>
      <c r="S899" s="11">
        <f>N(V899) + N(X899) + N(Z899)</f>
        <v/>
      </c>
      <c r="T899" s="11">
        <f>R899+P899-S899</f>
        <v/>
      </c>
      <c r="U899" s="11" t="inlineStr">
        <is>
          <t>是</t>
        </is>
      </c>
      <c r="V899" s="11" t="n">
        <v>51</v>
      </c>
      <c r="W899" s="11" t="inlineStr">
        <is>
          <t>否</t>
        </is>
      </c>
      <c r="X899" s="11" t="inlineStr">
        <is>
          <t>-</t>
        </is>
      </c>
      <c r="Y899" s="11" t="inlineStr">
        <is>
          <t>-</t>
        </is>
      </c>
      <c r="Z899" s="11" t="n">
        <v>0</v>
      </c>
      <c r="AA899" s="11" t="inlineStr">
        <is>
          <t>无</t>
        </is>
      </c>
      <c r="AB899" s="12">
        <f>AE898</f>
        <v/>
      </c>
      <c r="AC899" s="12" t="n">
        <v>0</v>
      </c>
      <c r="AD899" s="12" t="n">
        <v>0</v>
      </c>
      <c r="AE899" s="12">
        <f>AB899+AC899+AD899</f>
        <v/>
      </c>
      <c r="AF899" s="13">
        <f>AI898</f>
        <v/>
      </c>
      <c r="AG899" s="13" t="n">
        <v>0</v>
      </c>
      <c r="AH899" s="13" t="n">
        <v>0</v>
      </c>
      <c r="AI899" s="13">
        <f>AF899+AG899+AH899</f>
        <v/>
      </c>
      <c r="AJ899" s="14" t="n">
        <v>0</v>
      </c>
      <c r="AK899" s="14" t="n">
        <v>0</v>
      </c>
      <c r="AL899" s="14" t="n">
        <v>0</v>
      </c>
      <c r="AM899" s="14">
        <f>AJ899+AK899+AL899</f>
        <v/>
      </c>
      <c r="AN899" s="14">
        <f>AN898+AM899</f>
        <v/>
      </c>
    </row>
    <row r="900">
      <c r="A900" s="8" t="n">
        <v>35</v>
      </c>
      <c r="B900" s="8" t="n">
        <v>8</v>
      </c>
      <c r="C900" s="8" t="n">
        <v>1</v>
      </c>
      <c r="D900" s="8" t="inlineStr">
        <is>
          <t>版本免费+义相逢 + 月卡收益 [月卡续费-30元]</t>
        </is>
      </c>
      <c r="E900" s="9">
        <f>K899</f>
        <v/>
      </c>
      <c r="F900" s="9" t="n">
        <v>1540</v>
      </c>
      <c r="G900" s="9" t="n">
        <v>4800</v>
      </c>
      <c r="H900" s="9" t="n">
        <v>0</v>
      </c>
      <c r="I900" s="9" t="n">
        <v>0</v>
      </c>
      <c r="J900" s="9" t="n">
        <v>0</v>
      </c>
      <c r="K900" s="9">
        <f>E900+F900+G900+H900+I900-J900</f>
        <v/>
      </c>
      <c r="L900" s="10">
        <f>Q899</f>
        <v/>
      </c>
      <c r="M900" s="10" t="n">
        <v>85</v>
      </c>
      <c r="N900" s="10" t="n">
        <v>6</v>
      </c>
      <c r="O900" s="10">
        <f>J900/160</f>
        <v/>
      </c>
      <c r="P900" s="10" t="n">
        <v>60</v>
      </c>
      <c r="Q900" s="10">
        <f>L900+M900+N900+O900-P900</f>
        <v/>
      </c>
      <c r="R900" s="11">
        <f>T899</f>
        <v/>
      </c>
      <c r="S900" s="11">
        <f>N(V900) + N(X900) + N(Z900)</f>
        <v/>
      </c>
      <c r="T900" s="11">
        <f>R900+P900-S900</f>
        <v/>
      </c>
      <c r="U900" s="11" t="inlineStr">
        <is>
          <t>是</t>
        </is>
      </c>
      <c r="V900" s="11" t="n">
        <v>52</v>
      </c>
      <c r="W900" s="11" t="inlineStr">
        <is>
          <t>否</t>
        </is>
      </c>
      <c r="X900" s="11" t="inlineStr">
        <is>
          <t>-</t>
        </is>
      </c>
      <c r="Y900" s="11" t="inlineStr">
        <is>
          <t>-</t>
        </is>
      </c>
      <c r="Z900" s="11" t="n">
        <v>0</v>
      </c>
      <c r="AA900" s="11" t="inlineStr">
        <is>
          <t>垫到60抽</t>
        </is>
      </c>
      <c r="AB900" s="12">
        <f>AE899</f>
        <v/>
      </c>
      <c r="AC900" s="12" t="n">
        <v>4</v>
      </c>
      <c r="AD900" s="12" t="n">
        <v>0</v>
      </c>
      <c r="AE900" s="12">
        <f>AB900+AC900+AD900</f>
        <v/>
      </c>
      <c r="AF900" s="13">
        <f>AI899</f>
        <v/>
      </c>
      <c r="AG900" s="13" t="n">
        <v>0</v>
      </c>
      <c r="AH900" s="13" t="n">
        <v>0</v>
      </c>
      <c r="AI900" s="13">
        <f>AF900+AG900+AH900</f>
        <v/>
      </c>
      <c r="AJ900" s="14" t="n">
        <v>30</v>
      </c>
      <c r="AK900" s="14" t="n">
        <v>50</v>
      </c>
      <c r="AL900" s="14" t="n">
        <v>0</v>
      </c>
      <c r="AM900" s="14">
        <f>AJ900+AK900+AL900</f>
        <v/>
      </c>
      <c r="AN900" s="14">
        <f>AN899+AM900</f>
        <v/>
      </c>
    </row>
    <row r="901">
      <c r="A901" s="8" t="n">
        <v>35</v>
      </c>
      <c r="B901" s="8" t="n">
        <v>8</v>
      </c>
      <c r="C901" s="8" t="n">
        <v>2</v>
      </c>
      <c r="D901" s="8" t="inlineStr">
        <is>
          <t>月卡收益</t>
        </is>
      </c>
      <c r="E901" s="9">
        <f>K900</f>
        <v/>
      </c>
      <c r="F901" s="9" t="n">
        <v>1540</v>
      </c>
      <c r="G901" s="9" t="n">
        <v>0</v>
      </c>
      <c r="H901" s="9" t="n">
        <v>0</v>
      </c>
      <c r="I901" s="9" t="n">
        <v>0</v>
      </c>
      <c r="J901" s="9" t="n">
        <v>0</v>
      </c>
      <c r="K901" s="9">
        <f>E901+F901+G901+H901+I901-J901</f>
        <v/>
      </c>
      <c r="L901" s="10">
        <f>Q900</f>
        <v/>
      </c>
      <c r="M901" s="10" t="n">
        <v>0</v>
      </c>
      <c r="N901" s="10" t="n">
        <v>3</v>
      </c>
      <c r="O901" s="10">
        <f>J901/160</f>
        <v/>
      </c>
      <c r="P901" s="10" t="n">
        <v>30</v>
      </c>
      <c r="Q901" s="10">
        <f>L901+M901+N901+O901-P901</f>
        <v/>
      </c>
      <c r="R901" s="11">
        <f>T900</f>
        <v/>
      </c>
      <c r="S901" s="11">
        <f>N(V901) + N(X901) + N(Z901)</f>
        <v/>
      </c>
      <c r="T901" s="11">
        <f>R901+P901-S901</f>
        <v/>
      </c>
      <c r="U901" s="11" t="inlineStr">
        <is>
          <t>是</t>
        </is>
      </c>
      <c r="V901" s="11" t="n">
        <v>47</v>
      </c>
      <c r="W901" s="11" t="inlineStr">
        <is>
          <t>否</t>
        </is>
      </c>
      <c r="X901" s="11" t="inlineStr">
        <is>
          <t>-</t>
        </is>
      </c>
      <c r="Y901" s="11" t="inlineStr">
        <is>
          <t>-</t>
        </is>
      </c>
      <c r="Z901" s="11" t="n">
        <v>0</v>
      </c>
      <c r="AA901" s="11" t="inlineStr">
        <is>
          <t>无</t>
        </is>
      </c>
      <c r="AB901" s="12">
        <f>AE900</f>
        <v/>
      </c>
      <c r="AC901" s="12" t="n">
        <v>0</v>
      </c>
      <c r="AD901" s="12" t="n">
        <v>0</v>
      </c>
      <c r="AE901" s="12">
        <f>AB901+AC901+AD901</f>
        <v/>
      </c>
      <c r="AF901" s="13">
        <f>AI900</f>
        <v/>
      </c>
      <c r="AG901" s="13" t="n">
        <v>0</v>
      </c>
      <c r="AH901" s="13" t="n">
        <v>0</v>
      </c>
      <c r="AI901" s="13">
        <f>AF901+AG901+AH901</f>
        <v/>
      </c>
      <c r="AJ901" s="14" t="n">
        <v>0</v>
      </c>
      <c r="AK901" s="14" t="n">
        <v>0</v>
      </c>
      <c r="AL901" s="14" t="n">
        <v>0</v>
      </c>
      <c r="AM901" s="14">
        <f>AJ901+AK901+AL901</f>
        <v/>
      </c>
      <c r="AN901" s="14">
        <f>AN900+AM901</f>
        <v/>
      </c>
    </row>
    <row r="902">
      <c r="A902" s="8" t="n">
        <v>35</v>
      </c>
      <c r="B902" s="8" t="n">
        <v>9</v>
      </c>
      <c r="C902" s="8" t="n">
        <v>1</v>
      </c>
      <c r="D902" s="8" t="inlineStr">
        <is>
          <t>版本免费+义相逢 + 月卡收益</t>
        </is>
      </c>
      <c r="E902" s="9">
        <f>K901</f>
        <v/>
      </c>
      <c r="F902" s="9" t="n">
        <v>1540</v>
      </c>
      <c r="G902" s="9" t="n">
        <v>4800</v>
      </c>
      <c r="H902" s="9" t="n">
        <v>0</v>
      </c>
      <c r="I902" s="9" t="n">
        <v>0</v>
      </c>
      <c r="J902" s="9" t="n">
        <v>1120</v>
      </c>
      <c r="K902" s="9">
        <f>E902+F902+G902+H902+I902-J902</f>
        <v/>
      </c>
      <c r="L902" s="10">
        <f>Q901</f>
        <v/>
      </c>
      <c r="M902" s="10" t="n">
        <v>85</v>
      </c>
      <c r="N902" s="10" t="n">
        <v>11</v>
      </c>
      <c r="O902" s="10">
        <f>J902/160</f>
        <v/>
      </c>
      <c r="P902" s="10" t="n">
        <v>110</v>
      </c>
      <c r="Q902" s="10">
        <f>L902+M902+N902+O902-P902</f>
        <v/>
      </c>
      <c r="R902" s="11">
        <f>T901</f>
        <v/>
      </c>
      <c r="S902" s="11">
        <f>N(V902) + N(X902) + N(Z902)</f>
        <v/>
      </c>
      <c r="T902" s="11">
        <f>R902+P902-S902</f>
        <v/>
      </c>
      <c r="U902" s="11" t="inlineStr">
        <is>
          <t>是</t>
        </is>
      </c>
      <c r="V902" s="11" t="n">
        <v>50</v>
      </c>
      <c r="W902" s="11" t="inlineStr">
        <is>
          <t>是</t>
        </is>
      </c>
      <c r="X902" s="11" t="n">
        <v>51</v>
      </c>
      <c r="Y902" s="11" t="inlineStr">
        <is>
          <t>-</t>
        </is>
      </c>
      <c r="Z902" s="11" t="n">
        <v>0</v>
      </c>
      <c r="AA902" s="11" t="inlineStr">
        <is>
          <t>无</t>
        </is>
      </c>
      <c r="AB902" s="12">
        <f>AE901</f>
        <v/>
      </c>
      <c r="AC902" s="12" t="n">
        <v>4</v>
      </c>
      <c r="AD902" s="12" t="n">
        <v>0</v>
      </c>
      <c r="AE902" s="12">
        <f>AB902+AC902+AD902</f>
        <v/>
      </c>
      <c r="AF902" s="13">
        <f>AI901</f>
        <v/>
      </c>
      <c r="AG902" s="13" t="n">
        <v>0</v>
      </c>
      <c r="AH902" s="13" t="n">
        <v>0</v>
      </c>
      <c r="AI902" s="13">
        <f>AF902+AG902+AH902</f>
        <v/>
      </c>
      <c r="AJ902" s="14" t="n">
        <v>0</v>
      </c>
      <c r="AK902" s="14" t="n">
        <v>50</v>
      </c>
      <c r="AL902" s="14" t="n">
        <v>0</v>
      </c>
      <c r="AM902" s="14">
        <f>AJ902+AK902+AL902</f>
        <v/>
      </c>
      <c r="AN902" s="14">
        <f>AN901+AM902</f>
        <v/>
      </c>
    </row>
    <row r="903">
      <c r="A903" s="8" t="n">
        <v>35</v>
      </c>
      <c r="B903" s="8" t="n">
        <v>9</v>
      </c>
      <c r="C903" s="8" t="n">
        <v>2</v>
      </c>
      <c r="D903" s="8" t="inlineStr">
        <is>
          <t>月卡收益 [月卡续费-30元]</t>
        </is>
      </c>
      <c r="E903" s="9">
        <f>K902</f>
        <v/>
      </c>
      <c r="F903" s="9" t="n">
        <v>1540</v>
      </c>
      <c r="G903" s="9" t="n">
        <v>0</v>
      </c>
      <c r="H903" s="9" t="n">
        <v>0</v>
      </c>
      <c r="I903" s="9" t="n">
        <v>0</v>
      </c>
      <c r="J903" s="9" t="n">
        <v>5920</v>
      </c>
      <c r="K903" s="9">
        <f>E903+F903+G903+H903+I903-J903</f>
        <v/>
      </c>
      <c r="L903" s="10">
        <f>Q902</f>
        <v/>
      </c>
      <c r="M903" s="10" t="n">
        <v>0</v>
      </c>
      <c r="N903" s="10" t="n">
        <v>3</v>
      </c>
      <c r="O903" s="10">
        <f>J903/160</f>
        <v/>
      </c>
      <c r="P903" s="10" t="n">
        <v>40</v>
      </c>
      <c r="Q903" s="10">
        <f>L903+M903+N903+O903-P903</f>
        <v/>
      </c>
      <c r="R903" s="11">
        <f>T902</f>
        <v/>
      </c>
      <c r="S903" s="11">
        <f>N(V903) + N(X903) + N(Z903)</f>
        <v/>
      </c>
      <c r="T903" s="11">
        <f>R903+P903-S903</f>
        <v/>
      </c>
      <c r="U903" s="11" t="inlineStr">
        <is>
          <t>是</t>
        </is>
      </c>
      <c r="V903" s="11" t="n">
        <v>49</v>
      </c>
      <c r="W903" s="11" t="inlineStr">
        <is>
          <t>否</t>
        </is>
      </c>
      <c r="X903" s="11" t="inlineStr">
        <is>
          <t>-</t>
        </is>
      </c>
      <c r="Y903" s="11" t="inlineStr">
        <is>
          <t>-</t>
        </is>
      </c>
      <c r="Z903" s="11" t="n">
        <v>0</v>
      </c>
      <c r="AA903" s="11" t="inlineStr">
        <is>
          <t>无</t>
        </is>
      </c>
      <c r="AB903" s="12">
        <f>AE902</f>
        <v/>
      </c>
      <c r="AC903" s="12" t="n">
        <v>0</v>
      </c>
      <c r="AD903" s="12" t="n">
        <v>0</v>
      </c>
      <c r="AE903" s="12">
        <f>AB903+AC903+AD903</f>
        <v/>
      </c>
      <c r="AF903" s="13">
        <f>AI902</f>
        <v/>
      </c>
      <c r="AG903" s="13" t="n">
        <v>0</v>
      </c>
      <c r="AH903" s="13" t="n">
        <v>0</v>
      </c>
      <c r="AI903" s="13">
        <f>AF903+AG903+AH903</f>
        <v/>
      </c>
      <c r="AJ903" s="14" t="n">
        <v>30</v>
      </c>
      <c r="AK903" s="14" t="n">
        <v>0</v>
      </c>
      <c r="AL903" s="14" t="n">
        <v>0</v>
      </c>
      <c r="AM903" s="14">
        <f>AJ903+AK903+AL903</f>
        <v/>
      </c>
      <c r="AN903" s="14">
        <f>AN902+AM903</f>
        <v/>
      </c>
    </row>
    <row r="904">
      <c r="A904" s="8" t="n">
        <v>35</v>
      </c>
      <c r="B904" s="8" t="n">
        <v>10</v>
      </c>
      <c r="C904" s="8" t="n">
        <v>1</v>
      </c>
      <c r="D904" s="8" t="inlineStr">
        <is>
          <t>版本免费+义相逢 + 月卡收益</t>
        </is>
      </c>
      <c r="E904" s="9">
        <f>K903</f>
        <v/>
      </c>
      <c r="F904" s="9" t="n">
        <v>1540</v>
      </c>
      <c r="G904" s="9" t="n">
        <v>4800</v>
      </c>
      <c r="H904" s="9" t="n">
        <v>0</v>
      </c>
      <c r="I904" s="9" t="n">
        <v>0</v>
      </c>
      <c r="J904" s="9" t="n">
        <v>2240</v>
      </c>
      <c r="K904" s="9">
        <f>E904+F904+G904+H904+I904-J904</f>
        <v/>
      </c>
      <c r="L904" s="10">
        <f>Q903</f>
        <v/>
      </c>
      <c r="M904" s="10" t="n">
        <v>85</v>
      </c>
      <c r="N904" s="10" t="n">
        <v>11</v>
      </c>
      <c r="O904" s="10">
        <f>J904/160</f>
        <v/>
      </c>
      <c r="P904" s="10" t="n">
        <v>110</v>
      </c>
      <c r="Q904" s="10">
        <f>L904+M904+N904+O904-P904</f>
        <v/>
      </c>
      <c r="R904" s="11">
        <f>T903</f>
        <v/>
      </c>
      <c r="S904" s="11">
        <f>N(V904) + N(X904) + N(Z904)</f>
        <v/>
      </c>
      <c r="T904" s="11">
        <f>R904+P904-S904</f>
        <v/>
      </c>
      <c r="U904" s="11" t="inlineStr">
        <is>
          <t>是</t>
        </is>
      </c>
      <c r="V904" s="11" t="n">
        <v>49</v>
      </c>
      <c r="W904" s="11" t="inlineStr">
        <is>
          <t>是</t>
        </is>
      </c>
      <c r="X904" s="11" t="n">
        <v>52</v>
      </c>
      <c r="Y904" s="11" t="inlineStr">
        <is>
          <t>-</t>
        </is>
      </c>
      <c r="Z904" s="11" t="n">
        <v>0</v>
      </c>
      <c r="AA904" s="11" t="inlineStr">
        <is>
          <t>无</t>
        </is>
      </c>
      <c r="AB904" s="12">
        <f>AE903</f>
        <v/>
      </c>
      <c r="AC904" s="12" t="n">
        <v>4</v>
      </c>
      <c r="AD904" s="12" t="n">
        <v>0</v>
      </c>
      <c r="AE904" s="12">
        <f>AB904+AC904+AD904</f>
        <v/>
      </c>
      <c r="AF904" s="13">
        <f>AI903</f>
        <v/>
      </c>
      <c r="AG904" s="13" t="n">
        <v>0</v>
      </c>
      <c r="AH904" s="13" t="n">
        <v>0</v>
      </c>
      <c r="AI904" s="13">
        <f>AF904+AG904+AH904</f>
        <v/>
      </c>
      <c r="AJ904" s="14" t="n">
        <v>0</v>
      </c>
      <c r="AK904" s="14" t="n">
        <v>50</v>
      </c>
      <c r="AL904" s="14" t="n">
        <v>0</v>
      </c>
      <c r="AM904" s="14">
        <f>AJ904+AK904+AL904</f>
        <v/>
      </c>
      <c r="AN904" s="14">
        <f>AN903+AM904</f>
        <v/>
      </c>
    </row>
    <row r="905">
      <c r="A905" s="8" t="n">
        <v>35</v>
      </c>
      <c r="B905" s="8" t="n">
        <v>10</v>
      </c>
      <c r="C905" s="8" t="n">
        <v>2</v>
      </c>
      <c r="D905" s="8" t="inlineStr">
        <is>
          <t>月卡收益 [月卡续费-30元]</t>
        </is>
      </c>
      <c r="E905" s="9">
        <f>K904</f>
        <v/>
      </c>
      <c r="F905" s="9" t="n">
        <v>1540</v>
      </c>
      <c r="G905" s="9" t="n">
        <v>0</v>
      </c>
      <c r="H905" s="9" t="n">
        <v>0</v>
      </c>
      <c r="I905" s="9" t="n">
        <v>0</v>
      </c>
      <c r="J905" s="9" t="n">
        <v>14240</v>
      </c>
      <c r="K905" s="9">
        <f>E905+F905+G905+H905+I905-J905</f>
        <v/>
      </c>
      <c r="L905" s="10">
        <f>Q904</f>
        <v/>
      </c>
      <c r="M905" s="10" t="n">
        <v>0</v>
      </c>
      <c r="N905" s="10" t="n">
        <v>11</v>
      </c>
      <c r="O905" s="10">
        <f>J905/160</f>
        <v/>
      </c>
      <c r="P905" s="10" t="n">
        <v>100</v>
      </c>
      <c r="Q905" s="10">
        <f>L905+M905+N905+O905-P905</f>
        <v/>
      </c>
      <c r="R905" s="11">
        <f>T904</f>
        <v/>
      </c>
      <c r="S905" s="11">
        <f>N(V905) + N(X905) + N(Z905)</f>
        <v/>
      </c>
      <c r="T905" s="11">
        <f>R905+P905-S905</f>
        <v/>
      </c>
      <c r="U905" s="11" t="inlineStr">
        <is>
          <t>是</t>
        </is>
      </c>
      <c r="V905" s="11" t="n">
        <v>52</v>
      </c>
      <c r="W905" s="11" t="inlineStr">
        <is>
          <t>是</t>
        </is>
      </c>
      <c r="X905" s="11" t="n">
        <v>49</v>
      </c>
      <c r="Y905" s="11" t="inlineStr">
        <is>
          <t>-</t>
        </is>
      </c>
      <c r="Z905" s="11" t="n">
        <v>0</v>
      </c>
      <c r="AA905" s="11" t="inlineStr">
        <is>
          <t>无</t>
        </is>
      </c>
      <c r="AB905" s="12">
        <f>AE904</f>
        <v/>
      </c>
      <c r="AC905" s="12" t="n">
        <v>0</v>
      </c>
      <c r="AD905" s="12" t="n">
        <v>0</v>
      </c>
      <c r="AE905" s="12">
        <f>AB905+AC905+AD905</f>
        <v/>
      </c>
      <c r="AF905" s="13">
        <f>AI904</f>
        <v/>
      </c>
      <c r="AG905" s="13" t="n">
        <v>0</v>
      </c>
      <c r="AH905" s="13" t="n">
        <v>0</v>
      </c>
      <c r="AI905" s="13">
        <f>AF905+AG905+AH905</f>
        <v/>
      </c>
      <c r="AJ905" s="14" t="n">
        <v>30</v>
      </c>
      <c r="AK905" s="14" t="n">
        <v>0</v>
      </c>
      <c r="AL905" s="14" t="n">
        <v>0</v>
      </c>
      <c r="AM905" s="14">
        <f>AJ905+AK905+AL905</f>
        <v/>
      </c>
      <c r="AN905" s="14">
        <f>AN904+AM905</f>
        <v/>
      </c>
    </row>
    <row r="906">
      <c r="A906" s="8" t="n">
        <v>35</v>
      </c>
      <c r="B906" s="8" t="n">
        <v>11</v>
      </c>
      <c r="C906" s="8" t="n">
        <v>1</v>
      </c>
      <c r="D906" s="8" t="inlineStr">
        <is>
          <t>版本免费+义相逢 + 月卡收益</t>
        </is>
      </c>
      <c r="E906" s="9">
        <f>K905</f>
        <v/>
      </c>
      <c r="F906" s="9" t="n">
        <v>1540</v>
      </c>
      <c r="G906" s="9" t="n">
        <v>4800</v>
      </c>
      <c r="H906" s="9" t="n">
        <v>0</v>
      </c>
      <c r="I906" s="9" t="n">
        <v>0</v>
      </c>
      <c r="J906" s="9" t="n">
        <v>0</v>
      </c>
      <c r="K906" s="9">
        <f>E906+F906+G906+H906+I906-J906</f>
        <v/>
      </c>
      <c r="L906" s="10">
        <f>Q905</f>
        <v/>
      </c>
      <c r="M906" s="10" t="n">
        <v>85</v>
      </c>
      <c r="N906" s="10" t="n">
        <v>6</v>
      </c>
      <c r="O906" s="10">
        <f>J906/160</f>
        <v/>
      </c>
      <c r="P906" s="10" t="n">
        <v>60</v>
      </c>
      <c r="Q906" s="10">
        <f>L906+M906+N906+O906-P906</f>
        <v/>
      </c>
      <c r="R906" s="11">
        <f>T905</f>
        <v/>
      </c>
      <c r="S906" s="11">
        <f>N(V906) + N(X906) + N(Z906)</f>
        <v/>
      </c>
      <c r="T906" s="11">
        <f>R906+P906-S906</f>
        <v/>
      </c>
      <c r="U906" s="11" t="inlineStr">
        <is>
          <t>是</t>
        </is>
      </c>
      <c r="V906" s="11" t="n">
        <v>52</v>
      </c>
      <c r="W906" s="11" t="inlineStr">
        <is>
          <t>否</t>
        </is>
      </c>
      <c r="X906" s="11" t="inlineStr">
        <is>
          <t>-</t>
        </is>
      </c>
      <c r="Y906" s="11" t="inlineStr">
        <is>
          <t>-</t>
        </is>
      </c>
      <c r="Z906" s="11" t="n">
        <v>0</v>
      </c>
      <c r="AA906" s="11" t="inlineStr">
        <is>
          <t>垫到60抽</t>
        </is>
      </c>
      <c r="AB906" s="12">
        <f>AE905</f>
        <v/>
      </c>
      <c r="AC906" s="12" t="n">
        <v>4</v>
      </c>
      <c r="AD906" s="12" t="n">
        <v>0</v>
      </c>
      <c r="AE906" s="12">
        <f>AB906+AC906+AD906</f>
        <v/>
      </c>
      <c r="AF906" s="13">
        <f>AI905</f>
        <v/>
      </c>
      <c r="AG906" s="13" t="n">
        <v>0</v>
      </c>
      <c r="AH906" s="13" t="n">
        <v>0</v>
      </c>
      <c r="AI906" s="13">
        <f>AF906+AG906+AH906</f>
        <v/>
      </c>
      <c r="AJ906" s="14" t="n">
        <v>0</v>
      </c>
      <c r="AK906" s="14" t="n">
        <v>50</v>
      </c>
      <c r="AL906" s="14" t="n">
        <v>0</v>
      </c>
      <c r="AM906" s="14">
        <f>AJ906+AK906+AL906</f>
        <v/>
      </c>
      <c r="AN906" s="14">
        <f>AN905+AM906</f>
        <v/>
      </c>
    </row>
    <row r="907">
      <c r="A907" s="8" t="n">
        <v>35</v>
      </c>
      <c r="B907" s="8" t="n">
        <v>11</v>
      </c>
      <c r="C907" s="8" t="n">
        <v>2</v>
      </c>
      <c r="D907" s="8" t="inlineStr">
        <is>
          <t>月卡收益 [月卡续费-30元]</t>
        </is>
      </c>
      <c r="E907" s="9">
        <f>K906</f>
        <v/>
      </c>
      <c r="F907" s="9" t="n">
        <v>1540</v>
      </c>
      <c r="G907" s="9" t="n">
        <v>0</v>
      </c>
      <c r="H907" s="9" t="n">
        <v>0</v>
      </c>
      <c r="I907" s="9" t="n">
        <v>0</v>
      </c>
      <c r="J907" s="9" t="n">
        <v>8480</v>
      </c>
      <c r="K907" s="9">
        <f>E907+F907+G907+H907+I907-J907</f>
        <v/>
      </c>
      <c r="L907" s="10">
        <f>Q906</f>
        <v/>
      </c>
      <c r="M907" s="10" t="n">
        <v>0</v>
      </c>
      <c r="N907" s="10" t="n">
        <v>11</v>
      </c>
      <c r="O907" s="10">
        <f>J907/160</f>
        <v/>
      </c>
      <c r="P907" s="10" t="n">
        <v>90</v>
      </c>
      <c r="Q907" s="10">
        <f>L907+M907+N907+O907-P907</f>
        <v/>
      </c>
      <c r="R907" s="11">
        <f>T906</f>
        <v/>
      </c>
      <c r="S907" s="11">
        <f>N(V907) + N(X907) + N(Z907)</f>
        <v/>
      </c>
      <c r="T907" s="11">
        <f>R907+P907-S907</f>
        <v/>
      </c>
      <c r="U907" s="11" t="inlineStr">
        <is>
          <t>是</t>
        </is>
      </c>
      <c r="V907" s="11" t="n">
        <v>50</v>
      </c>
      <c r="W907" s="11" t="inlineStr">
        <is>
          <t>是</t>
        </is>
      </c>
      <c r="X907" s="11" t="n">
        <v>51</v>
      </c>
      <c r="Y907" s="11" t="inlineStr">
        <is>
          <t>-</t>
        </is>
      </c>
      <c r="Z907" s="11" t="n">
        <v>0</v>
      </c>
      <c r="AA907" s="11" t="inlineStr">
        <is>
          <t>无</t>
        </is>
      </c>
      <c r="AB907" s="12">
        <f>AE906</f>
        <v/>
      </c>
      <c r="AC907" s="12" t="n">
        <v>0</v>
      </c>
      <c r="AD907" s="12" t="n">
        <v>0</v>
      </c>
      <c r="AE907" s="12">
        <f>AB907+AC907+AD907</f>
        <v/>
      </c>
      <c r="AF907" s="13">
        <f>AI906</f>
        <v/>
      </c>
      <c r="AG907" s="13" t="n">
        <v>0</v>
      </c>
      <c r="AH907" s="13" t="n">
        <v>0</v>
      </c>
      <c r="AI907" s="13">
        <f>AF907+AG907+AH907</f>
        <v/>
      </c>
      <c r="AJ907" s="14" t="n">
        <v>30</v>
      </c>
      <c r="AK907" s="14" t="n">
        <v>0</v>
      </c>
      <c r="AL907" s="14" t="n">
        <v>0</v>
      </c>
      <c r="AM907" s="14">
        <f>AJ907+AK907+AL907</f>
        <v/>
      </c>
      <c r="AN907" s="14">
        <f>AN906+AM907</f>
        <v/>
      </c>
    </row>
    <row r="908">
      <c r="A908" s="8" t="n">
        <v>35</v>
      </c>
      <c r="B908" s="8" t="n">
        <v>12</v>
      </c>
      <c r="C908" s="8" t="n">
        <v>1</v>
      </c>
      <c r="D908" s="8" t="inlineStr">
        <is>
          <t>版本免费+义相逢 + 月卡收益</t>
        </is>
      </c>
      <c r="E908" s="9">
        <f>K907</f>
        <v/>
      </c>
      <c r="F908" s="9" t="n">
        <v>1540</v>
      </c>
      <c r="G908" s="9" t="n">
        <v>4800</v>
      </c>
      <c r="H908" s="9" t="n">
        <v>0</v>
      </c>
      <c r="I908" s="9" t="n">
        <v>0</v>
      </c>
      <c r="J908" s="9" t="n">
        <v>0</v>
      </c>
      <c r="K908" s="9">
        <f>E908+F908+G908+H908+I908-J908</f>
        <v/>
      </c>
      <c r="L908" s="10">
        <f>Q907</f>
        <v/>
      </c>
      <c r="M908" s="10" t="n">
        <v>85</v>
      </c>
      <c r="N908" s="10" t="n">
        <v>11</v>
      </c>
      <c r="O908" s="10">
        <f>J908/160</f>
        <v/>
      </c>
      <c r="P908" s="10" t="n">
        <v>100</v>
      </c>
      <c r="Q908" s="10">
        <f>L908+M908+N908+O908-P908</f>
        <v/>
      </c>
      <c r="R908" s="11">
        <f>T907</f>
        <v/>
      </c>
      <c r="S908" s="11">
        <f>N(V908) + N(X908) + N(Z908)</f>
        <v/>
      </c>
      <c r="T908" s="11">
        <f>R908+P908-S908</f>
        <v/>
      </c>
      <c r="U908" s="11" t="inlineStr">
        <is>
          <t>是</t>
        </is>
      </c>
      <c r="V908" s="11" t="n">
        <v>54</v>
      </c>
      <c r="W908" s="11" t="inlineStr">
        <is>
          <t>是</t>
        </is>
      </c>
      <c r="X908" s="11" t="n">
        <v>51</v>
      </c>
      <c r="Y908" s="11" t="inlineStr">
        <is>
          <t>-</t>
        </is>
      </c>
      <c r="Z908" s="11" t="n">
        <v>0</v>
      </c>
      <c r="AA908" s="11" t="inlineStr">
        <is>
          <t>无</t>
        </is>
      </c>
      <c r="AB908" s="12">
        <f>AE907</f>
        <v/>
      </c>
      <c r="AC908" s="12" t="n">
        <v>4</v>
      </c>
      <c r="AD908" s="12" t="n">
        <v>0</v>
      </c>
      <c r="AE908" s="12">
        <f>AB908+AC908+AD908</f>
        <v/>
      </c>
      <c r="AF908" s="13">
        <f>AI907</f>
        <v/>
      </c>
      <c r="AG908" s="13" t="n">
        <v>0</v>
      </c>
      <c r="AH908" s="13" t="n">
        <v>0</v>
      </c>
      <c r="AI908" s="13">
        <f>AF908+AG908+AH908</f>
        <v/>
      </c>
      <c r="AJ908" s="14" t="n">
        <v>0</v>
      </c>
      <c r="AK908" s="14" t="n">
        <v>50</v>
      </c>
      <c r="AL908" s="14" t="n">
        <v>0</v>
      </c>
      <c r="AM908" s="14">
        <f>AJ908+AK908+AL908</f>
        <v/>
      </c>
      <c r="AN908" s="14">
        <f>AN907+AM908</f>
        <v/>
      </c>
    </row>
    <row r="909">
      <c r="A909" s="8" t="n">
        <v>35</v>
      </c>
      <c r="B909" s="8" t="n">
        <v>12</v>
      </c>
      <c r="C909" s="8" t="n">
        <v>2</v>
      </c>
      <c r="D909" s="8" t="inlineStr">
        <is>
          <t>月卡收益 [月卡续费-30元]</t>
        </is>
      </c>
      <c r="E909" s="9">
        <f>K908</f>
        <v/>
      </c>
      <c r="F909" s="9" t="n">
        <v>1540</v>
      </c>
      <c r="G909" s="9" t="n">
        <v>0</v>
      </c>
      <c r="H909" s="9" t="n">
        <v>0</v>
      </c>
      <c r="I909" s="9" t="n">
        <v>0</v>
      </c>
      <c r="J909" s="9" t="n">
        <v>8960</v>
      </c>
      <c r="K909" s="9">
        <f>E909+F909+G909+H909+I909-J909</f>
        <v/>
      </c>
      <c r="L909" s="10">
        <f>Q908</f>
        <v/>
      </c>
      <c r="M909" s="10" t="n">
        <v>0</v>
      </c>
      <c r="N909" s="10" t="n">
        <v>6</v>
      </c>
      <c r="O909" s="10">
        <f>J909/160</f>
        <v/>
      </c>
      <c r="P909" s="10" t="n">
        <v>60</v>
      </c>
      <c r="Q909" s="10">
        <f>L909+M909+N909+O909-P909</f>
        <v/>
      </c>
      <c r="R909" s="11">
        <f>T908</f>
        <v/>
      </c>
      <c r="S909" s="11">
        <f>N(V909) + N(X909) + N(Z909)</f>
        <v/>
      </c>
      <c r="T909" s="11">
        <f>R909+P909-S909</f>
        <v/>
      </c>
      <c r="U909" s="11" t="inlineStr">
        <is>
          <t>是</t>
        </is>
      </c>
      <c r="V909" s="11" t="n">
        <v>50</v>
      </c>
      <c r="W909" s="11" t="inlineStr">
        <is>
          <t>否</t>
        </is>
      </c>
      <c r="X909" s="11" t="inlineStr">
        <is>
          <t>-</t>
        </is>
      </c>
      <c r="Y909" s="11" t="inlineStr">
        <is>
          <t>-</t>
        </is>
      </c>
      <c r="Z909" s="11" t="n">
        <v>0</v>
      </c>
      <c r="AA909" s="11" t="inlineStr">
        <is>
          <t>垫到60抽</t>
        </is>
      </c>
      <c r="AB909" s="12">
        <f>AE908</f>
        <v/>
      </c>
      <c r="AC909" s="12" t="n">
        <v>0</v>
      </c>
      <c r="AD909" s="12" t="n">
        <v>0</v>
      </c>
      <c r="AE909" s="12">
        <f>AB909+AC909+AD909</f>
        <v/>
      </c>
      <c r="AF909" s="13">
        <f>AI908</f>
        <v/>
      </c>
      <c r="AG909" s="13" t="n">
        <v>0</v>
      </c>
      <c r="AH909" s="13" t="n">
        <v>0</v>
      </c>
      <c r="AI909" s="13">
        <f>AF909+AG909+AH909</f>
        <v/>
      </c>
      <c r="AJ909" s="14" t="n">
        <v>30</v>
      </c>
      <c r="AK909" s="14" t="n">
        <v>0</v>
      </c>
      <c r="AL909" s="14" t="n">
        <v>0</v>
      </c>
      <c r="AM909" s="14">
        <f>AJ909+AK909+AL909</f>
        <v/>
      </c>
      <c r="AN909" s="14">
        <f>AN908+AM909</f>
        <v/>
      </c>
    </row>
    <row r="910">
      <c r="A910" s="8" t="n">
        <v>35</v>
      </c>
      <c r="B910" s="8" t="n">
        <v>13</v>
      </c>
      <c r="C910" s="8" t="n">
        <v>1</v>
      </c>
      <c r="D910" s="8" t="inlineStr">
        <is>
          <t>版本免费+义相逢 + 月卡收益</t>
        </is>
      </c>
      <c r="E910" s="9">
        <f>K909</f>
        <v/>
      </c>
      <c r="F910" s="9" t="n">
        <v>1540</v>
      </c>
      <c r="G910" s="9" t="n">
        <v>4800</v>
      </c>
      <c r="H910" s="9" t="n">
        <v>0</v>
      </c>
      <c r="I910" s="9" t="n">
        <v>0</v>
      </c>
      <c r="J910" s="9" t="n">
        <v>0</v>
      </c>
      <c r="K910" s="9">
        <f>E910+F910+G910+H910+I910-J910</f>
        <v/>
      </c>
      <c r="L910" s="10">
        <f>Q909</f>
        <v/>
      </c>
      <c r="M910" s="10" t="n">
        <v>85</v>
      </c>
      <c r="N910" s="10" t="n">
        <v>3</v>
      </c>
      <c r="O910" s="10">
        <f>J910/160</f>
        <v/>
      </c>
      <c r="P910" s="10" t="n">
        <v>40</v>
      </c>
      <c r="Q910" s="10">
        <f>L910+M910+N910+O910-P910</f>
        <v/>
      </c>
      <c r="R910" s="11">
        <f>T909</f>
        <v/>
      </c>
      <c r="S910" s="11">
        <f>N(V910) + N(X910) + N(Z910)</f>
        <v/>
      </c>
      <c r="T910" s="11">
        <f>R910+P910-S910</f>
        <v/>
      </c>
      <c r="U910" s="11" t="inlineStr">
        <is>
          <t>是</t>
        </is>
      </c>
      <c r="V910" s="11" t="n">
        <v>49</v>
      </c>
      <c r="W910" s="11" t="inlineStr">
        <is>
          <t>否</t>
        </is>
      </c>
      <c r="X910" s="11" t="inlineStr">
        <is>
          <t>-</t>
        </is>
      </c>
      <c r="Y910" s="11" t="inlineStr">
        <is>
          <t>-</t>
        </is>
      </c>
      <c r="Z910" s="11" t="n">
        <v>0</v>
      </c>
      <c r="AA910" s="11" t="inlineStr">
        <is>
          <t>无</t>
        </is>
      </c>
      <c r="AB910" s="12">
        <f>AE909</f>
        <v/>
      </c>
      <c r="AC910" s="12" t="n">
        <v>4</v>
      </c>
      <c r="AD910" s="12" t="n">
        <v>0</v>
      </c>
      <c r="AE910" s="12">
        <f>AB910+AC910+AD910</f>
        <v/>
      </c>
      <c r="AF910" s="13">
        <f>AI909</f>
        <v/>
      </c>
      <c r="AG910" s="13" t="n">
        <v>0</v>
      </c>
      <c r="AH910" s="13" t="n">
        <v>0</v>
      </c>
      <c r="AI910" s="13">
        <f>AF910+AG910+AH910</f>
        <v/>
      </c>
      <c r="AJ910" s="14" t="n">
        <v>0</v>
      </c>
      <c r="AK910" s="14" t="n">
        <v>50</v>
      </c>
      <c r="AL910" s="14" t="n">
        <v>0</v>
      </c>
      <c r="AM910" s="14">
        <f>AJ910+AK910+AL910</f>
        <v/>
      </c>
      <c r="AN910" s="14">
        <f>AN909+AM910</f>
        <v/>
      </c>
    </row>
    <row r="911">
      <c r="A911" s="8" t="n">
        <v>35</v>
      </c>
      <c r="B911" s="8" t="n">
        <v>13</v>
      </c>
      <c r="C911" s="8" t="n">
        <v>2</v>
      </c>
      <c r="D911" s="8" t="inlineStr">
        <is>
          <t>月卡收益 [月卡续费-30元]</t>
        </is>
      </c>
      <c r="E911" s="9">
        <f>K910</f>
        <v/>
      </c>
      <c r="F911" s="9" t="n">
        <v>1540</v>
      </c>
      <c r="G911" s="9" t="n">
        <v>0</v>
      </c>
      <c r="H911" s="9" t="n">
        <v>0</v>
      </c>
      <c r="I911" s="9" t="n">
        <v>0</v>
      </c>
      <c r="J911" s="9" t="n">
        <v>960</v>
      </c>
      <c r="K911" s="9">
        <f>E911+F911+G911+H911+I911-J911</f>
        <v/>
      </c>
      <c r="L911" s="10">
        <f>Q910</f>
        <v/>
      </c>
      <c r="M911" s="10" t="n">
        <v>0</v>
      </c>
      <c r="N911" s="10" t="n">
        <v>6</v>
      </c>
      <c r="O911" s="10">
        <f>J911/160</f>
        <v/>
      </c>
      <c r="P911" s="10" t="n">
        <v>60</v>
      </c>
      <c r="Q911" s="10">
        <f>L911+M911+N911+O911-P911</f>
        <v/>
      </c>
      <c r="R911" s="11">
        <f>T910</f>
        <v/>
      </c>
      <c r="S911" s="11">
        <f>N(V911) + N(X911) + N(Z911)</f>
        <v/>
      </c>
      <c r="T911" s="11">
        <f>R911+P911-S911</f>
        <v/>
      </c>
      <c r="U911" s="11" t="inlineStr">
        <is>
          <t>是</t>
        </is>
      </c>
      <c r="V911" s="11" t="n">
        <v>53</v>
      </c>
      <c r="W911" s="11" t="inlineStr">
        <is>
          <t>否</t>
        </is>
      </c>
      <c r="X911" s="11" t="inlineStr">
        <is>
          <t>-</t>
        </is>
      </c>
      <c r="Y911" s="11" t="inlineStr">
        <is>
          <t>-</t>
        </is>
      </c>
      <c r="Z911" s="11" t="n">
        <v>0</v>
      </c>
      <c r="AA911" s="11" t="inlineStr">
        <is>
          <t>无</t>
        </is>
      </c>
      <c r="AB911" s="12">
        <f>AE910</f>
        <v/>
      </c>
      <c r="AC911" s="12" t="n">
        <v>0</v>
      </c>
      <c r="AD911" s="12" t="n">
        <v>0</v>
      </c>
      <c r="AE911" s="12">
        <f>AB911+AC911+AD911</f>
        <v/>
      </c>
      <c r="AF911" s="13">
        <f>AI910</f>
        <v/>
      </c>
      <c r="AG911" s="13" t="n">
        <v>0</v>
      </c>
      <c r="AH911" s="13" t="n">
        <v>0</v>
      </c>
      <c r="AI911" s="13">
        <f>AF911+AG911+AH911</f>
        <v/>
      </c>
      <c r="AJ911" s="14" t="n">
        <v>30</v>
      </c>
      <c r="AK911" s="14" t="n">
        <v>0</v>
      </c>
      <c r="AL911" s="14" t="n">
        <v>0</v>
      </c>
      <c r="AM911" s="14">
        <f>AJ911+AK911+AL911</f>
        <v/>
      </c>
      <c r="AN911" s="14">
        <f>AN910+AM911</f>
        <v/>
      </c>
    </row>
    <row r="912">
      <c r="A912" s="8" t="n">
        <v>36</v>
      </c>
      <c r="B912" s="8" t="n">
        <v>1</v>
      </c>
      <c r="C912" s="8" t="n">
        <v>1</v>
      </c>
      <c r="D912" s="8" t="inlineStr">
        <is>
          <t>版本免费+义相逢 + 月卡收益</t>
        </is>
      </c>
      <c r="E912" s="9" t="n">
        <v>10840</v>
      </c>
      <c r="F912" s="9" t="n">
        <v>1540</v>
      </c>
      <c r="G912" s="9" t="n">
        <v>4800</v>
      </c>
      <c r="H912" s="9" t="n">
        <v>0</v>
      </c>
      <c r="I912" s="9" t="n">
        <v>0</v>
      </c>
      <c r="J912" s="9" t="n">
        <v>0</v>
      </c>
      <c r="K912" s="9">
        <f>E912+F912+G912+H912+I912-J912</f>
        <v/>
      </c>
      <c r="L912" s="10" t="n">
        <v>3</v>
      </c>
      <c r="M912" s="10" t="n">
        <v>85</v>
      </c>
      <c r="N912" s="10" t="n">
        <v>3</v>
      </c>
      <c r="O912" s="10">
        <f>J912/160</f>
        <v/>
      </c>
      <c r="P912" s="10" t="n">
        <v>40</v>
      </c>
      <c r="Q912" s="10">
        <f>L912+M912+N912+O912-P912</f>
        <v/>
      </c>
      <c r="R912" s="11" t="n">
        <v>8</v>
      </c>
      <c r="S912" s="11">
        <f>N(V912) + N(X912) + N(Z912)</f>
        <v/>
      </c>
      <c r="T912" s="11">
        <f>R912+P912-S912</f>
        <v/>
      </c>
      <c r="U912" s="11" t="inlineStr">
        <is>
          <t>是</t>
        </is>
      </c>
      <c r="V912" s="11" t="n">
        <v>46</v>
      </c>
      <c r="W912" s="11" t="inlineStr">
        <is>
          <t>否</t>
        </is>
      </c>
      <c r="X912" s="11" t="inlineStr">
        <is>
          <t>-</t>
        </is>
      </c>
      <c r="Y912" s="11" t="inlineStr">
        <is>
          <t>-</t>
        </is>
      </c>
      <c r="Z912" s="11" t="n">
        <v>0</v>
      </c>
      <c r="AA912" s="11" t="inlineStr">
        <is>
          <t>无</t>
        </is>
      </c>
      <c r="AB912" s="12" t="n">
        <v>1876</v>
      </c>
      <c r="AC912" s="12" t="n">
        <v>4</v>
      </c>
      <c r="AD912" s="12" t="n">
        <v>0</v>
      </c>
      <c r="AE912" s="12">
        <f>AB912+AC912+AD912</f>
        <v/>
      </c>
      <c r="AF912" s="13" t="n">
        <v>280000</v>
      </c>
      <c r="AG912" s="13" t="n">
        <v>0</v>
      </c>
      <c r="AH912" s="13" t="n">
        <v>0</v>
      </c>
      <c r="AI912" s="13">
        <f>AF912+AG912+AH912</f>
        <v/>
      </c>
      <c r="AJ912" s="14" t="n">
        <v>0</v>
      </c>
      <c r="AK912" s="14" t="n">
        <v>50</v>
      </c>
      <c r="AL912" s="14" t="n">
        <v>0</v>
      </c>
      <c r="AM912" s="14">
        <f>AJ912+AK912+AL912</f>
        <v/>
      </c>
      <c r="AN912" s="14">
        <f>AM912</f>
        <v/>
      </c>
    </row>
    <row r="913">
      <c r="A913" s="8" t="n">
        <v>36</v>
      </c>
      <c r="B913" s="8" t="n">
        <v>1</v>
      </c>
      <c r="C913" s="8" t="n">
        <v>2</v>
      </c>
      <c r="D913" s="8" t="inlineStr">
        <is>
          <t>月卡收益 [月卡续费-30元]</t>
        </is>
      </c>
      <c r="E913" s="9">
        <f>K912</f>
        <v/>
      </c>
      <c r="F913" s="9" t="n">
        <v>1540</v>
      </c>
      <c r="G913" s="9" t="n">
        <v>0</v>
      </c>
      <c r="H913" s="9" t="n">
        <v>0</v>
      </c>
      <c r="I913" s="9" t="n">
        <v>0</v>
      </c>
      <c r="J913" s="9" t="n">
        <v>960</v>
      </c>
      <c r="K913" s="9">
        <f>E913+F913+G913+H913+I913-J913</f>
        <v/>
      </c>
      <c r="L913" s="10">
        <f>Q912</f>
        <v/>
      </c>
      <c r="M913" s="10" t="n">
        <v>0</v>
      </c>
      <c r="N913" s="10" t="n">
        <v>6</v>
      </c>
      <c r="O913" s="10">
        <f>J913/160</f>
        <v/>
      </c>
      <c r="P913" s="10" t="n">
        <v>60</v>
      </c>
      <c r="Q913" s="10">
        <f>L913+M913+N913+O913-P913</f>
        <v/>
      </c>
      <c r="R913" s="11">
        <f>T912</f>
        <v/>
      </c>
      <c r="S913" s="11">
        <f>N(V913) + N(X913) + N(Z913)</f>
        <v/>
      </c>
      <c r="T913" s="11">
        <f>R913+P913-S913</f>
        <v/>
      </c>
      <c r="U913" s="11" t="inlineStr">
        <is>
          <t>是</t>
        </is>
      </c>
      <c r="V913" s="11" t="n">
        <v>54</v>
      </c>
      <c r="W913" s="11" t="inlineStr">
        <is>
          <t>是</t>
        </is>
      </c>
      <c r="X913" s="11" t="n">
        <v>5</v>
      </c>
      <c r="Y913" s="11" t="inlineStr">
        <is>
          <t>-</t>
        </is>
      </c>
      <c r="Z913" s="11" t="n">
        <v>0</v>
      </c>
      <c r="AA913" s="11" t="inlineStr">
        <is>
          <t>无</t>
        </is>
      </c>
      <c r="AB913" s="12">
        <f>AE912</f>
        <v/>
      </c>
      <c r="AC913" s="12" t="n">
        <v>0</v>
      </c>
      <c r="AD913" s="12" t="n">
        <v>0</v>
      </c>
      <c r="AE913" s="12">
        <f>AB913+AC913+AD913</f>
        <v/>
      </c>
      <c r="AF913" s="13">
        <f>AI912</f>
        <v/>
      </c>
      <c r="AG913" s="13" t="n">
        <v>0</v>
      </c>
      <c r="AH913" s="13" t="n">
        <v>0</v>
      </c>
      <c r="AI913" s="13">
        <f>AF913+AG913+AH913</f>
        <v/>
      </c>
      <c r="AJ913" s="14" t="n">
        <v>30</v>
      </c>
      <c r="AK913" s="14" t="n">
        <v>0</v>
      </c>
      <c r="AL913" s="14" t="n">
        <v>0</v>
      </c>
      <c r="AM913" s="14">
        <f>AJ913+AK913+AL913</f>
        <v/>
      </c>
      <c r="AN913" s="14">
        <f>AN912+AM913</f>
        <v/>
      </c>
    </row>
    <row r="914">
      <c r="A914" s="8" t="n">
        <v>36</v>
      </c>
      <c r="B914" s="8" t="n">
        <v>2</v>
      </c>
      <c r="C914" s="8" t="n">
        <v>1</v>
      </c>
      <c r="D914" s="8" t="inlineStr">
        <is>
          <t>版本免费+义相逢 + 月卡收益</t>
        </is>
      </c>
      <c r="E914" s="9">
        <f>K913</f>
        <v/>
      </c>
      <c r="F914" s="9" t="n">
        <v>1540</v>
      </c>
      <c r="G914" s="9" t="n">
        <v>4800</v>
      </c>
      <c r="H914" s="9" t="n">
        <v>0</v>
      </c>
      <c r="I914" s="9" t="n">
        <v>0</v>
      </c>
      <c r="J914" s="9" t="n">
        <v>0</v>
      </c>
      <c r="K914" s="9">
        <f>E914+F914+G914+H914+I914-J914</f>
        <v/>
      </c>
      <c r="L914" s="10">
        <f>Q913</f>
        <v/>
      </c>
      <c r="M914" s="10" t="n">
        <v>85</v>
      </c>
      <c r="N914" s="10" t="n">
        <v>6</v>
      </c>
      <c r="O914" s="10">
        <f>J914/160</f>
        <v/>
      </c>
      <c r="P914" s="10" t="n">
        <v>60</v>
      </c>
      <c r="Q914" s="10">
        <f>L914+M914+N914+O914-P914</f>
        <v/>
      </c>
      <c r="R914" s="11">
        <f>T913</f>
        <v/>
      </c>
      <c r="S914" s="11">
        <f>N(V914) + N(X914) + N(Z914)</f>
        <v/>
      </c>
      <c r="T914" s="11">
        <f>R914+P914-S914</f>
        <v/>
      </c>
      <c r="U914" s="11" t="inlineStr">
        <is>
          <t>是</t>
        </is>
      </c>
      <c r="V914" s="11" t="n">
        <v>47</v>
      </c>
      <c r="W914" s="11" t="inlineStr">
        <is>
          <t>否</t>
        </is>
      </c>
      <c r="X914" s="11" t="inlineStr">
        <is>
          <t>-</t>
        </is>
      </c>
      <c r="Y914" s="11" t="inlineStr">
        <is>
          <t>-</t>
        </is>
      </c>
      <c r="Z914" s="11" t="n">
        <v>0</v>
      </c>
      <c r="AA914" s="11" t="inlineStr">
        <is>
          <t>垫到60抽</t>
        </is>
      </c>
      <c r="AB914" s="12">
        <f>AE913</f>
        <v/>
      </c>
      <c r="AC914" s="12" t="n">
        <v>4</v>
      </c>
      <c r="AD914" s="12" t="n">
        <v>0</v>
      </c>
      <c r="AE914" s="12">
        <f>AB914+AC914+AD914</f>
        <v/>
      </c>
      <c r="AF914" s="13">
        <f>AI913</f>
        <v/>
      </c>
      <c r="AG914" s="13" t="n">
        <v>0</v>
      </c>
      <c r="AH914" s="13" t="n">
        <v>0</v>
      </c>
      <c r="AI914" s="13">
        <f>AF914+AG914+AH914</f>
        <v/>
      </c>
      <c r="AJ914" s="14" t="n">
        <v>0</v>
      </c>
      <c r="AK914" s="14" t="n">
        <v>50</v>
      </c>
      <c r="AL914" s="14" t="n">
        <v>0</v>
      </c>
      <c r="AM914" s="14">
        <f>AJ914+AK914+AL914</f>
        <v/>
      </c>
      <c r="AN914" s="14">
        <f>AN913+AM914</f>
        <v/>
      </c>
    </row>
    <row r="915">
      <c r="A915" s="8" t="n">
        <v>36</v>
      </c>
      <c r="B915" s="8" t="n">
        <v>2</v>
      </c>
      <c r="C915" s="8" t="n">
        <v>2</v>
      </c>
      <c r="D915" s="8" t="inlineStr">
        <is>
          <t>月卡收益 [月卡续费-30元]</t>
        </is>
      </c>
      <c r="E915" s="9">
        <f>K914</f>
        <v/>
      </c>
      <c r="F915" s="9" t="n">
        <v>1540</v>
      </c>
      <c r="G915" s="9" t="n">
        <v>0</v>
      </c>
      <c r="H915" s="9" t="n">
        <v>0</v>
      </c>
      <c r="I915" s="9" t="n">
        <v>0</v>
      </c>
      <c r="J915" s="9" t="n">
        <v>8000</v>
      </c>
      <c r="K915" s="9">
        <f>E915+F915+G915+H915+I915-J915</f>
        <v/>
      </c>
      <c r="L915" s="10">
        <f>Q914</f>
        <v/>
      </c>
      <c r="M915" s="10" t="n">
        <v>0</v>
      </c>
      <c r="N915" s="10" t="n">
        <v>11</v>
      </c>
      <c r="O915" s="10">
        <f>J915/160</f>
        <v/>
      </c>
      <c r="P915" s="10" t="n">
        <v>90</v>
      </c>
      <c r="Q915" s="10">
        <f>L915+M915+N915+O915-P915</f>
        <v/>
      </c>
      <c r="R915" s="11">
        <f>T914</f>
        <v/>
      </c>
      <c r="S915" s="11">
        <f>N(V915) + N(X915) + N(Z915)</f>
        <v/>
      </c>
      <c r="T915" s="11">
        <f>R915+P915-S915</f>
        <v/>
      </c>
      <c r="U915" s="11" t="inlineStr">
        <is>
          <t>是</t>
        </is>
      </c>
      <c r="V915" s="11" t="n">
        <v>48</v>
      </c>
      <c r="W915" s="11" t="inlineStr">
        <is>
          <t>是</t>
        </is>
      </c>
      <c r="X915" s="11" t="n">
        <v>50</v>
      </c>
      <c r="Y915" s="11" t="inlineStr">
        <is>
          <t>-</t>
        </is>
      </c>
      <c r="Z915" s="11" t="n">
        <v>0</v>
      </c>
      <c r="AA915" s="11" t="inlineStr">
        <is>
          <t>无</t>
        </is>
      </c>
      <c r="AB915" s="12">
        <f>AE914</f>
        <v/>
      </c>
      <c r="AC915" s="12" t="n">
        <v>0</v>
      </c>
      <c r="AD915" s="12" t="n">
        <v>0</v>
      </c>
      <c r="AE915" s="12">
        <f>AB915+AC915+AD915</f>
        <v/>
      </c>
      <c r="AF915" s="13">
        <f>AI914</f>
        <v/>
      </c>
      <c r="AG915" s="13" t="n">
        <v>0</v>
      </c>
      <c r="AH915" s="13" t="n">
        <v>0</v>
      </c>
      <c r="AI915" s="13">
        <f>AF915+AG915+AH915</f>
        <v/>
      </c>
      <c r="AJ915" s="14" t="n">
        <v>30</v>
      </c>
      <c r="AK915" s="14" t="n">
        <v>0</v>
      </c>
      <c r="AL915" s="14" t="n">
        <v>0</v>
      </c>
      <c r="AM915" s="14">
        <f>AJ915+AK915+AL915</f>
        <v/>
      </c>
      <c r="AN915" s="14">
        <f>AN914+AM915</f>
        <v/>
      </c>
    </row>
    <row r="916">
      <c r="A916" s="8" t="n">
        <v>36</v>
      </c>
      <c r="B916" s="8" t="n">
        <v>3</v>
      </c>
      <c r="C916" s="8" t="n">
        <v>1</v>
      </c>
      <c r="D916" s="8" t="inlineStr">
        <is>
          <t>版本免费+义相逢 + 月卡收益</t>
        </is>
      </c>
      <c r="E916" s="9">
        <f>K915</f>
        <v/>
      </c>
      <c r="F916" s="9" t="n">
        <v>1540</v>
      </c>
      <c r="G916" s="9" t="n">
        <v>4800</v>
      </c>
      <c r="H916" s="9" t="n">
        <v>0</v>
      </c>
      <c r="I916" s="9" t="n">
        <v>0</v>
      </c>
      <c r="J916" s="9" t="n">
        <v>0</v>
      </c>
      <c r="K916" s="9">
        <f>E916+F916+G916+H916+I916-J916</f>
        <v/>
      </c>
      <c r="L916" s="10">
        <f>Q915</f>
        <v/>
      </c>
      <c r="M916" s="10" t="n">
        <v>85</v>
      </c>
      <c r="N916" s="10" t="n">
        <v>11</v>
      </c>
      <c r="O916" s="10">
        <f>J916/160</f>
        <v/>
      </c>
      <c r="P916" s="10" t="n">
        <v>100</v>
      </c>
      <c r="Q916" s="10">
        <f>L916+M916+N916+O916-P916</f>
        <v/>
      </c>
      <c r="R916" s="11">
        <f>T915</f>
        <v/>
      </c>
      <c r="S916" s="11">
        <f>N(V916) + N(X916) + N(Z916)</f>
        <v/>
      </c>
      <c r="T916" s="11">
        <f>R916+P916-S916</f>
        <v/>
      </c>
      <c r="U916" s="11" t="inlineStr">
        <is>
          <t>是</t>
        </is>
      </c>
      <c r="V916" s="11" t="n">
        <v>53</v>
      </c>
      <c r="W916" s="11" t="inlineStr">
        <is>
          <t>是</t>
        </is>
      </c>
      <c r="X916" s="11" t="n">
        <v>48</v>
      </c>
      <c r="Y916" s="11" t="inlineStr">
        <is>
          <t>-</t>
        </is>
      </c>
      <c r="Z916" s="11" t="n">
        <v>0</v>
      </c>
      <c r="AA916" s="11" t="inlineStr">
        <is>
          <t>无</t>
        </is>
      </c>
      <c r="AB916" s="12">
        <f>AE915</f>
        <v/>
      </c>
      <c r="AC916" s="12" t="n">
        <v>4</v>
      </c>
      <c r="AD916" s="12" t="n">
        <v>0</v>
      </c>
      <c r="AE916" s="12">
        <f>AB916+AC916+AD916</f>
        <v/>
      </c>
      <c r="AF916" s="13">
        <f>AI915</f>
        <v/>
      </c>
      <c r="AG916" s="13" t="n">
        <v>0</v>
      </c>
      <c r="AH916" s="13" t="n">
        <v>0</v>
      </c>
      <c r="AI916" s="13">
        <f>AF916+AG916+AH916</f>
        <v/>
      </c>
      <c r="AJ916" s="14" t="n">
        <v>0</v>
      </c>
      <c r="AK916" s="14" t="n">
        <v>50</v>
      </c>
      <c r="AL916" s="14" t="n">
        <v>0</v>
      </c>
      <c r="AM916" s="14">
        <f>AJ916+AK916+AL916</f>
        <v/>
      </c>
      <c r="AN916" s="14">
        <f>AN915+AM916</f>
        <v/>
      </c>
    </row>
    <row r="917">
      <c r="A917" s="8" t="n">
        <v>36</v>
      </c>
      <c r="B917" s="8" t="n">
        <v>3</v>
      </c>
      <c r="C917" s="8" t="n">
        <v>2</v>
      </c>
      <c r="D917" s="8" t="inlineStr">
        <is>
          <t>月卡收益</t>
        </is>
      </c>
      <c r="E917" s="9">
        <f>K916</f>
        <v/>
      </c>
      <c r="F917" s="9" t="n">
        <v>1540</v>
      </c>
      <c r="G917" s="9" t="n">
        <v>0</v>
      </c>
      <c r="H917" s="9" t="n">
        <v>0</v>
      </c>
      <c r="I917" s="9" t="n">
        <v>0</v>
      </c>
      <c r="J917" s="9" t="n">
        <v>13280</v>
      </c>
      <c r="K917" s="9">
        <f>E917+F917+G917+H917+I917-J917</f>
        <v/>
      </c>
      <c r="L917" s="10">
        <f>Q916</f>
        <v/>
      </c>
      <c r="M917" s="10" t="n">
        <v>0</v>
      </c>
      <c r="N917" s="10" t="n">
        <v>11</v>
      </c>
      <c r="O917" s="10">
        <f>J917/160</f>
        <v/>
      </c>
      <c r="P917" s="10" t="n">
        <v>90</v>
      </c>
      <c r="Q917" s="10">
        <f>L917+M917+N917+O917-P917</f>
        <v/>
      </c>
      <c r="R917" s="11">
        <f>T916</f>
        <v/>
      </c>
      <c r="S917" s="11">
        <f>N(V917) + N(X917) + N(Z917)</f>
        <v/>
      </c>
      <c r="T917" s="11">
        <f>R917+P917-S917</f>
        <v/>
      </c>
      <c r="U917" s="11" t="inlineStr">
        <is>
          <t>是</t>
        </is>
      </c>
      <c r="V917" s="11" t="n">
        <v>49</v>
      </c>
      <c r="W917" s="11" t="inlineStr">
        <is>
          <t>是</t>
        </is>
      </c>
      <c r="X917" s="11" t="n">
        <v>48</v>
      </c>
      <c r="Y917" s="11" t="inlineStr">
        <is>
          <t>-</t>
        </is>
      </c>
      <c r="Z917" s="11" t="n">
        <v>0</v>
      </c>
      <c r="AA917" s="11" t="inlineStr">
        <is>
          <t>无</t>
        </is>
      </c>
      <c r="AB917" s="12">
        <f>AE916</f>
        <v/>
      </c>
      <c r="AC917" s="12" t="n">
        <v>0</v>
      </c>
      <c r="AD917" s="12" t="n">
        <v>0</v>
      </c>
      <c r="AE917" s="12">
        <f>AB917+AC917+AD917</f>
        <v/>
      </c>
      <c r="AF917" s="13">
        <f>AI916</f>
        <v/>
      </c>
      <c r="AG917" s="13" t="n">
        <v>0</v>
      </c>
      <c r="AH917" s="13" t="n">
        <v>0</v>
      </c>
      <c r="AI917" s="13">
        <f>AF917+AG917+AH917</f>
        <v/>
      </c>
      <c r="AJ917" s="14" t="n">
        <v>0</v>
      </c>
      <c r="AK917" s="14" t="n">
        <v>0</v>
      </c>
      <c r="AL917" s="14" t="n">
        <v>0</v>
      </c>
      <c r="AM917" s="14">
        <f>AJ917+AK917+AL917</f>
        <v/>
      </c>
      <c r="AN917" s="14">
        <f>AN916+AM917</f>
        <v/>
      </c>
    </row>
    <row r="918">
      <c r="A918" s="8" t="n">
        <v>36</v>
      </c>
      <c r="B918" s="8" t="n">
        <v>4</v>
      </c>
      <c r="C918" s="8" t="n">
        <v>1</v>
      </c>
      <c r="D918" s="8" t="inlineStr">
        <is>
          <t>版本免费+义相逢 + 月卡收益 [月卡续费-30元]</t>
        </is>
      </c>
      <c r="E918" s="9">
        <f>K917</f>
        <v/>
      </c>
      <c r="F918" s="9" t="n">
        <v>1540</v>
      </c>
      <c r="G918" s="9" t="n">
        <v>4800</v>
      </c>
      <c r="H918" s="9" t="n">
        <v>0</v>
      </c>
      <c r="I918" s="9" t="n">
        <v>0</v>
      </c>
      <c r="J918" s="9" t="n">
        <v>0</v>
      </c>
      <c r="K918" s="9">
        <f>E918+F918+G918+H918+I918-J918</f>
        <v/>
      </c>
      <c r="L918" s="10">
        <f>Q917</f>
        <v/>
      </c>
      <c r="M918" s="10" t="n">
        <v>85</v>
      </c>
      <c r="N918" s="10" t="n">
        <v>6</v>
      </c>
      <c r="O918" s="10">
        <f>J918/160</f>
        <v/>
      </c>
      <c r="P918" s="10" t="n">
        <v>60</v>
      </c>
      <c r="Q918" s="10">
        <f>L918+M918+N918+O918-P918</f>
        <v/>
      </c>
      <c r="R918" s="11">
        <f>T917</f>
        <v/>
      </c>
      <c r="S918" s="11">
        <f>N(V918) + N(X918) + N(Z918)</f>
        <v/>
      </c>
      <c r="T918" s="11">
        <f>R918+P918-S918</f>
        <v/>
      </c>
      <c r="U918" s="11" t="inlineStr">
        <is>
          <t>是</t>
        </is>
      </c>
      <c r="V918" s="11" t="n">
        <v>51</v>
      </c>
      <c r="W918" s="11" t="inlineStr">
        <is>
          <t>否</t>
        </is>
      </c>
      <c r="X918" s="11" t="inlineStr">
        <is>
          <t>-</t>
        </is>
      </c>
      <c r="Y918" s="11" t="inlineStr">
        <is>
          <t>-</t>
        </is>
      </c>
      <c r="Z918" s="11" t="n">
        <v>0</v>
      </c>
      <c r="AA918" s="11" t="inlineStr">
        <is>
          <t>无</t>
        </is>
      </c>
      <c r="AB918" s="12">
        <f>AE917</f>
        <v/>
      </c>
      <c r="AC918" s="12" t="n">
        <v>4</v>
      </c>
      <c r="AD918" s="12" t="n">
        <v>0</v>
      </c>
      <c r="AE918" s="12">
        <f>AB918+AC918+AD918</f>
        <v/>
      </c>
      <c r="AF918" s="13">
        <f>AI917</f>
        <v/>
      </c>
      <c r="AG918" s="13" t="n">
        <v>0</v>
      </c>
      <c r="AH918" s="13" t="n">
        <v>0</v>
      </c>
      <c r="AI918" s="13">
        <f>AF918+AG918+AH918</f>
        <v/>
      </c>
      <c r="AJ918" s="14" t="n">
        <v>30</v>
      </c>
      <c r="AK918" s="14" t="n">
        <v>50</v>
      </c>
      <c r="AL918" s="14" t="n">
        <v>0</v>
      </c>
      <c r="AM918" s="14">
        <f>AJ918+AK918+AL918</f>
        <v/>
      </c>
      <c r="AN918" s="14">
        <f>AN917+AM918</f>
        <v/>
      </c>
    </row>
    <row r="919">
      <c r="A919" s="8" t="n">
        <v>36</v>
      </c>
      <c r="B919" s="8" t="n">
        <v>4</v>
      </c>
      <c r="C919" s="8" t="n">
        <v>2</v>
      </c>
      <c r="D919" s="8" t="inlineStr">
        <is>
          <t>月卡收益</t>
        </is>
      </c>
      <c r="E919" s="9">
        <f>K918</f>
        <v/>
      </c>
      <c r="F919" s="9" t="n">
        <v>1540</v>
      </c>
      <c r="G919" s="9" t="n">
        <v>0</v>
      </c>
      <c r="H919" s="9" t="n">
        <v>0</v>
      </c>
      <c r="I919" s="9" t="n">
        <v>0</v>
      </c>
      <c r="J919" s="9" t="n">
        <v>8480</v>
      </c>
      <c r="K919" s="9">
        <f>E919+F919+G919+H919+I919-J919</f>
        <v/>
      </c>
      <c r="L919" s="10">
        <f>Q918</f>
        <v/>
      </c>
      <c r="M919" s="10" t="n">
        <v>0</v>
      </c>
      <c r="N919" s="10" t="n">
        <v>11</v>
      </c>
      <c r="O919" s="10">
        <f>J919/160</f>
        <v/>
      </c>
      <c r="P919" s="10" t="n">
        <v>100</v>
      </c>
      <c r="Q919" s="10">
        <f>L919+M919+N919+O919-P919</f>
        <v/>
      </c>
      <c r="R919" s="11">
        <f>T918</f>
        <v/>
      </c>
      <c r="S919" s="11">
        <f>N(V919) + N(X919) + N(Z919)</f>
        <v/>
      </c>
      <c r="T919" s="11">
        <f>R919+P919-S919</f>
        <v/>
      </c>
      <c r="U919" s="11" t="inlineStr">
        <is>
          <t>是</t>
        </is>
      </c>
      <c r="V919" s="11" t="n">
        <v>51</v>
      </c>
      <c r="W919" s="11" t="inlineStr">
        <is>
          <t>是</t>
        </is>
      </c>
      <c r="X919" s="11" t="n">
        <v>51</v>
      </c>
      <c r="Y919" s="11" t="inlineStr">
        <is>
          <t>-</t>
        </is>
      </c>
      <c r="Z919" s="11" t="n">
        <v>0</v>
      </c>
      <c r="AA919" s="11" t="inlineStr">
        <is>
          <t>无</t>
        </is>
      </c>
      <c r="AB919" s="12">
        <f>AE918</f>
        <v/>
      </c>
      <c r="AC919" s="12" t="n">
        <v>0</v>
      </c>
      <c r="AD919" s="12" t="n">
        <v>0</v>
      </c>
      <c r="AE919" s="12">
        <f>AB919+AC919+AD919</f>
        <v/>
      </c>
      <c r="AF919" s="13">
        <f>AI918</f>
        <v/>
      </c>
      <c r="AG919" s="13" t="n">
        <v>0</v>
      </c>
      <c r="AH919" s="13" t="n">
        <v>0</v>
      </c>
      <c r="AI919" s="13">
        <f>AF919+AG919+AH919</f>
        <v/>
      </c>
      <c r="AJ919" s="14" t="n">
        <v>0</v>
      </c>
      <c r="AK919" s="14" t="n">
        <v>0</v>
      </c>
      <c r="AL919" s="14" t="n">
        <v>0</v>
      </c>
      <c r="AM919" s="14">
        <f>AJ919+AK919+AL919</f>
        <v/>
      </c>
      <c r="AN919" s="14">
        <f>AN918+AM919</f>
        <v/>
      </c>
    </row>
    <row r="920">
      <c r="A920" s="8" t="n">
        <v>36</v>
      </c>
      <c r="B920" s="8" t="n">
        <v>5</v>
      </c>
      <c r="C920" s="8" t="n">
        <v>1</v>
      </c>
      <c r="D920" s="8" t="inlineStr">
        <is>
          <t>版本免费+义相逢 + 月卡收益 [月卡续费-30元]</t>
        </is>
      </c>
      <c r="E920" s="9">
        <f>K919</f>
        <v/>
      </c>
      <c r="F920" s="9" t="n">
        <v>1540</v>
      </c>
      <c r="G920" s="9" t="n">
        <v>4800</v>
      </c>
      <c r="H920" s="9" t="n">
        <v>0</v>
      </c>
      <c r="I920" s="9" t="n">
        <v>0</v>
      </c>
      <c r="J920" s="9" t="n">
        <v>0</v>
      </c>
      <c r="K920" s="9">
        <f>E920+F920+G920+H920+I920-J920</f>
        <v/>
      </c>
      <c r="L920" s="10">
        <f>Q919</f>
        <v/>
      </c>
      <c r="M920" s="10" t="n">
        <v>85</v>
      </c>
      <c r="N920" s="10" t="n">
        <v>3</v>
      </c>
      <c r="O920" s="10">
        <f>J920/160</f>
        <v/>
      </c>
      <c r="P920" s="10" t="n">
        <v>40</v>
      </c>
      <c r="Q920" s="10">
        <f>L920+M920+N920+O920-P920</f>
        <v/>
      </c>
      <c r="R920" s="11">
        <f>T919</f>
        <v/>
      </c>
      <c r="S920" s="11">
        <f>N(V920) + N(X920) + N(Z920)</f>
        <v/>
      </c>
      <c r="T920" s="11">
        <f>R920+P920-S920</f>
        <v/>
      </c>
      <c r="U920" s="11" t="inlineStr">
        <is>
          <t>是</t>
        </is>
      </c>
      <c r="V920" s="11" t="n">
        <v>47</v>
      </c>
      <c r="W920" s="11" t="inlineStr">
        <is>
          <t>否</t>
        </is>
      </c>
      <c r="X920" s="11" t="inlineStr">
        <is>
          <t>-</t>
        </is>
      </c>
      <c r="Y920" s="11" t="inlineStr">
        <is>
          <t>-</t>
        </is>
      </c>
      <c r="Z920" s="11" t="n">
        <v>0</v>
      </c>
      <c r="AA920" s="11" t="inlineStr">
        <is>
          <t>无</t>
        </is>
      </c>
      <c r="AB920" s="12">
        <f>AE919</f>
        <v/>
      </c>
      <c r="AC920" s="12" t="n">
        <v>4</v>
      </c>
      <c r="AD920" s="12" t="n">
        <v>0</v>
      </c>
      <c r="AE920" s="12">
        <f>AB920+AC920+AD920</f>
        <v/>
      </c>
      <c r="AF920" s="13">
        <f>AI919</f>
        <v/>
      </c>
      <c r="AG920" s="13" t="n">
        <v>0</v>
      </c>
      <c r="AH920" s="13" t="n">
        <v>0</v>
      </c>
      <c r="AI920" s="13">
        <f>AF920+AG920+AH920</f>
        <v/>
      </c>
      <c r="AJ920" s="14" t="n">
        <v>30</v>
      </c>
      <c r="AK920" s="14" t="n">
        <v>50</v>
      </c>
      <c r="AL920" s="14" t="n">
        <v>0</v>
      </c>
      <c r="AM920" s="14">
        <f>AJ920+AK920+AL920</f>
        <v/>
      </c>
      <c r="AN920" s="14">
        <f>AN919+AM920</f>
        <v/>
      </c>
    </row>
    <row r="921">
      <c r="A921" s="8" t="n">
        <v>36</v>
      </c>
      <c r="B921" s="8" t="n">
        <v>5</v>
      </c>
      <c r="C921" s="8" t="n">
        <v>2</v>
      </c>
      <c r="D921" s="8" t="inlineStr">
        <is>
          <t>月卡收益</t>
        </is>
      </c>
      <c r="E921" s="9">
        <f>K920</f>
        <v/>
      </c>
      <c r="F921" s="9" t="n">
        <v>1540</v>
      </c>
      <c r="G921" s="9" t="n">
        <v>0</v>
      </c>
      <c r="H921" s="9" t="n">
        <v>0</v>
      </c>
      <c r="I921" s="9" t="n">
        <v>0</v>
      </c>
      <c r="J921" s="9" t="n">
        <v>1440</v>
      </c>
      <c r="K921" s="9">
        <f>E921+F921+G921+H921+I921-J921</f>
        <v/>
      </c>
      <c r="L921" s="10">
        <f>Q920</f>
        <v/>
      </c>
      <c r="M921" s="10" t="n">
        <v>0</v>
      </c>
      <c r="N921" s="10" t="n">
        <v>6</v>
      </c>
      <c r="O921" s="10">
        <f>J921/160</f>
        <v/>
      </c>
      <c r="P921" s="10" t="n">
        <v>60</v>
      </c>
      <c r="Q921" s="10">
        <f>L921+M921+N921+O921-P921</f>
        <v/>
      </c>
      <c r="R921" s="11">
        <f>T920</f>
        <v/>
      </c>
      <c r="S921" s="11">
        <f>N(V921) + N(X921) + N(Z921)</f>
        <v/>
      </c>
      <c r="T921" s="11">
        <f>R921+P921-S921</f>
        <v/>
      </c>
      <c r="U921" s="11" t="inlineStr">
        <is>
          <t>是</t>
        </is>
      </c>
      <c r="V921" s="11" t="n">
        <v>48</v>
      </c>
      <c r="W921" s="11" t="inlineStr">
        <is>
          <t>是</t>
        </is>
      </c>
      <c r="X921" s="11" t="n">
        <v>5</v>
      </c>
      <c r="Y921" s="11" t="inlineStr">
        <is>
          <t>-</t>
        </is>
      </c>
      <c r="Z921" s="11" t="n">
        <v>0</v>
      </c>
      <c r="AA921" s="11" t="inlineStr">
        <is>
          <t>无</t>
        </is>
      </c>
      <c r="AB921" s="12">
        <f>AE920</f>
        <v/>
      </c>
      <c r="AC921" s="12" t="n">
        <v>0</v>
      </c>
      <c r="AD921" s="12" t="n">
        <v>0</v>
      </c>
      <c r="AE921" s="12">
        <f>AB921+AC921+AD921</f>
        <v/>
      </c>
      <c r="AF921" s="13">
        <f>AI920</f>
        <v/>
      </c>
      <c r="AG921" s="13" t="n">
        <v>0</v>
      </c>
      <c r="AH921" s="13" t="n">
        <v>0</v>
      </c>
      <c r="AI921" s="13">
        <f>AF921+AG921+AH921</f>
        <v/>
      </c>
      <c r="AJ921" s="14" t="n">
        <v>0</v>
      </c>
      <c r="AK921" s="14" t="n">
        <v>0</v>
      </c>
      <c r="AL921" s="14" t="n">
        <v>0</v>
      </c>
      <c r="AM921" s="14">
        <f>AJ921+AK921+AL921</f>
        <v/>
      </c>
      <c r="AN921" s="14">
        <f>AN920+AM921</f>
        <v/>
      </c>
    </row>
    <row r="922">
      <c r="A922" s="8" t="n">
        <v>36</v>
      </c>
      <c r="B922" s="8" t="n">
        <v>6</v>
      </c>
      <c r="C922" s="8" t="n">
        <v>1</v>
      </c>
      <c r="D922" s="8" t="inlineStr">
        <is>
          <t>版本免费+义相逢 + 月卡收益 [月卡续费-30元]</t>
        </is>
      </c>
      <c r="E922" s="9">
        <f>K921</f>
        <v/>
      </c>
      <c r="F922" s="9" t="n">
        <v>1540</v>
      </c>
      <c r="G922" s="9" t="n">
        <v>4800</v>
      </c>
      <c r="H922" s="9" t="n">
        <v>0</v>
      </c>
      <c r="I922" s="9" t="n">
        <v>0</v>
      </c>
      <c r="J922" s="9" t="n">
        <v>0</v>
      </c>
      <c r="K922" s="9">
        <f>E922+F922+G922+H922+I922-J922</f>
        <v/>
      </c>
      <c r="L922" s="10">
        <f>Q921</f>
        <v/>
      </c>
      <c r="M922" s="10" t="n">
        <v>85</v>
      </c>
      <c r="N922" s="10" t="n">
        <v>3</v>
      </c>
      <c r="O922" s="10">
        <f>J922/160</f>
        <v/>
      </c>
      <c r="P922" s="10" t="n">
        <v>40</v>
      </c>
      <c r="Q922" s="10">
        <f>L922+M922+N922+O922-P922</f>
        <v/>
      </c>
      <c r="R922" s="11">
        <f>T921</f>
        <v/>
      </c>
      <c r="S922" s="11">
        <f>N(V922) + N(X922) + N(Z922)</f>
        <v/>
      </c>
      <c r="T922" s="11">
        <f>R922+P922-S922</f>
        <v/>
      </c>
      <c r="U922" s="11" t="inlineStr">
        <is>
          <t>是</t>
        </is>
      </c>
      <c r="V922" s="11" t="n">
        <v>46</v>
      </c>
      <c r="W922" s="11" t="inlineStr">
        <is>
          <t>否</t>
        </is>
      </c>
      <c r="X922" s="11" t="inlineStr">
        <is>
          <t>-</t>
        </is>
      </c>
      <c r="Y922" s="11" t="inlineStr">
        <is>
          <t>-</t>
        </is>
      </c>
      <c r="Z922" s="11" t="n">
        <v>0</v>
      </c>
      <c r="AA922" s="11" t="inlineStr">
        <is>
          <t>无</t>
        </is>
      </c>
      <c r="AB922" s="12">
        <f>AE921</f>
        <v/>
      </c>
      <c r="AC922" s="12" t="n">
        <v>4</v>
      </c>
      <c r="AD922" s="12" t="n">
        <v>0</v>
      </c>
      <c r="AE922" s="12">
        <f>AB922+AC922+AD922</f>
        <v/>
      </c>
      <c r="AF922" s="13">
        <f>AI921</f>
        <v/>
      </c>
      <c r="AG922" s="13" t="n">
        <v>0</v>
      </c>
      <c r="AH922" s="13" t="n">
        <v>0</v>
      </c>
      <c r="AI922" s="13">
        <f>AF922+AG922+AH922</f>
        <v/>
      </c>
      <c r="AJ922" s="14" t="n">
        <v>30</v>
      </c>
      <c r="AK922" s="14" t="n">
        <v>50</v>
      </c>
      <c r="AL922" s="14" t="n">
        <v>0</v>
      </c>
      <c r="AM922" s="14">
        <f>AJ922+AK922+AL922</f>
        <v/>
      </c>
      <c r="AN922" s="14">
        <f>AN921+AM922</f>
        <v/>
      </c>
    </row>
    <row r="923">
      <c r="A923" s="8" t="n">
        <v>36</v>
      </c>
      <c r="B923" s="8" t="n">
        <v>6</v>
      </c>
      <c r="C923" s="8" t="n">
        <v>2</v>
      </c>
      <c r="D923" s="8" t="inlineStr">
        <is>
          <t>月卡收益</t>
        </is>
      </c>
      <c r="E923" s="9">
        <f>K922</f>
        <v/>
      </c>
      <c r="F923" s="9" t="n">
        <v>1540</v>
      </c>
      <c r="G923" s="9" t="n">
        <v>0</v>
      </c>
      <c r="H923" s="9" t="n">
        <v>0</v>
      </c>
      <c r="I923" s="9" t="n">
        <v>0</v>
      </c>
      <c r="J923" s="9" t="n">
        <v>6080</v>
      </c>
      <c r="K923" s="9">
        <f>E923+F923+G923+H923+I923-J923</f>
        <v/>
      </c>
      <c r="L923" s="10">
        <f>Q922</f>
        <v/>
      </c>
      <c r="M923" s="10" t="n">
        <v>0</v>
      </c>
      <c r="N923" s="10" t="n">
        <v>11</v>
      </c>
      <c r="O923" s="10">
        <f>J923/160</f>
        <v/>
      </c>
      <c r="P923" s="10" t="n">
        <v>100</v>
      </c>
      <c r="Q923" s="10">
        <f>L923+M923+N923+O923-P923</f>
        <v/>
      </c>
      <c r="R923" s="11">
        <f>T922</f>
        <v/>
      </c>
      <c r="S923" s="11">
        <f>N(V923) + N(X923) + N(Z923)</f>
        <v/>
      </c>
      <c r="T923" s="11">
        <f>R923+P923-S923</f>
        <v/>
      </c>
      <c r="U923" s="11" t="inlineStr">
        <is>
          <t>是</t>
        </is>
      </c>
      <c r="V923" s="11" t="n">
        <v>49</v>
      </c>
      <c r="W923" s="11" t="inlineStr">
        <is>
          <t>是</t>
        </is>
      </c>
      <c r="X923" s="11" t="n">
        <v>51</v>
      </c>
      <c r="Y923" s="11" t="inlineStr">
        <is>
          <t>-</t>
        </is>
      </c>
      <c r="Z923" s="11" t="n">
        <v>0</v>
      </c>
      <c r="AA923" s="11" t="inlineStr">
        <is>
          <t>无</t>
        </is>
      </c>
      <c r="AB923" s="12">
        <f>AE922</f>
        <v/>
      </c>
      <c r="AC923" s="12" t="n">
        <v>0</v>
      </c>
      <c r="AD923" s="12" t="n">
        <v>0</v>
      </c>
      <c r="AE923" s="12">
        <f>AB923+AC923+AD923</f>
        <v/>
      </c>
      <c r="AF923" s="13">
        <f>AI922</f>
        <v/>
      </c>
      <c r="AG923" s="13" t="n">
        <v>0</v>
      </c>
      <c r="AH923" s="13" t="n">
        <v>0</v>
      </c>
      <c r="AI923" s="13">
        <f>AF923+AG923+AH923</f>
        <v/>
      </c>
      <c r="AJ923" s="14" t="n">
        <v>0</v>
      </c>
      <c r="AK923" s="14" t="n">
        <v>0</v>
      </c>
      <c r="AL923" s="14" t="n">
        <v>0</v>
      </c>
      <c r="AM923" s="14">
        <f>AJ923+AK923+AL923</f>
        <v/>
      </c>
      <c r="AN923" s="14">
        <f>AN922+AM923</f>
        <v/>
      </c>
    </row>
    <row r="924">
      <c r="A924" s="8" t="n">
        <v>36</v>
      </c>
      <c r="B924" s="8" t="n">
        <v>7</v>
      </c>
      <c r="C924" s="8" t="n">
        <v>1</v>
      </c>
      <c r="D924" s="8" t="inlineStr">
        <is>
          <t>版本免费+义相逢 + 月卡收益 [月卡续费-30元]</t>
        </is>
      </c>
      <c r="E924" s="9">
        <f>K923</f>
        <v/>
      </c>
      <c r="F924" s="9" t="n">
        <v>1540</v>
      </c>
      <c r="G924" s="9" t="n">
        <v>4800</v>
      </c>
      <c r="H924" s="9" t="n">
        <v>0</v>
      </c>
      <c r="I924" s="9" t="n">
        <v>0</v>
      </c>
      <c r="J924" s="9" t="n">
        <v>0</v>
      </c>
      <c r="K924" s="9">
        <f>E924+F924+G924+H924+I924-J924</f>
        <v/>
      </c>
      <c r="L924" s="10">
        <f>Q923</f>
        <v/>
      </c>
      <c r="M924" s="10" t="n">
        <v>85</v>
      </c>
      <c r="N924" s="10" t="n">
        <v>6</v>
      </c>
      <c r="O924" s="10">
        <f>J924/160</f>
        <v/>
      </c>
      <c r="P924" s="10" t="n">
        <v>60</v>
      </c>
      <c r="Q924" s="10">
        <f>L924+M924+N924+O924-P924</f>
        <v/>
      </c>
      <c r="R924" s="11">
        <f>T923</f>
        <v/>
      </c>
      <c r="S924" s="11">
        <f>N(V924) + N(X924) + N(Z924)</f>
        <v/>
      </c>
      <c r="T924" s="11">
        <f>R924+P924-S924</f>
        <v/>
      </c>
      <c r="U924" s="11" t="inlineStr">
        <is>
          <t>是</t>
        </is>
      </c>
      <c r="V924" s="11" t="n">
        <v>50</v>
      </c>
      <c r="W924" s="11" t="inlineStr">
        <is>
          <t>否</t>
        </is>
      </c>
      <c r="X924" s="11" t="inlineStr">
        <is>
          <t>-</t>
        </is>
      </c>
      <c r="Y924" s="11" t="inlineStr">
        <is>
          <t>-</t>
        </is>
      </c>
      <c r="Z924" s="11" t="n">
        <v>0</v>
      </c>
      <c r="AA924" s="11" t="inlineStr">
        <is>
          <t>垫到60抽</t>
        </is>
      </c>
      <c r="AB924" s="12">
        <f>AE923</f>
        <v/>
      </c>
      <c r="AC924" s="12" t="n">
        <v>4</v>
      </c>
      <c r="AD924" s="12" t="n">
        <v>0</v>
      </c>
      <c r="AE924" s="12">
        <f>AB924+AC924+AD924</f>
        <v/>
      </c>
      <c r="AF924" s="13">
        <f>AI923</f>
        <v/>
      </c>
      <c r="AG924" s="13" t="n">
        <v>0</v>
      </c>
      <c r="AH924" s="13" t="n">
        <v>0</v>
      </c>
      <c r="AI924" s="13">
        <f>AF924+AG924+AH924</f>
        <v/>
      </c>
      <c r="AJ924" s="14" t="n">
        <v>30</v>
      </c>
      <c r="AK924" s="14" t="n">
        <v>50</v>
      </c>
      <c r="AL924" s="14" t="n">
        <v>0</v>
      </c>
      <c r="AM924" s="14">
        <f>AJ924+AK924+AL924</f>
        <v/>
      </c>
      <c r="AN924" s="14">
        <f>AN923+AM924</f>
        <v/>
      </c>
    </row>
    <row r="925">
      <c r="A925" s="8" t="n">
        <v>36</v>
      </c>
      <c r="B925" s="8" t="n">
        <v>7</v>
      </c>
      <c r="C925" s="8" t="n">
        <v>2</v>
      </c>
      <c r="D925" s="8" t="inlineStr">
        <is>
          <t>月卡收益</t>
        </is>
      </c>
      <c r="E925" s="9">
        <f>K924</f>
        <v/>
      </c>
      <c r="F925" s="9" t="n">
        <v>1540</v>
      </c>
      <c r="G925" s="9" t="n">
        <v>0</v>
      </c>
      <c r="H925" s="9" t="n">
        <v>0</v>
      </c>
      <c r="I925" s="9" t="n">
        <v>0</v>
      </c>
      <c r="J925" s="9" t="n">
        <v>8480</v>
      </c>
      <c r="K925" s="9">
        <f>E925+F925+G925+H925+I925-J925</f>
        <v/>
      </c>
      <c r="L925" s="10">
        <f>Q924</f>
        <v/>
      </c>
      <c r="M925" s="10" t="n">
        <v>0</v>
      </c>
      <c r="N925" s="10" t="n">
        <v>11</v>
      </c>
      <c r="O925" s="10">
        <f>J925/160</f>
        <v/>
      </c>
      <c r="P925" s="10" t="n">
        <v>90</v>
      </c>
      <c r="Q925" s="10">
        <f>L925+M925+N925+O925-P925</f>
        <v/>
      </c>
      <c r="R925" s="11">
        <f>T924</f>
        <v/>
      </c>
      <c r="S925" s="11">
        <f>N(V925) + N(X925) + N(Z925)</f>
        <v/>
      </c>
      <c r="T925" s="11">
        <f>R925+P925-S925</f>
        <v/>
      </c>
      <c r="U925" s="11" t="inlineStr">
        <is>
          <t>是</t>
        </is>
      </c>
      <c r="V925" s="11" t="n">
        <v>49</v>
      </c>
      <c r="W925" s="11" t="inlineStr">
        <is>
          <t>是</t>
        </is>
      </c>
      <c r="X925" s="11" t="n">
        <v>49</v>
      </c>
      <c r="Y925" s="11" t="inlineStr">
        <is>
          <t>-</t>
        </is>
      </c>
      <c r="Z925" s="11" t="n">
        <v>0</v>
      </c>
      <c r="AA925" s="11" t="inlineStr">
        <is>
          <t>无</t>
        </is>
      </c>
      <c r="AB925" s="12">
        <f>AE924</f>
        <v/>
      </c>
      <c r="AC925" s="12" t="n">
        <v>0</v>
      </c>
      <c r="AD925" s="12" t="n">
        <v>0</v>
      </c>
      <c r="AE925" s="12">
        <f>AB925+AC925+AD925</f>
        <v/>
      </c>
      <c r="AF925" s="13">
        <f>AI924</f>
        <v/>
      </c>
      <c r="AG925" s="13" t="n">
        <v>0</v>
      </c>
      <c r="AH925" s="13" t="n">
        <v>0</v>
      </c>
      <c r="AI925" s="13">
        <f>AF925+AG925+AH925</f>
        <v/>
      </c>
      <c r="AJ925" s="14" t="n">
        <v>0</v>
      </c>
      <c r="AK925" s="14" t="n">
        <v>0</v>
      </c>
      <c r="AL925" s="14" t="n">
        <v>0</v>
      </c>
      <c r="AM925" s="14">
        <f>AJ925+AK925+AL925</f>
        <v/>
      </c>
      <c r="AN925" s="14">
        <f>AN924+AM925</f>
        <v/>
      </c>
    </row>
    <row r="926">
      <c r="A926" s="8" t="n">
        <v>36</v>
      </c>
      <c r="B926" s="8" t="n">
        <v>8</v>
      </c>
      <c r="C926" s="8" t="n">
        <v>1</v>
      </c>
      <c r="D926" s="8" t="inlineStr">
        <is>
          <t>版本免费+义相逢 + 月卡收益 [月卡续费-30元]</t>
        </is>
      </c>
      <c r="E926" s="9">
        <f>K925</f>
        <v/>
      </c>
      <c r="F926" s="9" t="n">
        <v>1540</v>
      </c>
      <c r="G926" s="9" t="n">
        <v>4800</v>
      </c>
      <c r="H926" s="9" t="n">
        <v>0</v>
      </c>
      <c r="I926" s="9" t="n">
        <v>0</v>
      </c>
      <c r="J926" s="9" t="n">
        <v>0</v>
      </c>
      <c r="K926" s="9">
        <f>E926+F926+G926+H926+I926-J926</f>
        <v/>
      </c>
      <c r="L926" s="10">
        <f>Q925</f>
        <v/>
      </c>
      <c r="M926" s="10" t="n">
        <v>85</v>
      </c>
      <c r="N926" s="10" t="n">
        <v>6</v>
      </c>
      <c r="O926" s="10">
        <f>J926/160</f>
        <v/>
      </c>
      <c r="P926" s="10" t="n">
        <v>60</v>
      </c>
      <c r="Q926" s="10">
        <f>L926+M926+N926+O926-P926</f>
        <v/>
      </c>
      <c r="R926" s="11">
        <f>T925</f>
        <v/>
      </c>
      <c r="S926" s="11">
        <f>N(V926) + N(X926) + N(Z926)</f>
        <v/>
      </c>
      <c r="T926" s="11">
        <f>R926+P926-S926</f>
        <v/>
      </c>
      <c r="U926" s="11" t="inlineStr">
        <is>
          <t>是</t>
        </is>
      </c>
      <c r="V926" s="11" t="n">
        <v>51</v>
      </c>
      <c r="W926" s="11" t="inlineStr">
        <is>
          <t>否</t>
        </is>
      </c>
      <c r="X926" s="11" t="inlineStr">
        <is>
          <t>-</t>
        </is>
      </c>
      <c r="Y926" s="11" t="inlineStr">
        <is>
          <t>-</t>
        </is>
      </c>
      <c r="Z926" s="11" t="n">
        <v>0</v>
      </c>
      <c r="AA926" s="11" t="inlineStr">
        <is>
          <t>垫到60抽</t>
        </is>
      </c>
      <c r="AB926" s="12">
        <f>AE925</f>
        <v/>
      </c>
      <c r="AC926" s="12" t="n">
        <v>4</v>
      </c>
      <c r="AD926" s="12" t="n">
        <v>0</v>
      </c>
      <c r="AE926" s="12">
        <f>AB926+AC926+AD926</f>
        <v/>
      </c>
      <c r="AF926" s="13">
        <f>AI925</f>
        <v/>
      </c>
      <c r="AG926" s="13" t="n">
        <v>0</v>
      </c>
      <c r="AH926" s="13" t="n">
        <v>0</v>
      </c>
      <c r="AI926" s="13">
        <f>AF926+AG926+AH926</f>
        <v/>
      </c>
      <c r="AJ926" s="14" t="n">
        <v>30</v>
      </c>
      <c r="AK926" s="14" t="n">
        <v>50</v>
      </c>
      <c r="AL926" s="14" t="n">
        <v>0</v>
      </c>
      <c r="AM926" s="14">
        <f>AJ926+AK926+AL926</f>
        <v/>
      </c>
      <c r="AN926" s="14">
        <f>AN925+AM926</f>
        <v/>
      </c>
    </row>
    <row r="927">
      <c r="A927" s="8" t="n">
        <v>36</v>
      </c>
      <c r="B927" s="8" t="n">
        <v>8</v>
      </c>
      <c r="C927" s="8" t="n">
        <v>2</v>
      </c>
      <c r="D927" s="8" t="inlineStr">
        <is>
          <t>月卡收益</t>
        </is>
      </c>
      <c r="E927" s="9">
        <f>K926</f>
        <v/>
      </c>
      <c r="F927" s="9" t="n">
        <v>1540</v>
      </c>
      <c r="G927" s="9" t="n">
        <v>0</v>
      </c>
      <c r="H927" s="9" t="n">
        <v>0</v>
      </c>
      <c r="I927" s="9" t="n">
        <v>0</v>
      </c>
      <c r="J927" s="9" t="n">
        <v>160</v>
      </c>
      <c r="K927" s="9">
        <f>E927+F927+G927+H927+I927-J927</f>
        <v/>
      </c>
      <c r="L927" s="10">
        <f>Q926</f>
        <v/>
      </c>
      <c r="M927" s="10" t="n">
        <v>0</v>
      </c>
      <c r="N927" s="10" t="n">
        <v>3</v>
      </c>
      <c r="O927" s="10">
        <f>J927/160</f>
        <v/>
      </c>
      <c r="P927" s="10" t="n">
        <v>40</v>
      </c>
      <c r="Q927" s="10">
        <f>L927+M927+N927+O927-P927</f>
        <v/>
      </c>
      <c r="R927" s="11">
        <f>T926</f>
        <v/>
      </c>
      <c r="S927" s="11">
        <f>N(V927) + N(X927) + N(Z927)</f>
        <v/>
      </c>
      <c r="T927" s="11">
        <f>R927+P927-S927</f>
        <v/>
      </c>
      <c r="U927" s="11" t="inlineStr">
        <is>
          <t>是</t>
        </is>
      </c>
      <c r="V927" s="11" t="n">
        <v>48</v>
      </c>
      <c r="W927" s="11" t="inlineStr">
        <is>
          <t>否</t>
        </is>
      </c>
      <c r="X927" s="11" t="inlineStr">
        <is>
          <t>-</t>
        </is>
      </c>
      <c r="Y927" s="11" t="inlineStr">
        <is>
          <t>-</t>
        </is>
      </c>
      <c r="Z927" s="11" t="n">
        <v>0</v>
      </c>
      <c r="AA927" s="11" t="inlineStr">
        <is>
          <t>无</t>
        </is>
      </c>
      <c r="AB927" s="12">
        <f>AE926</f>
        <v/>
      </c>
      <c r="AC927" s="12" t="n">
        <v>0</v>
      </c>
      <c r="AD927" s="12" t="n">
        <v>0</v>
      </c>
      <c r="AE927" s="12">
        <f>AB927+AC927+AD927</f>
        <v/>
      </c>
      <c r="AF927" s="13">
        <f>AI926</f>
        <v/>
      </c>
      <c r="AG927" s="13" t="n">
        <v>0</v>
      </c>
      <c r="AH927" s="13" t="n">
        <v>0</v>
      </c>
      <c r="AI927" s="13">
        <f>AF927+AG927+AH927</f>
        <v/>
      </c>
      <c r="AJ927" s="14" t="n">
        <v>0</v>
      </c>
      <c r="AK927" s="14" t="n">
        <v>0</v>
      </c>
      <c r="AL927" s="14" t="n">
        <v>0</v>
      </c>
      <c r="AM927" s="14">
        <f>AJ927+AK927+AL927</f>
        <v/>
      </c>
      <c r="AN927" s="14">
        <f>AN926+AM927</f>
        <v/>
      </c>
    </row>
    <row r="928">
      <c r="A928" s="8" t="n">
        <v>36</v>
      </c>
      <c r="B928" s="8" t="n">
        <v>9</v>
      </c>
      <c r="C928" s="8" t="n">
        <v>1</v>
      </c>
      <c r="D928" s="8" t="inlineStr">
        <is>
          <t>版本免费+义相逢 + 月卡收益 [月卡续费-30元]</t>
        </is>
      </c>
      <c r="E928" s="9">
        <f>K927</f>
        <v/>
      </c>
      <c r="F928" s="9" t="n">
        <v>1540</v>
      </c>
      <c r="G928" s="9" t="n">
        <v>4800</v>
      </c>
      <c r="H928" s="9" t="n">
        <v>0</v>
      </c>
      <c r="I928" s="9" t="n">
        <v>0</v>
      </c>
      <c r="J928" s="9" t="n">
        <v>0</v>
      </c>
      <c r="K928" s="9">
        <f>E928+F928+G928+H928+I928-J928</f>
        <v/>
      </c>
      <c r="L928" s="10">
        <f>Q927</f>
        <v/>
      </c>
      <c r="M928" s="10" t="n">
        <v>85</v>
      </c>
      <c r="N928" s="10" t="n">
        <v>6</v>
      </c>
      <c r="O928" s="10">
        <f>J928/160</f>
        <v/>
      </c>
      <c r="P928" s="10" t="n">
        <v>60</v>
      </c>
      <c r="Q928" s="10">
        <f>L928+M928+N928+O928-P928</f>
        <v/>
      </c>
      <c r="R928" s="11">
        <f>T927</f>
        <v/>
      </c>
      <c r="S928" s="11">
        <f>N(V928) + N(X928) + N(Z928)</f>
        <v/>
      </c>
      <c r="T928" s="11">
        <f>R928+P928-S928</f>
        <v/>
      </c>
      <c r="U928" s="11" t="inlineStr">
        <is>
          <t>是</t>
        </is>
      </c>
      <c r="V928" s="11" t="n">
        <v>50</v>
      </c>
      <c r="W928" s="11" t="inlineStr">
        <is>
          <t>否</t>
        </is>
      </c>
      <c r="X928" s="11" t="inlineStr">
        <is>
          <t>-</t>
        </is>
      </c>
      <c r="Y928" s="11" t="inlineStr">
        <is>
          <t>-</t>
        </is>
      </c>
      <c r="Z928" s="11" t="n">
        <v>0</v>
      </c>
      <c r="AA928" s="11" t="inlineStr">
        <is>
          <t>垫到60抽</t>
        </is>
      </c>
      <c r="AB928" s="12">
        <f>AE927</f>
        <v/>
      </c>
      <c r="AC928" s="12" t="n">
        <v>4</v>
      </c>
      <c r="AD928" s="12" t="n">
        <v>0</v>
      </c>
      <c r="AE928" s="12">
        <f>AB928+AC928+AD928</f>
        <v/>
      </c>
      <c r="AF928" s="13">
        <f>AI927</f>
        <v/>
      </c>
      <c r="AG928" s="13" t="n">
        <v>0</v>
      </c>
      <c r="AH928" s="13" t="n">
        <v>0</v>
      </c>
      <c r="AI928" s="13">
        <f>AF928+AG928+AH928</f>
        <v/>
      </c>
      <c r="AJ928" s="14" t="n">
        <v>30</v>
      </c>
      <c r="AK928" s="14" t="n">
        <v>50</v>
      </c>
      <c r="AL928" s="14" t="n">
        <v>0</v>
      </c>
      <c r="AM928" s="14">
        <f>AJ928+AK928+AL928</f>
        <v/>
      </c>
      <c r="AN928" s="14">
        <f>AN927+AM928</f>
        <v/>
      </c>
    </row>
    <row r="929">
      <c r="A929" s="8" t="n">
        <v>36</v>
      </c>
      <c r="B929" s="8" t="n">
        <v>9</v>
      </c>
      <c r="C929" s="8" t="n">
        <v>2</v>
      </c>
      <c r="D929" s="8" t="inlineStr">
        <is>
          <t>月卡收益</t>
        </is>
      </c>
      <c r="E929" s="9">
        <f>K928</f>
        <v/>
      </c>
      <c r="F929" s="9" t="n">
        <v>1540</v>
      </c>
      <c r="G929" s="9" t="n">
        <v>0</v>
      </c>
      <c r="H929" s="9" t="n">
        <v>0</v>
      </c>
      <c r="I929" s="9" t="n">
        <v>0</v>
      </c>
      <c r="J929" s="9" t="n">
        <v>960</v>
      </c>
      <c r="K929" s="9">
        <f>E929+F929+G929+H929+I929-J929</f>
        <v/>
      </c>
      <c r="L929" s="10">
        <f>Q928</f>
        <v/>
      </c>
      <c r="M929" s="10" t="n">
        <v>0</v>
      </c>
      <c r="N929" s="10" t="n">
        <v>3</v>
      </c>
      <c r="O929" s="10">
        <f>J929/160</f>
        <v/>
      </c>
      <c r="P929" s="10" t="n">
        <v>40</v>
      </c>
      <c r="Q929" s="10">
        <f>L929+M929+N929+O929-P929</f>
        <v/>
      </c>
      <c r="R929" s="11">
        <f>T928</f>
        <v/>
      </c>
      <c r="S929" s="11">
        <f>N(V929) + N(X929) + N(Z929)</f>
        <v/>
      </c>
      <c r="T929" s="11">
        <f>R929+P929-S929</f>
        <v/>
      </c>
      <c r="U929" s="11" t="inlineStr">
        <is>
          <t>是</t>
        </is>
      </c>
      <c r="V929" s="11" t="n">
        <v>50</v>
      </c>
      <c r="W929" s="11" t="inlineStr">
        <is>
          <t>否</t>
        </is>
      </c>
      <c r="X929" s="11" t="inlineStr">
        <is>
          <t>-</t>
        </is>
      </c>
      <c r="Y929" s="11" t="inlineStr">
        <is>
          <t>-</t>
        </is>
      </c>
      <c r="Z929" s="11" t="n">
        <v>0</v>
      </c>
      <c r="AA929" s="11" t="inlineStr">
        <is>
          <t>无</t>
        </is>
      </c>
      <c r="AB929" s="12">
        <f>AE928</f>
        <v/>
      </c>
      <c r="AC929" s="12" t="n">
        <v>0</v>
      </c>
      <c r="AD929" s="12" t="n">
        <v>0</v>
      </c>
      <c r="AE929" s="12">
        <f>AB929+AC929+AD929</f>
        <v/>
      </c>
      <c r="AF929" s="13">
        <f>AI928</f>
        <v/>
      </c>
      <c r="AG929" s="13" t="n">
        <v>0</v>
      </c>
      <c r="AH929" s="13" t="n">
        <v>0</v>
      </c>
      <c r="AI929" s="13">
        <f>AF929+AG929+AH929</f>
        <v/>
      </c>
      <c r="AJ929" s="14" t="n">
        <v>0</v>
      </c>
      <c r="AK929" s="14" t="n">
        <v>0</v>
      </c>
      <c r="AL929" s="14" t="n">
        <v>0</v>
      </c>
      <c r="AM929" s="14">
        <f>AJ929+AK929+AL929</f>
        <v/>
      </c>
      <c r="AN929" s="14">
        <f>AN928+AM929</f>
        <v/>
      </c>
    </row>
    <row r="930">
      <c r="A930" s="8" t="n">
        <v>36</v>
      </c>
      <c r="B930" s="8" t="n">
        <v>10</v>
      </c>
      <c r="C930" s="8" t="n">
        <v>1</v>
      </c>
      <c r="D930" s="8" t="inlineStr">
        <is>
          <t>版本免费+义相逢 + 月卡收益 [月卡续费-30元]</t>
        </is>
      </c>
      <c r="E930" s="9">
        <f>K929</f>
        <v/>
      </c>
      <c r="F930" s="9" t="n">
        <v>1540</v>
      </c>
      <c r="G930" s="9" t="n">
        <v>4800</v>
      </c>
      <c r="H930" s="9" t="n">
        <v>0</v>
      </c>
      <c r="I930" s="9" t="n">
        <v>0</v>
      </c>
      <c r="J930" s="9" t="n">
        <v>0</v>
      </c>
      <c r="K930" s="9">
        <f>E930+F930+G930+H930+I930-J930</f>
        <v/>
      </c>
      <c r="L930" s="10">
        <f>Q929</f>
        <v/>
      </c>
      <c r="M930" s="10" t="n">
        <v>85</v>
      </c>
      <c r="N930" s="10" t="n">
        <v>6</v>
      </c>
      <c r="O930" s="10">
        <f>J930/160</f>
        <v/>
      </c>
      <c r="P930" s="10" t="n">
        <v>60</v>
      </c>
      <c r="Q930" s="10">
        <f>L930+M930+N930+O930-P930</f>
        <v/>
      </c>
      <c r="R930" s="11">
        <f>T929</f>
        <v/>
      </c>
      <c r="S930" s="11">
        <f>N(V930) + N(X930) + N(Z930)</f>
        <v/>
      </c>
      <c r="T930" s="11">
        <f>R930+P930-S930</f>
        <v/>
      </c>
      <c r="U930" s="11" t="inlineStr">
        <is>
          <t>是</t>
        </is>
      </c>
      <c r="V930" s="11" t="n">
        <v>51</v>
      </c>
      <c r="W930" s="11" t="inlineStr">
        <is>
          <t>否</t>
        </is>
      </c>
      <c r="X930" s="11" t="inlineStr">
        <is>
          <t>-</t>
        </is>
      </c>
      <c r="Y930" s="11" t="inlineStr">
        <is>
          <t>-</t>
        </is>
      </c>
      <c r="Z930" s="11" t="n">
        <v>0</v>
      </c>
      <c r="AA930" s="11" t="inlineStr">
        <is>
          <t>垫到60抽</t>
        </is>
      </c>
      <c r="AB930" s="12">
        <f>AE929</f>
        <v/>
      </c>
      <c r="AC930" s="12" t="n">
        <v>4</v>
      </c>
      <c r="AD930" s="12" t="n">
        <v>0</v>
      </c>
      <c r="AE930" s="12">
        <f>AB930+AC930+AD930</f>
        <v/>
      </c>
      <c r="AF930" s="13">
        <f>AI929</f>
        <v/>
      </c>
      <c r="AG930" s="13" t="n">
        <v>0</v>
      </c>
      <c r="AH930" s="13" t="n">
        <v>0</v>
      </c>
      <c r="AI930" s="13">
        <f>AF930+AG930+AH930</f>
        <v/>
      </c>
      <c r="AJ930" s="14" t="n">
        <v>30</v>
      </c>
      <c r="AK930" s="14" t="n">
        <v>50</v>
      </c>
      <c r="AL930" s="14" t="n">
        <v>0</v>
      </c>
      <c r="AM930" s="14">
        <f>AJ930+AK930+AL930</f>
        <v/>
      </c>
      <c r="AN930" s="14">
        <f>AN929+AM930</f>
        <v/>
      </c>
    </row>
    <row r="931">
      <c r="A931" s="8" t="n">
        <v>36</v>
      </c>
      <c r="B931" s="8" t="n">
        <v>10</v>
      </c>
      <c r="C931" s="8" t="n">
        <v>2</v>
      </c>
      <c r="D931" s="8" t="inlineStr">
        <is>
          <t>月卡收益</t>
        </is>
      </c>
      <c r="E931" s="9">
        <f>K930</f>
        <v/>
      </c>
      <c r="F931" s="9" t="n">
        <v>1540</v>
      </c>
      <c r="G931" s="9" t="n">
        <v>0</v>
      </c>
      <c r="H931" s="9" t="n">
        <v>0</v>
      </c>
      <c r="I931" s="9" t="n">
        <v>0</v>
      </c>
      <c r="J931" s="9" t="n">
        <v>0</v>
      </c>
      <c r="K931" s="9">
        <f>E931+F931+G931+H931+I931-J931</f>
        <v/>
      </c>
      <c r="L931" s="10">
        <f>Q930</f>
        <v/>
      </c>
      <c r="M931" s="10" t="n">
        <v>0</v>
      </c>
      <c r="N931" s="10" t="n">
        <v>1</v>
      </c>
      <c r="O931" s="10">
        <f>J931/160</f>
        <v/>
      </c>
      <c r="P931" s="10" t="n">
        <v>10</v>
      </c>
      <c r="Q931" s="10">
        <f>L931+M931+N931+O931-P931</f>
        <v/>
      </c>
      <c r="R931" s="11">
        <f>T930</f>
        <v/>
      </c>
      <c r="S931" s="11">
        <f>N(V931) + N(X931) + N(Z931)</f>
        <v/>
      </c>
      <c r="T931" s="11">
        <f>R931+P931-S931</f>
        <v/>
      </c>
      <c r="U931" s="11" t="inlineStr">
        <is>
          <t>是</t>
        </is>
      </c>
      <c r="V931" s="11" t="n">
        <v>21</v>
      </c>
      <c r="W931" s="11" t="inlineStr">
        <is>
          <t>否</t>
        </is>
      </c>
      <c r="X931" s="11" t="inlineStr">
        <is>
          <t>-</t>
        </is>
      </c>
      <c r="Y931" s="11" t="inlineStr">
        <is>
          <t>-</t>
        </is>
      </c>
      <c r="Z931" s="11" t="n">
        <v>0</v>
      </c>
      <c r="AA931" s="11" t="inlineStr">
        <is>
          <t>无</t>
        </is>
      </c>
      <c r="AB931" s="12">
        <f>AE930</f>
        <v/>
      </c>
      <c r="AC931" s="12" t="n">
        <v>0</v>
      </c>
      <c r="AD931" s="12" t="n">
        <v>0</v>
      </c>
      <c r="AE931" s="12">
        <f>AB931+AC931+AD931</f>
        <v/>
      </c>
      <c r="AF931" s="13">
        <f>AI930</f>
        <v/>
      </c>
      <c r="AG931" s="13" t="n">
        <v>0</v>
      </c>
      <c r="AH931" s="13" t="n">
        <v>0</v>
      </c>
      <c r="AI931" s="13">
        <f>AF931+AG931+AH931</f>
        <v/>
      </c>
      <c r="AJ931" s="14" t="n">
        <v>0</v>
      </c>
      <c r="AK931" s="14" t="n">
        <v>0</v>
      </c>
      <c r="AL931" s="14" t="n">
        <v>0</v>
      </c>
      <c r="AM931" s="14">
        <f>AJ931+AK931+AL931</f>
        <v/>
      </c>
      <c r="AN931" s="14">
        <f>AN930+AM931</f>
        <v/>
      </c>
    </row>
    <row r="932">
      <c r="A932" s="8" t="n">
        <v>36</v>
      </c>
      <c r="B932" s="8" t="n">
        <v>11</v>
      </c>
      <c r="C932" s="8" t="n">
        <v>1</v>
      </c>
      <c r="D932" s="8" t="inlineStr">
        <is>
          <t>版本免费+义相逢 + 月卡收益</t>
        </is>
      </c>
      <c r="E932" s="9">
        <f>K931</f>
        <v/>
      </c>
      <c r="F932" s="9" t="n">
        <v>1540</v>
      </c>
      <c r="G932" s="9" t="n">
        <v>4800</v>
      </c>
      <c r="H932" s="9" t="n">
        <v>0</v>
      </c>
      <c r="I932" s="9" t="n">
        <v>0</v>
      </c>
      <c r="J932" s="9" t="n">
        <v>11520</v>
      </c>
      <c r="K932" s="9">
        <f>E932+F932+G932+H932+I932-J932</f>
        <v/>
      </c>
      <c r="L932" s="10">
        <f>Q931</f>
        <v/>
      </c>
      <c r="M932" s="10" t="n">
        <v>85</v>
      </c>
      <c r="N932" s="10" t="n">
        <v>21</v>
      </c>
      <c r="O932" s="10">
        <f>J932/160</f>
        <v/>
      </c>
      <c r="P932" s="10" t="n">
        <v>200</v>
      </c>
      <c r="Q932" s="10">
        <f>L932+M932+N932+O932-P932</f>
        <v/>
      </c>
      <c r="R932" s="11">
        <f>T931</f>
        <v/>
      </c>
      <c r="S932" s="11">
        <f>N(V932) + N(X932) + N(Z932)</f>
        <v/>
      </c>
      <c r="T932" s="11">
        <f>R932+P932-S932</f>
        <v/>
      </c>
      <c r="U932" s="11" t="inlineStr">
        <is>
          <t>是</t>
        </is>
      </c>
      <c r="V932" s="11" t="n">
        <v>46</v>
      </c>
      <c r="W932" s="11" t="inlineStr">
        <is>
          <t>是</t>
        </is>
      </c>
      <c r="X932" s="11" t="n">
        <v>47</v>
      </c>
      <c r="Y932" s="11" t="inlineStr">
        <is>
          <t>UP(52), UP(20)</t>
        </is>
      </c>
      <c r="Z932" s="11" t="n">
        <v>72</v>
      </c>
      <c r="AA932" s="11" t="inlineStr">
        <is>
          <t>冲刺200(动态80)</t>
        </is>
      </c>
      <c r="AB932" s="12">
        <f>AE931</f>
        <v/>
      </c>
      <c r="AC932" s="12" t="n">
        <v>4</v>
      </c>
      <c r="AD932" s="12" t="n">
        <v>1</v>
      </c>
      <c r="AE932" s="12">
        <f>AB932+AC932+AD932</f>
        <v/>
      </c>
      <c r="AF932" s="13">
        <f>AI931</f>
        <v/>
      </c>
      <c r="AG932" s="13" t="n">
        <v>0</v>
      </c>
      <c r="AH932" s="13" t="n">
        <v>5000</v>
      </c>
      <c r="AI932" s="13">
        <f>AF932+AG932+AH932</f>
        <v/>
      </c>
      <c r="AJ932" s="14" t="n">
        <v>0</v>
      </c>
      <c r="AK932" s="14" t="n">
        <v>50</v>
      </c>
      <c r="AL932" s="14" t="n">
        <v>0</v>
      </c>
      <c r="AM932" s="14">
        <f>AJ932+AK932+AL932</f>
        <v/>
      </c>
      <c r="AN932" s="14">
        <f>AN931+AM932</f>
        <v/>
      </c>
    </row>
    <row r="933">
      <c r="A933" s="8" t="n">
        <v>36</v>
      </c>
      <c r="B933" s="8" t="n">
        <v>11</v>
      </c>
      <c r="C933" s="8" t="n">
        <v>2</v>
      </c>
      <c r="D933" s="8" t="inlineStr">
        <is>
          <t>月卡收益 [月卡续费-30元]</t>
        </is>
      </c>
      <c r="E933" s="9">
        <f>K932</f>
        <v/>
      </c>
      <c r="F933" s="9" t="n">
        <v>1540</v>
      </c>
      <c r="G933" s="9" t="n">
        <v>0</v>
      </c>
      <c r="H933" s="9" t="n">
        <v>0</v>
      </c>
      <c r="I933" s="9" t="n">
        <v>0</v>
      </c>
      <c r="J933" s="9" t="n">
        <v>3040</v>
      </c>
      <c r="K933" s="9">
        <f>E933+F933+G933+H933+I933-J933</f>
        <v/>
      </c>
      <c r="L933" s="10">
        <f>Q932</f>
        <v/>
      </c>
      <c r="M933" s="10" t="n">
        <v>0</v>
      </c>
      <c r="N933" s="10" t="n">
        <v>1</v>
      </c>
      <c r="O933" s="10">
        <f>J933/160</f>
        <v/>
      </c>
      <c r="P933" s="10" t="n">
        <v>20</v>
      </c>
      <c r="Q933" s="10">
        <f>L933+M933+N933+O933-P933</f>
        <v/>
      </c>
      <c r="R933" s="11">
        <f>T932</f>
        <v/>
      </c>
      <c r="S933" s="11">
        <f>N(V933) + N(X933) + N(Z933)</f>
        <v/>
      </c>
      <c r="T933" s="11">
        <f>R933+P933-S933</f>
        <v/>
      </c>
      <c r="U933" s="11" t="inlineStr">
        <is>
          <t>是</t>
        </is>
      </c>
      <c r="V933" s="11" t="n">
        <v>53</v>
      </c>
      <c r="W933" s="11" t="inlineStr">
        <is>
          <t>否</t>
        </is>
      </c>
      <c r="X933" s="11" t="inlineStr">
        <is>
          <t>-</t>
        </is>
      </c>
      <c r="Y933" s="11" t="inlineStr">
        <is>
          <t>-</t>
        </is>
      </c>
      <c r="Z933" s="11" t="n">
        <v>0</v>
      </c>
      <c r="AA933" s="11" t="inlineStr">
        <is>
          <t>无</t>
        </is>
      </c>
      <c r="AB933" s="12">
        <f>AE932</f>
        <v/>
      </c>
      <c r="AC933" s="12" t="n">
        <v>0</v>
      </c>
      <c r="AD933" s="12" t="n">
        <v>0</v>
      </c>
      <c r="AE933" s="12">
        <f>AB933+AC933+AD933</f>
        <v/>
      </c>
      <c r="AF933" s="13">
        <f>AI932</f>
        <v/>
      </c>
      <c r="AG933" s="13" t="n">
        <v>0</v>
      </c>
      <c r="AH933" s="13" t="n">
        <v>0</v>
      </c>
      <c r="AI933" s="13">
        <f>AF933+AG933+AH933</f>
        <v/>
      </c>
      <c r="AJ933" s="14" t="n">
        <v>30</v>
      </c>
      <c r="AK933" s="14" t="n">
        <v>0</v>
      </c>
      <c r="AL933" s="14" t="n">
        <v>0</v>
      </c>
      <c r="AM933" s="14">
        <f>AJ933+AK933+AL933</f>
        <v/>
      </c>
      <c r="AN933" s="14">
        <f>AN932+AM933</f>
        <v/>
      </c>
    </row>
    <row r="934">
      <c r="A934" s="8" t="n">
        <v>36</v>
      </c>
      <c r="B934" s="8" t="n">
        <v>12</v>
      </c>
      <c r="C934" s="8" t="n">
        <v>1</v>
      </c>
      <c r="D934" s="8" t="inlineStr">
        <is>
          <t>版本免费+义相逢 + 月卡收益</t>
        </is>
      </c>
      <c r="E934" s="9">
        <f>K933</f>
        <v/>
      </c>
      <c r="F934" s="9" t="n">
        <v>1540</v>
      </c>
      <c r="G934" s="9" t="n">
        <v>4800</v>
      </c>
      <c r="H934" s="9" t="n">
        <v>0</v>
      </c>
      <c r="I934" s="9" t="n">
        <v>0</v>
      </c>
      <c r="J934" s="9" t="n">
        <v>0</v>
      </c>
      <c r="K934" s="9">
        <f>E934+F934+G934+H934+I934-J934</f>
        <v/>
      </c>
      <c r="L934" s="10">
        <f>Q933</f>
        <v/>
      </c>
      <c r="M934" s="10" t="n">
        <v>85</v>
      </c>
      <c r="N934" s="10" t="n">
        <v>6</v>
      </c>
      <c r="O934" s="10">
        <f>J934/160</f>
        <v/>
      </c>
      <c r="P934" s="10" t="n">
        <v>60</v>
      </c>
      <c r="Q934" s="10">
        <f>L934+M934+N934+O934-P934</f>
        <v/>
      </c>
      <c r="R934" s="11">
        <f>T933</f>
        <v/>
      </c>
      <c r="S934" s="11">
        <f>N(V934) + N(X934) + N(Z934)</f>
        <v/>
      </c>
      <c r="T934" s="11">
        <f>R934+P934-S934</f>
        <v/>
      </c>
      <c r="U934" s="11" t="inlineStr">
        <is>
          <t>是</t>
        </is>
      </c>
      <c r="V934" s="11" t="n">
        <v>50</v>
      </c>
      <c r="W934" s="11" t="inlineStr">
        <is>
          <t>否</t>
        </is>
      </c>
      <c r="X934" s="11" t="inlineStr">
        <is>
          <t>-</t>
        </is>
      </c>
      <c r="Y934" s="11" t="inlineStr">
        <is>
          <t>-</t>
        </is>
      </c>
      <c r="Z934" s="11" t="n">
        <v>0</v>
      </c>
      <c r="AA934" s="11" t="inlineStr">
        <is>
          <t>垫到60抽</t>
        </is>
      </c>
      <c r="AB934" s="12">
        <f>AE933</f>
        <v/>
      </c>
      <c r="AC934" s="12" t="n">
        <v>4</v>
      </c>
      <c r="AD934" s="12" t="n">
        <v>0</v>
      </c>
      <c r="AE934" s="12">
        <f>AB934+AC934+AD934</f>
        <v/>
      </c>
      <c r="AF934" s="13">
        <f>AI933</f>
        <v/>
      </c>
      <c r="AG934" s="13" t="n">
        <v>0</v>
      </c>
      <c r="AH934" s="13" t="n">
        <v>0</v>
      </c>
      <c r="AI934" s="13">
        <f>AF934+AG934+AH934</f>
        <v/>
      </c>
      <c r="AJ934" s="14" t="n">
        <v>0</v>
      </c>
      <c r="AK934" s="14" t="n">
        <v>50</v>
      </c>
      <c r="AL934" s="14" t="n">
        <v>0</v>
      </c>
      <c r="AM934" s="14">
        <f>AJ934+AK934+AL934</f>
        <v/>
      </c>
      <c r="AN934" s="14">
        <f>AN933+AM934</f>
        <v/>
      </c>
    </row>
    <row r="935">
      <c r="A935" s="8" t="n">
        <v>36</v>
      </c>
      <c r="B935" s="8" t="n">
        <v>12</v>
      </c>
      <c r="C935" s="8" t="n">
        <v>2</v>
      </c>
      <c r="D935" s="8" t="inlineStr">
        <is>
          <t>月卡收益 [月卡续费-30元]</t>
        </is>
      </c>
      <c r="E935" s="9">
        <f>K934</f>
        <v/>
      </c>
      <c r="F935" s="9" t="n">
        <v>1540</v>
      </c>
      <c r="G935" s="9" t="n">
        <v>0</v>
      </c>
      <c r="H935" s="9" t="n">
        <v>0</v>
      </c>
      <c r="I935" s="9" t="n">
        <v>0</v>
      </c>
      <c r="J935" s="9" t="n">
        <v>8480</v>
      </c>
      <c r="K935" s="9">
        <f>E935+F935+G935+H935+I935-J935</f>
        <v/>
      </c>
      <c r="L935" s="10">
        <f>Q934</f>
        <v/>
      </c>
      <c r="M935" s="10" t="n">
        <v>0</v>
      </c>
      <c r="N935" s="10" t="n">
        <v>11</v>
      </c>
      <c r="O935" s="10">
        <f>J935/160</f>
        <v/>
      </c>
      <c r="P935" s="10" t="n">
        <v>90</v>
      </c>
      <c r="Q935" s="10">
        <f>L935+M935+N935+O935-P935</f>
        <v/>
      </c>
      <c r="R935" s="11">
        <f>T934</f>
        <v/>
      </c>
      <c r="S935" s="11">
        <f>N(V935) + N(X935) + N(Z935)</f>
        <v/>
      </c>
      <c r="T935" s="11">
        <f>R935+P935-S935</f>
        <v/>
      </c>
      <c r="U935" s="11" t="inlineStr">
        <is>
          <t>是</t>
        </is>
      </c>
      <c r="V935" s="11" t="n">
        <v>51</v>
      </c>
      <c r="W935" s="11" t="inlineStr">
        <is>
          <t>是</t>
        </is>
      </c>
      <c r="X935" s="11" t="n">
        <v>48</v>
      </c>
      <c r="Y935" s="11" t="inlineStr">
        <is>
          <t>-</t>
        </is>
      </c>
      <c r="Z935" s="11" t="n">
        <v>0</v>
      </c>
      <c r="AA935" s="11" t="inlineStr">
        <is>
          <t>无</t>
        </is>
      </c>
      <c r="AB935" s="12">
        <f>AE934</f>
        <v/>
      </c>
      <c r="AC935" s="12" t="n">
        <v>0</v>
      </c>
      <c r="AD935" s="12" t="n">
        <v>0</v>
      </c>
      <c r="AE935" s="12">
        <f>AB935+AC935+AD935</f>
        <v/>
      </c>
      <c r="AF935" s="13">
        <f>AI934</f>
        <v/>
      </c>
      <c r="AG935" s="13" t="n">
        <v>0</v>
      </c>
      <c r="AH935" s="13" t="n">
        <v>0</v>
      </c>
      <c r="AI935" s="13">
        <f>AF935+AG935+AH935</f>
        <v/>
      </c>
      <c r="AJ935" s="14" t="n">
        <v>30</v>
      </c>
      <c r="AK935" s="14" t="n">
        <v>0</v>
      </c>
      <c r="AL935" s="14" t="n">
        <v>0</v>
      </c>
      <c r="AM935" s="14">
        <f>AJ935+AK935+AL935</f>
        <v/>
      </c>
      <c r="AN935" s="14">
        <f>AN934+AM935</f>
        <v/>
      </c>
    </row>
    <row r="936">
      <c r="A936" s="8" t="n">
        <v>36</v>
      </c>
      <c r="B936" s="8" t="n">
        <v>13</v>
      </c>
      <c r="C936" s="8" t="n">
        <v>1</v>
      </c>
      <c r="D936" s="8" t="inlineStr">
        <is>
          <t>版本免费+义相逢 + 月卡收益</t>
        </is>
      </c>
      <c r="E936" s="9">
        <f>K935</f>
        <v/>
      </c>
      <c r="F936" s="9" t="n">
        <v>1540</v>
      </c>
      <c r="G936" s="9" t="n">
        <v>4800</v>
      </c>
      <c r="H936" s="9" t="n">
        <v>0</v>
      </c>
      <c r="I936" s="9" t="n">
        <v>0</v>
      </c>
      <c r="J936" s="9" t="n">
        <v>0</v>
      </c>
      <c r="K936" s="9">
        <f>E936+F936+G936+H936+I936-J936</f>
        <v/>
      </c>
      <c r="L936" s="10">
        <f>Q935</f>
        <v/>
      </c>
      <c r="M936" s="10" t="n">
        <v>85</v>
      </c>
      <c r="N936" s="10" t="n">
        <v>6</v>
      </c>
      <c r="O936" s="10">
        <f>J936/160</f>
        <v/>
      </c>
      <c r="P936" s="10" t="n">
        <v>60</v>
      </c>
      <c r="Q936" s="10">
        <f>L936+M936+N936+O936-P936</f>
        <v/>
      </c>
      <c r="R936" s="11">
        <f>T935</f>
        <v/>
      </c>
      <c r="S936" s="11">
        <f>N(V936) + N(X936) + N(Z936)</f>
        <v/>
      </c>
      <c r="T936" s="11">
        <f>R936+P936-S936</f>
        <v/>
      </c>
      <c r="U936" s="11" t="inlineStr">
        <is>
          <t>是</t>
        </is>
      </c>
      <c r="V936" s="11" t="n">
        <v>53</v>
      </c>
      <c r="W936" s="11" t="inlineStr">
        <is>
          <t>否</t>
        </is>
      </c>
      <c r="X936" s="11" t="inlineStr">
        <is>
          <t>-</t>
        </is>
      </c>
      <c r="Y936" s="11" t="inlineStr">
        <is>
          <t>-</t>
        </is>
      </c>
      <c r="Z936" s="11" t="n">
        <v>0</v>
      </c>
      <c r="AA936" s="11" t="inlineStr">
        <is>
          <t>垫到60抽</t>
        </is>
      </c>
      <c r="AB936" s="12">
        <f>AE935</f>
        <v/>
      </c>
      <c r="AC936" s="12" t="n">
        <v>4</v>
      </c>
      <c r="AD936" s="12" t="n">
        <v>0</v>
      </c>
      <c r="AE936" s="12">
        <f>AB936+AC936+AD936</f>
        <v/>
      </c>
      <c r="AF936" s="13">
        <f>AI935</f>
        <v/>
      </c>
      <c r="AG936" s="13" t="n">
        <v>0</v>
      </c>
      <c r="AH936" s="13" t="n">
        <v>0</v>
      </c>
      <c r="AI936" s="13">
        <f>AF936+AG936+AH936</f>
        <v/>
      </c>
      <c r="AJ936" s="14" t="n">
        <v>0</v>
      </c>
      <c r="AK936" s="14" t="n">
        <v>50</v>
      </c>
      <c r="AL936" s="14" t="n">
        <v>0</v>
      </c>
      <c r="AM936" s="14">
        <f>AJ936+AK936+AL936</f>
        <v/>
      </c>
      <c r="AN936" s="14">
        <f>AN935+AM936</f>
        <v/>
      </c>
    </row>
    <row r="937">
      <c r="A937" s="8" t="n">
        <v>36</v>
      </c>
      <c r="B937" s="8" t="n">
        <v>13</v>
      </c>
      <c r="C937" s="8" t="n">
        <v>2</v>
      </c>
      <c r="D937" s="8" t="inlineStr">
        <is>
          <t>月卡收益 [月卡续费-30元]</t>
        </is>
      </c>
      <c r="E937" s="9">
        <f>K936</f>
        <v/>
      </c>
      <c r="F937" s="9" t="n">
        <v>1540</v>
      </c>
      <c r="G937" s="9" t="n">
        <v>0</v>
      </c>
      <c r="H937" s="9" t="n">
        <v>0</v>
      </c>
      <c r="I937" s="9" t="n">
        <v>0</v>
      </c>
      <c r="J937" s="9" t="n">
        <v>160</v>
      </c>
      <c r="K937" s="9">
        <f>E937+F937+G937+H937+I937-J937</f>
        <v/>
      </c>
      <c r="L937" s="10">
        <f>Q936</f>
        <v/>
      </c>
      <c r="M937" s="10" t="n">
        <v>0</v>
      </c>
      <c r="N937" s="10" t="n">
        <v>3</v>
      </c>
      <c r="O937" s="10">
        <f>J937/160</f>
        <v/>
      </c>
      <c r="P937" s="10" t="n">
        <v>40</v>
      </c>
      <c r="Q937" s="10">
        <f>L937+M937+N937+O937-P937</f>
        <v/>
      </c>
      <c r="R937" s="11">
        <f>T936</f>
        <v/>
      </c>
      <c r="S937" s="11">
        <f>N(V937) + N(X937) + N(Z937)</f>
        <v/>
      </c>
      <c r="T937" s="11">
        <f>R937+P937-S937</f>
        <v/>
      </c>
      <c r="U937" s="11" t="inlineStr">
        <is>
          <t>是</t>
        </is>
      </c>
      <c r="V937" s="11" t="n">
        <v>51</v>
      </c>
      <c r="W937" s="11" t="inlineStr">
        <is>
          <t>否</t>
        </is>
      </c>
      <c r="X937" s="11" t="inlineStr">
        <is>
          <t>-</t>
        </is>
      </c>
      <c r="Y937" s="11" t="inlineStr">
        <is>
          <t>-</t>
        </is>
      </c>
      <c r="Z937" s="11" t="n">
        <v>0</v>
      </c>
      <c r="AA937" s="11" t="inlineStr">
        <is>
          <t>无</t>
        </is>
      </c>
      <c r="AB937" s="12">
        <f>AE936</f>
        <v/>
      </c>
      <c r="AC937" s="12" t="n">
        <v>0</v>
      </c>
      <c r="AD937" s="12" t="n">
        <v>0</v>
      </c>
      <c r="AE937" s="12">
        <f>AB937+AC937+AD937</f>
        <v/>
      </c>
      <c r="AF937" s="13">
        <f>AI936</f>
        <v/>
      </c>
      <c r="AG937" s="13" t="n">
        <v>0</v>
      </c>
      <c r="AH937" s="13" t="n">
        <v>0</v>
      </c>
      <c r="AI937" s="13">
        <f>AF937+AG937+AH937</f>
        <v/>
      </c>
      <c r="AJ937" s="14" t="n">
        <v>30</v>
      </c>
      <c r="AK937" s="14" t="n">
        <v>0</v>
      </c>
      <c r="AL937" s="14" t="n">
        <v>0</v>
      </c>
      <c r="AM937" s="14">
        <f>AJ937+AK937+AL937</f>
        <v/>
      </c>
      <c r="AN937" s="14">
        <f>AN936+AM937</f>
        <v/>
      </c>
    </row>
    <row r="938">
      <c r="A938" s="8" t="n">
        <v>37</v>
      </c>
      <c r="B938" s="8" t="n">
        <v>1</v>
      </c>
      <c r="C938" s="8" t="n">
        <v>1</v>
      </c>
      <c r="D938" s="8" t="inlineStr">
        <is>
          <t>版本免费+义相逢 + 月卡收益</t>
        </is>
      </c>
      <c r="E938" s="9" t="n">
        <v>42240</v>
      </c>
      <c r="F938" s="9" t="n">
        <v>1540</v>
      </c>
      <c r="G938" s="9" t="n">
        <v>4800</v>
      </c>
      <c r="H938" s="9" t="n">
        <v>0</v>
      </c>
      <c r="I938" s="9" t="n">
        <v>0</v>
      </c>
      <c r="J938" s="9" t="n">
        <v>0</v>
      </c>
      <c r="K938" s="9">
        <f>E938+F938+G938+H938+I938-J938</f>
        <v/>
      </c>
      <c r="L938" s="10" t="n">
        <v>0</v>
      </c>
      <c r="M938" s="10" t="n">
        <v>85</v>
      </c>
      <c r="N938" s="10" t="n">
        <v>6</v>
      </c>
      <c r="O938" s="10">
        <f>J938/160</f>
        <v/>
      </c>
      <c r="P938" s="10" t="n">
        <v>60</v>
      </c>
      <c r="Q938" s="10">
        <f>L938+M938+N938+O938-P938</f>
        <v/>
      </c>
      <c r="R938" s="11" t="n">
        <v>1</v>
      </c>
      <c r="S938" s="11">
        <f>N(V938) + N(X938) + N(Z938)</f>
        <v/>
      </c>
      <c r="T938" s="11">
        <f>R938+P938-S938</f>
        <v/>
      </c>
      <c r="U938" s="11" t="inlineStr">
        <is>
          <t>是</t>
        </is>
      </c>
      <c r="V938" s="11" t="n">
        <v>47</v>
      </c>
      <c r="W938" s="11" t="inlineStr">
        <is>
          <t>否</t>
        </is>
      </c>
      <c r="X938" s="11" t="inlineStr">
        <is>
          <t>-</t>
        </is>
      </c>
      <c r="Y938" s="11" t="inlineStr">
        <is>
          <t>-</t>
        </is>
      </c>
      <c r="Z938" s="11" t="n">
        <v>0</v>
      </c>
      <c r="AA938" s="11" t="inlineStr">
        <is>
          <t>垫到60抽</t>
        </is>
      </c>
      <c r="AB938" s="12" t="n">
        <v>1929</v>
      </c>
      <c r="AC938" s="12" t="n">
        <v>4</v>
      </c>
      <c r="AD938" s="12" t="n">
        <v>0</v>
      </c>
      <c r="AE938" s="12">
        <f>AB938+AC938+AD938</f>
        <v/>
      </c>
      <c r="AF938" s="13" t="n">
        <v>285000</v>
      </c>
      <c r="AG938" s="13" t="n">
        <v>0</v>
      </c>
      <c r="AH938" s="13" t="n">
        <v>0</v>
      </c>
      <c r="AI938" s="13">
        <f>AF938+AG938+AH938</f>
        <v/>
      </c>
      <c r="AJ938" s="14" t="n">
        <v>0</v>
      </c>
      <c r="AK938" s="14" t="n">
        <v>50</v>
      </c>
      <c r="AL938" s="14" t="n">
        <v>0</v>
      </c>
      <c r="AM938" s="14">
        <f>AJ938+AK938+AL938</f>
        <v/>
      </c>
      <c r="AN938" s="14">
        <f>AM938</f>
        <v/>
      </c>
    </row>
    <row r="939">
      <c r="A939" s="8" t="n">
        <v>37</v>
      </c>
      <c r="B939" s="8" t="n">
        <v>1</v>
      </c>
      <c r="C939" s="8" t="n">
        <v>2</v>
      </c>
      <c r="D939" s="8" t="inlineStr">
        <is>
          <t>月卡收益 [月卡续费-30元]</t>
        </is>
      </c>
      <c r="E939" s="9">
        <f>K938</f>
        <v/>
      </c>
      <c r="F939" s="9" t="n">
        <v>1540</v>
      </c>
      <c r="G939" s="9" t="n">
        <v>0</v>
      </c>
      <c r="H939" s="9" t="n">
        <v>0</v>
      </c>
      <c r="I939" s="9" t="n">
        <v>0</v>
      </c>
      <c r="J939" s="9" t="n">
        <v>960</v>
      </c>
      <c r="K939" s="9">
        <f>E939+F939+G939+H939+I939-J939</f>
        <v/>
      </c>
      <c r="L939" s="10">
        <f>Q938</f>
        <v/>
      </c>
      <c r="M939" s="10" t="n">
        <v>0</v>
      </c>
      <c r="N939" s="10" t="n">
        <v>3</v>
      </c>
      <c r="O939" s="10">
        <f>J939/160</f>
        <v/>
      </c>
      <c r="P939" s="10" t="n">
        <v>40</v>
      </c>
      <c r="Q939" s="10">
        <f>L939+M939+N939+O939-P939</f>
        <v/>
      </c>
      <c r="R939" s="11">
        <f>T938</f>
        <v/>
      </c>
      <c r="S939" s="11">
        <f>N(V939) + N(X939) + N(Z939)</f>
        <v/>
      </c>
      <c r="T939" s="11">
        <f>R939+P939-S939</f>
        <v/>
      </c>
      <c r="U939" s="11" t="inlineStr">
        <is>
          <t>是</t>
        </is>
      </c>
      <c r="V939" s="11" t="n">
        <v>49</v>
      </c>
      <c r="W939" s="11" t="inlineStr">
        <is>
          <t>否</t>
        </is>
      </c>
      <c r="X939" s="11" t="inlineStr">
        <is>
          <t>-</t>
        </is>
      </c>
      <c r="Y939" s="11" t="inlineStr">
        <is>
          <t>-</t>
        </is>
      </c>
      <c r="Z939" s="11" t="n">
        <v>0</v>
      </c>
      <c r="AA939" s="11" t="inlineStr">
        <is>
          <t>无</t>
        </is>
      </c>
      <c r="AB939" s="12">
        <f>AE938</f>
        <v/>
      </c>
      <c r="AC939" s="12" t="n">
        <v>0</v>
      </c>
      <c r="AD939" s="12" t="n">
        <v>0</v>
      </c>
      <c r="AE939" s="12">
        <f>AB939+AC939+AD939</f>
        <v/>
      </c>
      <c r="AF939" s="13">
        <f>AI938</f>
        <v/>
      </c>
      <c r="AG939" s="13" t="n">
        <v>0</v>
      </c>
      <c r="AH939" s="13" t="n">
        <v>0</v>
      </c>
      <c r="AI939" s="13">
        <f>AF939+AG939+AH939</f>
        <v/>
      </c>
      <c r="AJ939" s="14" t="n">
        <v>30</v>
      </c>
      <c r="AK939" s="14" t="n">
        <v>0</v>
      </c>
      <c r="AL939" s="14" t="n">
        <v>0</v>
      </c>
      <c r="AM939" s="14">
        <f>AJ939+AK939+AL939</f>
        <v/>
      </c>
      <c r="AN939" s="14">
        <f>AN938+AM939</f>
        <v/>
      </c>
    </row>
    <row r="940">
      <c r="A940" s="8" t="n">
        <v>37</v>
      </c>
      <c r="B940" s="8" t="n">
        <v>2</v>
      </c>
      <c r="C940" s="8" t="n">
        <v>1</v>
      </c>
      <c r="D940" s="8" t="inlineStr">
        <is>
          <t>版本免费+义相逢 + 月卡收益</t>
        </is>
      </c>
      <c r="E940" s="9">
        <f>K939</f>
        <v/>
      </c>
      <c r="F940" s="9" t="n">
        <v>1540</v>
      </c>
      <c r="G940" s="9" t="n">
        <v>4800</v>
      </c>
      <c r="H940" s="9" t="n">
        <v>0</v>
      </c>
      <c r="I940" s="9" t="n">
        <v>0</v>
      </c>
      <c r="J940" s="9" t="n">
        <v>15040</v>
      </c>
      <c r="K940" s="9">
        <f>E940+F940+G940+H940+I940-J940</f>
        <v/>
      </c>
      <c r="L940" s="10">
        <f>Q939</f>
        <v/>
      </c>
      <c r="M940" s="10" t="n">
        <v>85</v>
      </c>
      <c r="N940" s="10" t="n">
        <v>21</v>
      </c>
      <c r="O940" s="10">
        <f>J940/160</f>
        <v/>
      </c>
      <c r="P940" s="10" t="n">
        <v>200</v>
      </c>
      <c r="Q940" s="10">
        <f>L940+M940+N940+O940-P940</f>
        <v/>
      </c>
      <c r="R940" s="11">
        <f>T939</f>
        <v/>
      </c>
      <c r="S940" s="11">
        <f>N(V940) + N(X940) + N(Z940)</f>
        <v/>
      </c>
      <c r="T940" s="11">
        <f>R940+P940-S940</f>
        <v/>
      </c>
      <c r="U940" s="11" t="inlineStr">
        <is>
          <t>是</t>
        </is>
      </c>
      <c r="V940" s="11" t="n">
        <v>53</v>
      </c>
      <c r="W940" s="11" t="inlineStr">
        <is>
          <t>是</t>
        </is>
      </c>
      <c r="X940" s="11" t="n">
        <v>48</v>
      </c>
      <c r="Y940" s="11" t="inlineStr">
        <is>
          <t>歪(50), UP(49)</t>
        </is>
      </c>
      <c r="Z940" s="11" t="n">
        <v>99</v>
      </c>
      <c r="AA940" s="11" t="inlineStr">
        <is>
          <t>冲刺200(动态80)</t>
        </is>
      </c>
      <c r="AB940" s="12">
        <f>AE939</f>
        <v/>
      </c>
      <c r="AC940" s="12" t="n">
        <v>4</v>
      </c>
      <c r="AD940" s="12" t="n">
        <v>1</v>
      </c>
      <c r="AE940" s="12">
        <f>AB940+AC940+AD940</f>
        <v/>
      </c>
      <c r="AF940" s="13">
        <f>AI939</f>
        <v/>
      </c>
      <c r="AG940" s="13" t="n">
        <v>0</v>
      </c>
      <c r="AH940" s="13" t="n">
        <v>5000</v>
      </c>
      <c r="AI940" s="13">
        <f>AF940+AG940+AH940</f>
        <v/>
      </c>
      <c r="AJ940" s="14" t="n">
        <v>0</v>
      </c>
      <c r="AK940" s="14" t="n">
        <v>50</v>
      </c>
      <c r="AL940" s="14" t="n">
        <v>0</v>
      </c>
      <c r="AM940" s="14">
        <f>AJ940+AK940+AL940</f>
        <v/>
      </c>
      <c r="AN940" s="14">
        <f>AN939+AM940</f>
        <v/>
      </c>
    </row>
    <row r="941">
      <c r="A941" s="8" t="n">
        <v>37</v>
      </c>
      <c r="B941" s="8" t="n">
        <v>2</v>
      </c>
      <c r="C941" s="8" t="n">
        <v>2</v>
      </c>
      <c r="D941" s="8" t="inlineStr">
        <is>
          <t>月卡收益 [月卡续费-30元]</t>
        </is>
      </c>
      <c r="E941" s="9">
        <f>K940</f>
        <v/>
      </c>
      <c r="F941" s="9" t="n">
        <v>1540</v>
      </c>
      <c r="G941" s="9" t="n">
        <v>0</v>
      </c>
      <c r="H941" s="9" t="n">
        <v>0</v>
      </c>
      <c r="I941" s="9" t="n">
        <v>0</v>
      </c>
      <c r="J941" s="9" t="n">
        <v>14240</v>
      </c>
      <c r="K941" s="9">
        <f>E941+F941+G941+H941+I941-J941</f>
        <v/>
      </c>
      <c r="L941" s="10">
        <f>Q940</f>
        <v/>
      </c>
      <c r="M941" s="10" t="n">
        <v>0</v>
      </c>
      <c r="N941" s="10" t="n">
        <v>11</v>
      </c>
      <c r="O941" s="10">
        <f>J941/160</f>
        <v/>
      </c>
      <c r="P941" s="10" t="n">
        <v>100</v>
      </c>
      <c r="Q941" s="10">
        <f>L941+M941+N941+O941-P941</f>
        <v/>
      </c>
      <c r="R941" s="11">
        <f>T940</f>
        <v/>
      </c>
      <c r="S941" s="11">
        <f>N(V941) + N(X941) + N(Z941)</f>
        <v/>
      </c>
      <c r="T941" s="11">
        <f>R941+P941-S941</f>
        <v/>
      </c>
      <c r="U941" s="11" t="inlineStr">
        <is>
          <t>是</t>
        </is>
      </c>
      <c r="V941" s="11" t="n">
        <v>51</v>
      </c>
      <c r="W941" s="11" t="inlineStr">
        <is>
          <t>是</t>
        </is>
      </c>
      <c r="X941" s="11" t="n">
        <v>49</v>
      </c>
      <c r="Y941" s="11" t="inlineStr">
        <is>
          <t>-</t>
        </is>
      </c>
      <c r="Z941" s="11" t="n">
        <v>0</v>
      </c>
      <c r="AA941" s="11" t="inlineStr">
        <is>
          <t>无</t>
        </is>
      </c>
      <c r="AB941" s="12">
        <f>AE940</f>
        <v/>
      </c>
      <c r="AC941" s="12" t="n">
        <v>0</v>
      </c>
      <c r="AD941" s="12" t="n">
        <v>0</v>
      </c>
      <c r="AE941" s="12">
        <f>AB941+AC941+AD941</f>
        <v/>
      </c>
      <c r="AF941" s="13">
        <f>AI940</f>
        <v/>
      </c>
      <c r="AG941" s="13" t="n">
        <v>0</v>
      </c>
      <c r="AH941" s="13" t="n">
        <v>0</v>
      </c>
      <c r="AI941" s="13">
        <f>AF941+AG941+AH941</f>
        <v/>
      </c>
      <c r="AJ941" s="14" t="n">
        <v>30</v>
      </c>
      <c r="AK941" s="14" t="n">
        <v>0</v>
      </c>
      <c r="AL941" s="14" t="n">
        <v>0</v>
      </c>
      <c r="AM941" s="14">
        <f>AJ941+AK941+AL941</f>
        <v/>
      </c>
      <c r="AN941" s="14">
        <f>AN940+AM941</f>
        <v/>
      </c>
    </row>
    <row r="942">
      <c r="A942" s="8" t="n">
        <v>37</v>
      </c>
      <c r="B942" s="8" t="n">
        <v>3</v>
      </c>
      <c r="C942" s="8" t="n">
        <v>1</v>
      </c>
      <c r="D942" s="8" t="inlineStr">
        <is>
          <t>版本免费+义相逢 + 月卡收益</t>
        </is>
      </c>
      <c r="E942" s="9">
        <f>K941</f>
        <v/>
      </c>
      <c r="F942" s="9" t="n">
        <v>1540</v>
      </c>
      <c r="G942" s="9" t="n">
        <v>4800</v>
      </c>
      <c r="H942" s="9" t="n">
        <v>0</v>
      </c>
      <c r="I942" s="9" t="n">
        <v>0</v>
      </c>
      <c r="J942" s="9" t="n">
        <v>0</v>
      </c>
      <c r="K942" s="9">
        <f>E942+F942+G942+H942+I942-J942</f>
        <v/>
      </c>
      <c r="L942" s="10">
        <f>Q941</f>
        <v/>
      </c>
      <c r="M942" s="10" t="n">
        <v>85</v>
      </c>
      <c r="N942" s="10" t="n">
        <v>11</v>
      </c>
      <c r="O942" s="10">
        <f>J942/160</f>
        <v/>
      </c>
      <c r="P942" s="10" t="n">
        <v>90</v>
      </c>
      <c r="Q942" s="10">
        <f>L942+M942+N942+O942-P942</f>
        <v/>
      </c>
      <c r="R942" s="11">
        <f>T941</f>
        <v/>
      </c>
      <c r="S942" s="11">
        <f>N(V942) + N(X942) + N(Z942)</f>
        <v/>
      </c>
      <c r="T942" s="11">
        <f>R942+P942-S942</f>
        <v/>
      </c>
      <c r="U942" s="11" t="inlineStr">
        <is>
          <t>是</t>
        </is>
      </c>
      <c r="V942" s="11" t="n">
        <v>27</v>
      </c>
      <c r="W942" s="11" t="inlineStr">
        <is>
          <t>是</t>
        </is>
      </c>
      <c r="X942" s="11" t="n">
        <v>53</v>
      </c>
      <c r="Y942" s="11" t="inlineStr">
        <is>
          <t>-</t>
        </is>
      </c>
      <c r="Z942" s="11" t="n">
        <v>0</v>
      </c>
      <c r="AA942" s="11" t="inlineStr">
        <is>
          <t>垫到90抽</t>
        </is>
      </c>
      <c r="AB942" s="12">
        <f>AE941</f>
        <v/>
      </c>
      <c r="AC942" s="12" t="n">
        <v>4</v>
      </c>
      <c r="AD942" s="12" t="n">
        <v>0</v>
      </c>
      <c r="AE942" s="12">
        <f>AB942+AC942+AD942</f>
        <v/>
      </c>
      <c r="AF942" s="13">
        <f>AI941</f>
        <v/>
      </c>
      <c r="AG942" s="13" t="n">
        <v>0</v>
      </c>
      <c r="AH942" s="13" t="n">
        <v>0</v>
      </c>
      <c r="AI942" s="13">
        <f>AF942+AG942+AH942</f>
        <v/>
      </c>
      <c r="AJ942" s="14" t="n">
        <v>0</v>
      </c>
      <c r="AK942" s="14" t="n">
        <v>50</v>
      </c>
      <c r="AL942" s="14" t="n">
        <v>0</v>
      </c>
      <c r="AM942" s="14">
        <f>AJ942+AK942+AL942</f>
        <v/>
      </c>
      <c r="AN942" s="14">
        <f>AN941+AM942</f>
        <v/>
      </c>
    </row>
    <row r="943">
      <c r="A943" s="8" t="n">
        <v>37</v>
      </c>
      <c r="B943" s="8" t="n">
        <v>3</v>
      </c>
      <c r="C943" s="8" t="n">
        <v>2</v>
      </c>
      <c r="D943" s="8" t="inlineStr">
        <is>
          <t>月卡收益 [月卡续费-30元]</t>
        </is>
      </c>
      <c r="E943" s="9">
        <f>K942</f>
        <v/>
      </c>
      <c r="F943" s="9" t="n">
        <v>1540</v>
      </c>
      <c r="G943" s="9" t="n">
        <v>0</v>
      </c>
      <c r="H943" s="9" t="n">
        <v>0</v>
      </c>
      <c r="I943" s="9" t="n">
        <v>0</v>
      </c>
      <c r="J943" s="9" t="n">
        <v>12480</v>
      </c>
      <c r="K943" s="9">
        <f>E943+F943+G943+H943+I943-J943</f>
        <v/>
      </c>
      <c r="L943" s="10">
        <f>Q942</f>
        <v/>
      </c>
      <c r="M943" s="10" t="n">
        <v>0</v>
      </c>
      <c r="N943" s="10" t="n">
        <v>11</v>
      </c>
      <c r="O943" s="10">
        <f>J943/160</f>
        <v/>
      </c>
      <c r="P943" s="10" t="n">
        <v>90</v>
      </c>
      <c r="Q943" s="10">
        <f>L943+M943+N943+O943-P943</f>
        <v/>
      </c>
      <c r="R943" s="11">
        <f>T942</f>
        <v/>
      </c>
      <c r="S943" s="11">
        <f>N(V943) + N(X943) + N(Z943)</f>
        <v/>
      </c>
      <c r="T943" s="11">
        <f>R943+P943-S943</f>
        <v/>
      </c>
      <c r="U943" s="11" t="inlineStr">
        <is>
          <t>是</t>
        </is>
      </c>
      <c r="V943" s="11" t="n">
        <v>50</v>
      </c>
      <c r="W943" s="11" t="inlineStr">
        <is>
          <t>是</t>
        </is>
      </c>
      <c r="X943" s="11" t="n">
        <v>49</v>
      </c>
      <c r="Y943" s="11" t="inlineStr">
        <is>
          <t>-</t>
        </is>
      </c>
      <c r="Z943" s="11" t="n">
        <v>0</v>
      </c>
      <c r="AA943" s="11" t="inlineStr">
        <is>
          <t>无</t>
        </is>
      </c>
      <c r="AB943" s="12">
        <f>AE942</f>
        <v/>
      </c>
      <c r="AC943" s="12" t="n">
        <v>0</v>
      </c>
      <c r="AD943" s="12" t="n">
        <v>0</v>
      </c>
      <c r="AE943" s="12">
        <f>AB943+AC943+AD943</f>
        <v/>
      </c>
      <c r="AF943" s="13">
        <f>AI942</f>
        <v/>
      </c>
      <c r="AG943" s="13" t="n">
        <v>0</v>
      </c>
      <c r="AH943" s="13" t="n">
        <v>0</v>
      </c>
      <c r="AI943" s="13">
        <f>AF943+AG943+AH943</f>
        <v/>
      </c>
      <c r="AJ943" s="14" t="n">
        <v>30</v>
      </c>
      <c r="AK943" s="14" t="n">
        <v>0</v>
      </c>
      <c r="AL943" s="14" t="n">
        <v>0</v>
      </c>
      <c r="AM943" s="14">
        <f>AJ943+AK943+AL943</f>
        <v/>
      </c>
      <c r="AN943" s="14">
        <f>AN942+AM943</f>
        <v/>
      </c>
    </row>
    <row r="944">
      <c r="A944" s="8" t="n">
        <v>37</v>
      </c>
      <c r="B944" s="8" t="n">
        <v>4</v>
      </c>
      <c r="C944" s="8" t="n">
        <v>1</v>
      </c>
      <c r="D944" s="8" t="inlineStr">
        <is>
          <t>版本免费+义相逢 + 月卡收益</t>
        </is>
      </c>
      <c r="E944" s="9">
        <f>K943</f>
        <v/>
      </c>
      <c r="F944" s="9" t="n">
        <v>1540</v>
      </c>
      <c r="G944" s="9" t="n">
        <v>4800</v>
      </c>
      <c r="H944" s="9" t="n">
        <v>0</v>
      </c>
      <c r="I944" s="9" t="n">
        <v>0</v>
      </c>
      <c r="J944" s="9" t="n">
        <v>0</v>
      </c>
      <c r="K944" s="9">
        <f>E944+F944+G944+H944+I944-J944</f>
        <v/>
      </c>
      <c r="L944" s="10">
        <f>Q943</f>
        <v/>
      </c>
      <c r="M944" s="10" t="n">
        <v>85</v>
      </c>
      <c r="N944" s="10" t="n">
        <v>11</v>
      </c>
      <c r="O944" s="10">
        <f>J944/160</f>
        <v/>
      </c>
      <c r="P944" s="10" t="n">
        <v>100</v>
      </c>
      <c r="Q944" s="10">
        <f>L944+M944+N944+O944-P944</f>
        <v/>
      </c>
      <c r="R944" s="11">
        <f>T943</f>
        <v/>
      </c>
      <c r="S944" s="11">
        <f>N(V944) + N(X944) + N(Z944)</f>
        <v/>
      </c>
      <c r="T944" s="11">
        <f>R944+P944-S944</f>
        <v/>
      </c>
      <c r="U944" s="11" t="inlineStr">
        <is>
          <t>是</t>
        </is>
      </c>
      <c r="V944" s="11" t="n">
        <v>49</v>
      </c>
      <c r="W944" s="11" t="inlineStr">
        <is>
          <t>是</t>
        </is>
      </c>
      <c r="X944" s="11" t="n">
        <v>52</v>
      </c>
      <c r="Y944" s="11" t="inlineStr">
        <is>
          <t>-</t>
        </is>
      </c>
      <c r="Z944" s="11" t="n">
        <v>0</v>
      </c>
      <c r="AA944" s="11" t="inlineStr">
        <is>
          <t>无</t>
        </is>
      </c>
      <c r="AB944" s="12">
        <f>AE943</f>
        <v/>
      </c>
      <c r="AC944" s="12" t="n">
        <v>4</v>
      </c>
      <c r="AD944" s="12" t="n">
        <v>0</v>
      </c>
      <c r="AE944" s="12">
        <f>AB944+AC944+AD944</f>
        <v/>
      </c>
      <c r="AF944" s="13">
        <f>AI943</f>
        <v/>
      </c>
      <c r="AG944" s="13" t="n">
        <v>0</v>
      </c>
      <c r="AH944" s="13" t="n">
        <v>0</v>
      </c>
      <c r="AI944" s="13">
        <f>AF944+AG944+AH944</f>
        <v/>
      </c>
      <c r="AJ944" s="14" t="n">
        <v>0</v>
      </c>
      <c r="AK944" s="14" t="n">
        <v>50</v>
      </c>
      <c r="AL944" s="14" t="n">
        <v>0</v>
      </c>
      <c r="AM944" s="14">
        <f>AJ944+AK944+AL944</f>
        <v/>
      </c>
      <c r="AN944" s="14">
        <f>AN943+AM944</f>
        <v/>
      </c>
    </row>
    <row r="945">
      <c r="A945" s="8" t="n">
        <v>37</v>
      </c>
      <c r="B945" s="8" t="n">
        <v>4</v>
      </c>
      <c r="C945" s="8" t="n">
        <v>2</v>
      </c>
      <c r="D945" s="8" t="inlineStr">
        <is>
          <t>月卡收益 [月卡续费-30元]</t>
        </is>
      </c>
      <c r="E945" s="9">
        <f>K944</f>
        <v/>
      </c>
      <c r="F945" s="9" t="n">
        <v>1540</v>
      </c>
      <c r="G945" s="9" t="n">
        <v>0</v>
      </c>
      <c r="H945" s="9" t="n">
        <v>0</v>
      </c>
      <c r="I945" s="9" t="n">
        <v>0</v>
      </c>
      <c r="J945" s="9" t="n">
        <v>8960</v>
      </c>
      <c r="K945" s="9">
        <f>E945+F945+G945+H945+I945-J945</f>
        <v/>
      </c>
      <c r="L945" s="10">
        <f>Q944</f>
        <v/>
      </c>
      <c r="M945" s="10" t="n">
        <v>0</v>
      </c>
      <c r="N945" s="10" t="n">
        <v>6</v>
      </c>
      <c r="O945" s="10">
        <f>J945/160</f>
        <v/>
      </c>
      <c r="P945" s="10" t="n">
        <v>60</v>
      </c>
      <c r="Q945" s="10">
        <f>L945+M945+N945+O945-P945</f>
        <v/>
      </c>
      <c r="R945" s="11">
        <f>T944</f>
        <v/>
      </c>
      <c r="S945" s="11">
        <f>N(V945) + N(X945) + N(Z945)</f>
        <v/>
      </c>
      <c r="T945" s="11">
        <f>R945+P945-S945</f>
        <v/>
      </c>
      <c r="U945" s="11" t="inlineStr">
        <is>
          <t>是</t>
        </is>
      </c>
      <c r="V945" s="11" t="n">
        <v>1</v>
      </c>
      <c r="W945" s="11" t="inlineStr">
        <is>
          <t>是</t>
        </is>
      </c>
      <c r="X945" s="11" t="n">
        <v>51</v>
      </c>
      <c r="Y945" s="11" t="inlineStr">
        <is>
          <t>-</t>
        </is>
      </c>
      <c r="Z945" s="11" t="n">
        <v>0</v>
      </c>
      <c r="AA945" s="11" t="inlineStr">
        <is>
          <t>垫到60抽</t>
        </is>
      </c>
      <c r="AB945" s="12">
        <f>AE944</f>
        <v/>
      </c>
      <c r="AC945" s="12" t="n">
        <v>0</v>
      </c>
      <c r="AD945" s="12" t="n">
        <v>0</v>
      </c>
      <c r="AE945" s="12">
        <f>AB945+AC945+AD945</f>
        <v/>
      </c>
      <c r="AF945" s="13">
        <f>AI944</f>
        <v/>
      </c>
      <c r="AG945" s="13" t="n">
        <v>0</v>
      </c>
      <c r="AH945" s="13" t="n">
        <v>0</v>
      </c>
      <c r="AI945" s="13">
        <f>AF945+AG945+AH945</f>
        <v/>
      </c>
      <c r="AJ945" s="14" t="n">
        <v>30</v>
      </c>
      <c r="AK945" s="14" t="n">
        <v>0</v>
      </c>
      <c r="AL945" s="14" t="n">
        <v>0</v>
      </c>
      <c r="AM945" s="14">
        <f>AJ945+AK945+AL945</f>
        <v/>
      </c>
      <c r="AN945" s="14">
        <f>AN944+AM945</f>
        <v/>
      </c>
    </row>
    <row r="946">
      <c r="A946" s="8" t="n">
        <v>37</v>
      </c>
      <c r="B946" s="8" t="n">
        <v>5</v>
      </c>
      <c r="C946" s="8" t="n">
        <v>1</v>
      </c>
      <c r="D946" s="8" t="inlineStr">
        <is>
          <t>版本免费+义相逢 + 月卡收益</t>
        </is>
      </c>
      <c r="E946" s="9">
        <f>K945</f>
        <v/>
      </c>
      <c r="F946" s="9" t="n">
        <v>1540</v>
      </c>
      <c r="G946" s="9" t="n">
        <v>4800</v>
      </c>
      <c r="H946" s="9" t="n">
        <v>0</v>
      </c>
      <c r="I946" s="9" t="n">
        <v>0</v>
      </c>
      <c r="J946" s="9" t="n">
        <v>0</v>
      </c>
      <c r="K946" s="9">
        <f>E946+F946+G946+H946+I946-J946</f>
        <v/>
      </c>
      <c r="L946" s="10">
        <f>Q945</f>
        <v/>
      </c>
      <c r="M946" s="10" t="n">
        <v>85</v>
      </c>
      <c r="N946" s="10" t="n">
        <v>3</v>
      </c>
      <c r="O946" s="10">
        <f>J946/160</f>
        <v/>
      </c>
      <c r="P946" s="10" t="n">
        <v>40</v>
      </c>
      <c r="Q946" s="10">
        <f>L946+M946+N946+O946-P946</f>
        <v/>
      </c>
      <c r="R946" s="11">
        <f>T945</f>
        <v/>
      </c>
      <c r="S946" s="11">
        <f>N(V946) + N(X946) + N(Z946)</f>
        <v/>
      </c>
      <c r="T946" s="11">
        <f>R946+P946-S946</f>
        <v/>
      </c>
      <c r="U946" s="11" t="inlineStr">
        <is>
          <t>是</t>
        </is>
      </c>
      <c r="V946" s="11" t="n">
        <v>46</v>
      </c>
      <c r="W946" s="11" t="inlineStr">
        <is>
          <t>否</t>
        </is>
      </c>
      <c r="X946" s="11" t="inlineStr">
        <is>
          <t>-</t>
        </is>
      </c>
      <c r="Y946" s="11" t="inlineStr">
        <is>
          <t>-</t>
        </is>
      </c>
      <c r="Z946" s="11" t="n">
        <v>0</v>
      </c>
      <c r="AA946" s="11" t="inlineStr">
        <is>
          <t>无</t>
        </is>
      </c>
      <c r="AB946" s="12">
        <f>AE945</f>
        <v/>
      </c>
      <c r="AC946" s="12" t="n">
        <v>4</v>
      </c>
      <c r="AD946" s="12" t="n">
        <v>0</v>
      </c>
      <c r="AE946" s="12">
        <f>AB946+AC946+AD946</f>
        <v/>
      </c>
      <c r="AF946" s="13">
        <f>AI945</f>
        <v/>
      </c>
      <c r="AG946" s="13" t="n">
        <v>0</v>
      </c>
      <c r="AH946" s="13" t="n">
        <v>0</v>
      </c>
      <c r="AI946" s="13">
        <f>AF946+AG946+AH946</f>
        <v/>
      </c>
      <c r="AJ946" s="14" t="n">
        <v>0</v>
      </c>
      <c r="AK946" s="14" t="n">
        <v>50</v>
      </c>
      <c r="AL946" s="14" t="n">
        <v>0</v>
      </c>
      <c r="AM946" s="14">
        <f>AJ946+AK946+AL946</f>
        <v/>
      </c>
      <c r="AN946" s="14">
        <f>AN945+AM946</f>
        <v/>
      </c>
    </row>
    <row r="947">
      <c r="A947" s="8" t="n">
        <v>37</v>
      </c>
      <c r="B947" s="8" t="n">
        <v>5</v>
      </c>
      <c r="C947" s="8" t="n">
        <v>2</v>
      </c>
      <c r="D947" s="8" t="inlineStr">
        <is>
          <t>月卡收益</t>
        </is>
      </c>
      <c r="E947" s="9">
        <f>K946</f>
        <v/>
      </c>
      <c r="F947" s="9" t="n">
        <v>1540</v>
      </c>
      <c r="G947" s="9" t="n">
        <v>0</v>
      </c>
      <c r="H947" s="9" t="n">
        <v>0</v>
      </c>
      <c r="I947" s="9" t="n">
        <v>0</v>
      </c>
      <c r="J947" s="9" t="n">
        <v>0</v>
      </c>
      <c r="K947" s="9">
        <f>E947+F947+G947+H947+I947-J947</f>
        <v/>
      </c>
      <c r="L947" s="10">
        <f>Q946</f>
        <v/>
      </c>
      <c r="M947" s="10" t="n">
        <v>0</v>
      </c>
      <c r="N947" s="10" t="n">
        <v>3</v>
      </c>
      <c r="O947" s="10">
        <f>J947/160</f>
        <v/>
      </c>
      <c r="P947" s="10" t="n">
        <v>40</v>
      </c>
      <c r="Q947" s="10">
        <f>L947+M947+N947+O947-P947</f>
        <v/>
      </c>
      <c r="R947" s="11">
        <f>T946</f>
        <v/>
      </c>
      <c r="S947" s="11">
        <f>N(V947) + N(X947) + N(Z947)</f>
        <v/>
      </c>
      <c r="T947" s="11">
        <f>R947+P947-S947</f>
        <v/>
      </c>
      <c r="U947" s="11" t="inlineStr">
        <is>
          <t>是</t>
        </is>
      </c>
      <c r="V947" s="11" t="n">
        <v>47</v>
      </c>
      <c r="W947" s="11" t="inlineStr">
        <is>
          <t>否</t>
        </is>
      </c>
      <c r="X947" s="11" t="inlineStr">
        <is>
          <t>-</t>
        </is>
      </c>
      <c r="Y947" s="11" t="inlineStr">
        <is>
          <t>-</t>
        </is>
      </c>
      <c r="Z947" s="11" t="n">
        <v>0</v>
      </c>
      <c r="AA947" s="11" t="inlineStr">
        <is>
          <t>无</t>
        </is>
      </c>
      <c r="AB947" s="12">
        <f>AE946</f>
        <v/>
      </c>
      <c r="AC947" s="12" t="n">
        <v>0</v>
      </c>
      <c r="AD947" s="12" t="n">
        <v>0</v>
      </c>
      <c r="AE947" s="12">
        <f>AB947+AC947+AD947</f>
        <v/>
      </c>
      <c r="AF947" s="13">
        <f>AI946</f>
        <v/>
      </c>
      <c r="AG947" s="13" t="n">
        <v>0</v>
      </c>
      <c r="AH947" s="13" t="n">
        <v>0</v>
      </c>
      <c r="AI947" s="13">
        <f>AF947+AG947+AH947</f>
        <v/>
      </c>
      <c r="AJ947" s="14" t="n">
        <v>0</v>
      </c>
      <c r="AK947" s="14" t="n">
        <v>0</v>
      </c>
      <c r="AL947" s="14" t="n">
        <v>0</v>
      </c>
      <c r="AM947" s="14">
        <f>AJ947+AK947+AL947</f>
        <v/>
      </c>
      <c r="AN947" s="14">
        <f>AN946+AM947</f>
        <v/>
      </c>
    </row>
    <row r="948">
      <c r="A948" s="8" t="n">
        <v>37</v>
      </c>
      <c r="B948" s="8" t="n">
        <v>6</v>
      </c>
      <c r="C948" s="8" t="n">
        <v>1</v>
      </c>
      <c r="D948" s="8" t="inlineStr">
        <is>
          <t>版本免费+义相逢 + 月卡收益 [月卡续费-30元]</t>
        </is>
      </c>
      <c r="E948" s="9">
        <f>K947</f>
        <v/>
      </c>
      <c r="F948" s="9" t="n">
        <v>1540</v>
      </c>
      <c r="G948" s="9" t="n">
        <v>4800</v>
      </c>
      <c r="H948" s="9" t="n">
        <v>0</v>
      </c>
      <c r="I948" s="9" t="n">
        <v>0</v>
      </c>
      <c r="J948" s="9" t="n">
        <v>12800</v>
      </c>
      <c r="K948" s="9">
        <f>E948+F948+G948+H948+I948-J948</f>
        <v/>
      </c>
      <c r="L948" s="10">
        <f>Q947</f>
        <v/>
      </c>
      <c r="M948" s="10" t="n">
        <v>85</v>
      </c>
      <c r="N948" s="10" t="n">
        <v>21</v>
      </c>
      <c r="O948" s="10">
        <f>J948/160</f>
        <v/>
      </c>
      <c r="P948" s="10" t="n">
        <v>200</v>
      </c>
      <c r="Q948" s="10">
        <f>L948+M948+N948+O948-P948</f>
        <v/>
      </c>
      <c r="R948" s="11">
        <f>T947</f>
        <v/>
      </c>
      <c r="S948" s="11">
        <f>N(V948) + N(X948) + N(Z948)</f>
        <v/>
      </c>
      <c r="T948" s="11">
        <f>R948+P948-S948</f>
        <v/>
      </c>
      <c r="U948" s="11" t="inlineStr">
        <is>
          <t>是</t>
        </is>
      </c>
      <c r="V948" s="11" t="n">
        <v>49</v>
      </c>
      <c r="W948" s="11" t="inlineStr">
        <is>
          <t>是</t>
        </is>
      </c>
      <c r="X948" s="11" t="n">
        <v>48</v>
      </c>
      <c r="Y948" s="11" t="inlineStr">
        <is>
          <t>歪(49), UP(51)</t>
        </is>
      </c>
      <c r="Z948" s="11" t="n">
        <v>100</v>
      </c>
      <c r="AA948" s="11" t="inlineStr">
        <is>
          <t>冲刺200(动态100)</t>
        </is>
      </c>
      <c r="AB948" s="12">
        <f>AE947</f>
        <v/>
      </c>
      <c r="AC948" s="12" t="n">
        <v>4</v>
      </c>
      <c r="AD948" s="12" t="n">
        <v>1</v>
      </c>
      <c r="AE948" s="12">
        <f>AB948+AC948+AD948</f>
        <v/>
      </c>
      <c r="AF948" s="13">
        <f>AI947</f>
        <v/>
      </c>
      <c r="AG948" s="13" t="n">
        <v>0</v>
      </c>
      <c r="AH948" s="13" t="n">
        <v>5000</v>
      </c>
      <c r="AI948" s="13">
        <f>AF948+AG948+AH948</f>
        <v/>
      </c>
      <c r="AJ948" s="14" t="n">
        <v>30</v>
      </c>
      <c r="AK948" s="14" t="n">
        <v>50</v>
      </c>
      <c r="AL948" s="14" t="n">
        <v>0</v>
      </c>
      <c r="AM948" s="14">
        <f>AJ948+AK948+AL948</f>
        <v/>
      </c>
      <c r="AN948" s="14">
        <f>AN947+AM948</f>
        <v/>
      </c>
    </row>
    <row r="949">
      <c r="A949" s="8" t="n">
        <v>37</v>
      </c>
      <c r="B949" s="8" t="n">
        <v>6</v>
      </c>
      <c r="C949" s="8" t="n">
        <v>2</v>
      </c>
      <c r="D949" s="8" t="inlineStr">
        <is>
          <t>月卡收益</t>
        </is>
      </c>
      <c r="E949" s="9">
        <f>K948</f>
        <v/>
      </c>
      <c r="F949" s="9" t="n">
        <v>1540</v>
      </c>
      <c r="G949" s="9" t="n">
        <v>0</v>
      </c>
      <c r="H949" s="9" t="n">
        <v>0</v>
      </c>
      <c r="I949" s="9" t="n">
        <v>0</v>
      </c>
      <c r="J949" s="9" t="n">
        <v>9120</v>
      </c>
      <c r="K949" s="9">
        <f>E949+F949+G949+H949+I949-J949</f>
        <v/>
      </c>
      <c r="L949" s="10">
        <f>Q948</f>
        <v/>
      </c>
      <c r="M949" s="10" t="n">
        <v>0</v>
      </c>
      <c r="N949" s="10" t="n">
        <v>6</v>
      </c>
      <c r="O949" s="10">
        <f>J949/160</f>
        <v/>
      </c>
      <c r="P949" s="10" t="n">
        <v>60</v>
      </c>
      <c r="Q949" s="10">
        <f>L949+M949+N949+O949-P949</f>
        <v/>
      </c>
      <c r="R949" s="11">
        <f>T948</f>
        <v/>
      </c>
      <c r="S949" s="11">
        <f>N(V949) + N(X949) + N(Z949)</f>
        <v/>
      </c>
      <c r="T949" s="11">
        <f>R949+P949-S949</f>
        <v/>
      </c>
      <c r="U949" s="11" t="inlineStr">
        <is>
          <t>是</t>
        </is>
      </c>
      <c r="V949" s="11" t="n">
        <v>49</v>
      </c>
      <c r="W949" s="11" t="inlineStr">
        <is>
          <t>否</t>
        </is>
      </c>
      <c r="X949" s="11" t="inlineStr">
        <is>
          <t>-</t>
        </is>
      </c>
      <c r="Y949" s="11" t="inlineStr">
        <is>
          <t>-</t>
        </is>
      </c>
      <c r="Z949" s="11" t="n">
        <v>0</v>
      </c>
      <c r="AA949" s="11" t="inlineStr">
        <is>
          <t>垫到60抽</t>
        </is>
      </c>
      <c r="AB949" s="12">
        <f>AE948</f>
        <v/>
      </c>
      <c r="AC949" s="12" t="n">
        <v>0</v>
      </c>
      <c r="AD949" s="12" t="n">
        <v>0</v>
      </c>
      <c r="AE949" s="12">
        <f>AB949+AC949+AD949</f>
        <v/>
      </c>
      <c r="AF949" s="13">
        <f>AI948</f>
        <v/>
      </c>
      <c r="AG949" s="13" t="n">
        <v>0</v>
      </c>
      <c r="AH949" s="13" t="n">
        <v>0</v>
      </c>
      <c r="AI949" s="13">
        <f>AF949+AG949+AH949</f>
        <v/>
      </c>
      <c r="AJ949" s="14" t="n">
        <v>0</v>
      </c>
      <c r="AK949" s="14" t="n">
        <v>0</v>
      </c>
      <c r="AL949" s="14" t="n">
        <v>0</v>
      </c>
      <c r="AM949" s="14">
        <f>AJ949+AK949+AL949</f>
        <v/>
      </c>
      <c r="AN949" s="14">
        <f>AN948+AM949</f>
        <v/>
      </c>
    </row>
    <row r="950">
      <c r="A950" s="8" t="n">
        <v>37</v>
      </c>
      <c r="B950" s="8" t="n">
        <v>7</v>
      </c>
      <c r="C950" s="8" t="n">
        <v>1</v>
      </c>
      <c r="D950" s="8" t="inlineStr">
        <is>
          <t>版本免费+义相逢 + 月卡收益 [月卡续费-30元]</t>
        </is>
      </c>
      <c r="E950" s="9">
        <f>K949</f>
        <v/>
      </c>
      <c r="F950" s="9" t="n">
        <v>1540</v>
      </c>
      <c r="G950" s="9" t="n">
        <v>4800</v>
      </c>
      <c r="H950" s="9" t="n">
        <v>0</v>
      </c>
      <c r="I950" s="9" t="n">
        <v>0</v>
      </c>
      <c r="J950" s="9" t="n">
        <v>0</v>
      </c>
      <c r="K950" s="9">
        <f>E950+F950+G950+H950+I950-J950</f>
        <v/>
      </c>
      <c r="L950" s="10">
        <f>Q949</f>
        <v/>
      </c>
      <c r="M950" s="10" t="n">
        <v>85</v>
      </c>
      <c r="N950" s="10" t="n">
        <v>11</v>
      </c>
      <c r="O950" s="10">
        <f>J950/160</f>
        <v/>
      </c>
      <c r="P950" s="10" t="n">
        <v>90</v>
      </c>
      <c r="Q950" s="10">
        <f>L950+M950+N950+O950-P950</f>
        <v/>
      </c>
      <c r="R950" s="11">
        <f>T949</f>
        <v/>
      </c>
      <c r="S950" s="11">
        <f>N(V950) + N(X950) + N(Z950)</f>
        <v/>
      </c>
      <c r="T950" s="11">
        <f>R950+P950-S950</f>
        <v/>
      </c>
      <c r="U950" s="11" t="inlineStr">
        <is>
          <t>是</t>
        </is>
      </c>
      <c r="V950" s="11" t="n">
        <v>50</v>
      </c>
      <c r="W950" s="11" t="inlineStr">
        <is>
          <t>是</t>
        </is>
      </c>
      <c r="X950" s="11" t="n">
        <v>47</v>
      </c>
      <c r="Y950" s="11" t="inlineStr">
        <is>
          <t>-</t>
        </is>
      </c>
      <c r="Z950" s="11" t="n">
        <v>0</v>
      </c>
      <c r="AA950" s="11" t="inlineStr">
        <is>
          <t>无</t>
        </is>
      </c>
      <c r="AB950" s="12">
        <f>AE949</f>
        <v/>
      </c>
      <c r="AC950" s="12" t="n">
        <v>4</v>
      </c>
      <c r="AD950" s="12" t="n">
        <v>0</v>
      </c>
      <c r="AE950" s="12">
        <f>AB950+AC950+AD950</f>
        <v/>
      </c>
      <c r="AF950" s="13">
        <f>AI949</f>
        <v/>
      </c>
      <c r="AG950" s="13" t="n">
        <v>0</v>
      </c>
      <c r="AH950" s="13" t="n">
        <v>0</v>
      </c>
      <c r="AI950" s="13">
        <f>AF950+AG950+AH950</f>
        <v/>
      </c>
      <c r="AJ950" s="14" t="n">
        <v>30</v>
      </c>
      <c r="AK950" s="14" t="n">
        <v>50</v>
      </c>
      <c r="AL950" s="14" t="n">
        <v>0</v>
      </c>
      <c r="AM950" s="14">
        <f>AJ950+AK950+AL950</f>
        <v/>
      </c>
      <c r="AN950" s="14">
        <f>AN949+AM950</f>
        <v/>
      </c>
    </row>
    <row r="951">
      <c r="A951" s="8" t="n">
        <v>37</v>
      </c>
      <c r="B951" s="8" t="n">
        <v>7</v>
      </c>
      <c r="C951" s="8" t="n">
        <v>2</v>
      </c>
      <c r="D951" s="8" t="inlineStr">
        <is>
          <t>月卡收益</t>
        </is>
      </c>
      <c r="E951" s="9">
        <f>K950</f>
        <v/>
      </c>
      <c r="F951" s="9" t="n">
        <v>1540</v>
      </c>
      <c r="G951" s="9" t="n">
        <v>0</v>
      </c>
      <c r="H951" s="9" t="n">
        <v>0</v>
      </c>
      <c r="I951" s="9" t="n">
        <v>0</v>
      </c>
      <c r="J951" s="9" t="n">
        <v>4480</v>
      </c>
      <c r="K951" s="9">
        <f>E951+F951+G951+H951+I951-J951</f>
        <v/>
      </c>
      <c r="L951" s="10">
        <f>Q950</f>
        <v/>
      </c>
      <c r="M951" s="10" t="n">
        <v>0</v>
      </c>
      <c r="N951" s="10" t="n">
        <v>3</v>
      </c>
      <c r="O951" s="10">
        <f>J951/160</f>
        <v/>
      </c>
      <c r="P951" s="10" t="n">
        <v>40</v>
      </c>
      <c r="Q951" s="10">
        <f>L951+M951+N951+O951-P951</f>
        <v/>
      </c>
      <c r="R951" s="11">
        <f>T950</f>
        <v/>
      </c>
      <c r="S951" s="11">
        <f>N(V951) + N(X951) + N(Z951)</f>
        <v/>
      </c>
      <c r="T951" s="11">
        <f>R951+P951-S951</f>
        <v/>
      </c>
      <c r="U951" s="11" t="inlineStr">
        <is>
          <t>是</t>
        </is>
      </c>
      <c r="V951" s="11" t="n">
        <v>47</v>
      </c>
      <c r="W951" s="11" t="inlineStr">
        <is>
          <t>否</t>
        </is>
      </c>
      <c r="X951" s="11" t="inlineStr">
        <is>
          <t>-</t>
        </is>
      </c>
      <c r="Y951" s="11" t="inlineStr">
        <is>
          <t>-</t>
        </is>
      </c>
      <c r="Z951" s="11" t="n">
        <v>0</v>
      </c>
      <c r="AA951" s="11" t="inlineStr">
        <is>
          <t>无</t>
        </is>
      </c>
      <c r="AB951" s="12">
        <f>AE950</f>
        <v/>
      </c>
      <c r="AC951" s="12" t="n">
        <v>0</v>
      </c>
      <c r="AD951" s="12" t="n">
        <v>0</v>
      </c>
      <c r="AE951" s="12">
        <f>AB951+AC951+AD951</f>
        <v/>
      </c>
      <c r="AF951" s="13">
        <f>AI950</f>
        <v/>
      </c>
      <c r="AG951" s="13" t="n">
        <v>0</v>
      </c>
      <c r="AH951" s="13" t="n">
        <v>0</v>
      </c>
      <c r="AI951" s="13">
        <f>AF951+AG951+AH951</f>
        <v/>
      </c>
      <c r="AJ951" s="14" t="n">
        <v>0</v>
      </c>
      <c r="AK951" s="14" t="n">
        <v>0</v>
      </c>
      <c r="AL951" s="14" t="n">
        <v>0</v>
      </c>
      <c r="AM951" s="14">
        <f>AJ951+AK951+AL951</f>
        <v/>
      </c>
      <c r="AN951" s="14">
        <f>AN950+AM951</f>
        <v/>
      </c>
    </row>
    <row r="952">
      <c r="A952" s="8" t="n">
        <v>37</v>
      </c>
      <c r="B952" s="8" t="n">
        <v>8</v>
      </c>
      <c r="C952" s="8" t="n">
        <v>1</v>
      </c>
      <c r="D952" s="8" t="inlineStr">
        <is>
          <t>版本免费+义相逢 + 月卡收益 [月卡续费-30元]</t>
        </is>
      </c>
      <c r="E952" s="9">
        <f>K951</f>
        <v/>
      </c>
      <c r="F952" s="9" t="n">
        <v>1540</v>
      </c>
      <c r="G952" s="9" t="n">
        <v>4800</v>
      </c>
      <c r="H952" s="9" t="n">
        <v>0</v>
      </c>
      <c r="I952" s="9" t="n">
        <v>0</v>
      </c>
      <c r="J952" s="9" t="n">
        <v>0</v>
      </c>
      <c r="K952" s="9">
        <f>E952+F952+G952+H952+I952-J952</f>
        <v/>
      </c>
      <c r="L952" s="10">
        <f>Q951</f>
        <v/>
      </c>
      <c r="M952" s="10" t="n">
        <v>85</v>
      </c>
      <c r="N952" s="10" t="n">
        <v>1</v>
      </c>
      <c r="O952" s="10">
        <f>J952/160</f>
        <v/>
      </c>
      <c r="P952" s="10" t="n">
        <v>20</v>
      </c>
      <c r="Q952" s="10">
        <f>L952+M952+N952+O952-P952</f>
        <v/>
      </c>
      <c r="R952" s="11">
        <f>T951</f>
        <v/>
      </c>
      <c r="S952" s="11">
        <f>N(V952) + N(X952) + N(Z952)</f>
        <v/>
      </c>
      <c r="T952" s="11">
        <f>R952+P952-S952</f>
        <v/>
      </c>
      <c r="U952" s="11" t="inlineStr">
        <is>
          <t>是</t>
        </is>
      </c>
      <c r="V952" s="11" t="n">
        <v>19</v>
      </c>
      <c r="W952" s="11" t="inlineStr">
        <is>
          <t>否</t>
        </is>
      </c>
      <c r="X952" s="11" t="inlineStr">
        <is>
          <t>-</t>
        </is>
      </c>
      <c r="Y952" s="11" t="inlineStr">
        <is>
          <t>-</t>
        </is>
      </c>
      <c r="Z952" s="11" t="n">
        <v>0</v>
      </c>
      <c r="AA952" s="11" t="inlineStr">
        <is>
          <t>无</t>
        </is>
      </c>
      <c r="AB952" s="12">
        <f>AE951</f>
        <v/>
      </c>
      <c r="AC952" s="12" t="n">
        <v>4</v>
      </c>
      <c r="AD952" s="12" t="n">
        <v>0</v>
      </c>
      <c r="AE952" s="12">
        <f>AB952+AC952+AD952</f>
        <v/>
      </c>
      <c r="AF952" s="13">
        <f>AI951</f>
        <v/>
      </c>
      <c r="AG952" s="13" t="n">
        <v>0</v>
      </c>
      <c r="AH952" s="13" t="n">
        <v>0</v>
      </c>
      <c r="AI952" s="13">
        <f>AF952+AG952+AH952</f>
        <v/>
      </c>
      <c r="AJ952" s="14" t="n">
        <v>30</v>
      </c>
      <c r="AK952" s="14" t="n">
        <v>50</v>
      </c>
      <c r="AL952" s="14" t="n">
        <v>0</v>
      </c>
      <c r="AM952" s="14">
        <f>AJ952+AK952+AL952</f>
        <v/>
      </c>
      <c r="AN952" s="14">
        <f>AN951+AM952</f>
        <v/>
      </c>
    </row>
    <row r="953">
      <c r="A953" s="8" t="n">
        <v>37</v>
      </c>
      <c r="B953" s="8" t="n">
        <v>8</v>
      </c>
      <c r="C953" s="8" t="n">
        <v>2</v>
      </c>
      <c r="D953" s="8" t="inlineStr">
        <is>
          <t>月卡收益</t>
        </is>
      </c>
      <c r="E953" s="9">
        <f>K952</f>
        <v/>
      </c>
      <c r="F953" s="9" t="n">
        <v>1540</v>
      </c>
      <c r="G953" s="9" t="n">
        <v>0</v>
      </c>
      <c r="H953" s="9" t="n">
        <v>0</v>
      </c>
      <c r="I953" s="9" t="n">
        <v>0</v>
      </c>
      <c r="J953" s="9" t="n">
        <v>3680</v>
      </c>
      <c r="K953" s="9">
        <f>E953+F953+G953+H953+I953-J953</f>
        <v/>
      </c>
      <c r="L953" s="10">
        <f>Q952</f>
        <v/>
      </c>
      <c r="M953" s="10" t="n">
        <v>0</v>
      </c>
      <c r="N953" s="10" t="n">
        <v>11</v>
      </c>
      <c r="O953" s="10">
        <f>J953/160</f>
        <v/>
      </c>
      <c r="P953" s="10" t="n">
        <v>100</v>
      </c>
      <c r="Q953" s="10">
        <f>L953+M953+N953+O953-P953</f>
        <v/>
      </c>
      <c r="R953" s="11">
        <f>T952</f>
        <v/>
      </c>
      <c r="S953" s="11">
        <f>N(V953) + N(X953) + N(Z953)</f>
        <v/>
      </c>
      <c r="T953" s="11">
        <f>R953+P953-S953</f>
        <v/>
      </c>
      <c r="U953" s="11" t="inlineStr">
        <is>
          <t>是</t>
        </is>
      </c>
      <c r="V953" s="11" t="n">
        <v>49</v>
      </c>
      <c r="W953" s="11" t="inlineStr">
        <is>
          <t>是</t>
        </is>
      </c>
      <c r="X953" s="11" t="n">
        <v>50</v>
      </c>
      <c r="Y953" s="11" t="inlineStr">
        <is>
          <t>-</t>
        </is>
      </c>
      <c r="Z953" s="11" t="n">
        <v>0</v>
      </c>
      <c r="AA953" s="11" t="inlineStr">
        <is>
          <t>无</t>
        </is>
      </c>
      <c r="AB953" s="12">
        <f>AE952</f>
        <v/>
      </c>
      <c r="AC953" s="12" t="n">
        <v>0</v>
      </c>
      <c r="AD953" s="12" t="n">
        <v>0</v>
      </c>
      <c r="AE953" s="12">
        <f>AB953+AC953+AD953</f>
        <v/>
      </c>
      <c r="AF953" s="13">
        <f>AI952</f>
        <v/>
      </c>
      <c r="AG953" s="13" t="n">
        <v>0</v>
      </c>
      <c r="AH953" s="13" t="n">
        <v>0</v>
      </c>
      <c r="AI953" s="13">
        <f>AF953+AG953+AH953</f>
        <v/>
      </c>
      <c r="AJ953" s="14" t="n">
        <v>0</v>
      </c>
      <c r="AK953" s="14" t="n">
        <v>0</v>
      </c>
      <c r="AL953" s="14" t="n">
        <v>0</v>
      </c>
      <c r="AM953" s="14">
        <f>AJ953+AK953+AL953</f>
        <v/>
      </c>
      <c r="AN953" s="14">
        <f>AN952+AM953</f>
        <v/>
      </c>
    </row>
    <row r="954">
      <c r="A954" s="8" t="n">
        <v>37</v>
      </c>
      <c r="B954" s="8" t="n">
        <v>9</v>
      </c>
      <c r="C954" s="8" t="n">
        <v>1</v>
      </c>
      <c r="D954" s="8" t="inlineStr">
        <is>
          <t>版本免费+义相逢 + 月卡收益 [月卡续费-30元]</t>
        </is>
      </c>
      <c r="E954" s="9">
        <f>K953</f>
        <v/>
      </c>
      <c r="F954" s="9" t="n">
        <v>1540</v>
      </c>
      <c r="G954" s="9" t="n">
        <v>4800</v>
      </c>
      <c r="H954" s="9" t="n">
        <v>0</v>
      </c>
      <c r="I954" s="9" t="n">
        <v>0</v>
      </c>
      <c r="J954" s="9" t="n">
        <v>640</v>
      </c>
      <c r="K954" s="9">
        <f>E954+F954+G954+H954+I954-J954</f>
        <v/>
      </c>
      <c r="L954" s="10">
        <f>Q953</f>
        <v/>
      </c>
      <c r="M954" s="10" t="n">
        <v>85</v>
      </c>
      <c r="N954" s="10" t="n">
        <v>11</v>
      </c>
      <c r="O954" s="10">
        <f>J954/160</f>
        <v/>
      </c>
      <c r="P954" s="10" t="n">
        <v>100</v>
      </c>
      <c r="Q954" s="10">
        <f>L954+M954+N954+O954-P954</f>
        <v/>
      </c>
      <c r="R954" s="11">
        <f>T953</f>
        <v/>
      </c>
      <c r="S954" s="11">
        <f>N(V954) + N(X954) + N(Z954)</f>
        <v/>
      </c>
      <c r="T954" s="11">
        <f>R954+P954-S954</f>
        <v/>
      </c>
      <c r="U954" s="11" t="inlineStr">
        <is>
          <t>是</t>
        </is>
      </c>
      <c r="V954" s="11" t="n">
        <v>48</v>
      </c>
      <c r="W954" s="11" t="inlineStr">
        <is>
          <t>是</t>
        </is>
      </c>
      <c r="X954" s="11" t="n">
        <v>46</v>
      </c>
      <c r="Y954" s="11" t="inlineStr">
        <is>
          <t>-</t>
        </is>
      </c>
      <c r="Z954" s="11" t="n">
        <v>0</v>
      </c>
      <c r="AA954" s="11" t="inlineStr">
        <is>
          <t>无</t>
        </is>
      </c>
      <c r="AB954" s="12">
        <f>AE953</f>
        <v/>
      </c>
      <c r="AC954" s="12" t="n">
        <v>4</v>
      </c>
      <c r="AD954" s="12" t="n">
        <v>0</v>
      </c>
      <c r="AE954" s="12">
        <f>AB954+AC954+AD954</f>
        <v/>
      </c>
      <c r="AF954" s="13">
        <f>AI953</f>
        <v/>
      </c>
      <c r="AG954" s="13" t="n">
        <v>0</v>
      </c>
      <c r="AH954" s="13" t="n">
        <v>0</v>
      </c>
      <c r="AI954" s="13">
        <f>AF954+AG954+AH954</f>
        <v/>
      </c>
      <c r="AJ954" s="14" t="n">
        <v>30</v>
      </c>
      <c r="AK954" s="14" t="n">
        <v>50</v>
      </c>
      <c r="AL954" s="14" t="n">
        <v>0</v>
      </c>
      <c r="AM954" s="14">
        <f>AJ954+AK954+AL954</f>
        <v/>
      </c>
      <c r="AN954" s="14">
        <f>AN953+AM954</f>
        <v/>
      </c>
    </row>
    <row r="955">
      <c r="A955" s="8" t="n">
        <v>37</v>
      </c>
      <c r="B955" s="8" t="n">
        <v>9</v>
      </c>
      <c r="C955" s="8" t="n">
        <v>2</v>
      </c>
      <c r="D955" s="8" t="inlineStr">
        <is>
          <t>月卡收益</t>
        </is>
      </c>
      <c r="E955" s="9">
        <f>K954</f>
        <v/>
      </c>
      <c r="F955" s="9" t="n">
        <v>1540</v>
      </c>
      <c r="G955" s="9" t="n">
        <v>0</v>
      </c>
      <c r="H955" s="9" t="n">
        <v>0</v>
      </c>
      <c r="I955" s="9" t="n">
        <v>0</v>
      </c>
      <c r="J955" s="9" t="n">
        <v>13440</v>
      </c>
      <c r="K955" s="9">
        <f>E955+F955+G955+H955+I955-J955</f>
        <v/>
      </c>
      <c r="L955" s="10">
        <f>Q954</f>
        <v/>
      </c>
      <c r="M955" s="10" t="n">
        <v>0</v>
      </c>
      <c r="N955" s="10" t="n">
        <v>11</v>
      </c>
      <c r="O955" s="10">
        <f>J955/160</f>
        <v/>
      </c>
      <c r="P955" s="10" t="n">
        <v>90</v>
      </c>
      <c r="Q955" s="10">
        <f>L955+M955+N955+O955-P955</f>
        <v/>
      </c>
      <c r="R955" s="11">
        <f>T954</f>
        <v/>
      </c>
      <c r="S955" s="11">
        <f>N(V955) + N(X955) + N(Z955)</f>
        <v/>
      </c>
      <c r="T955" s="11">
        <f>R955+P955-S955</f>
        <v/>
      </c>
      <c r="U955" s="11" t="inlineStr">
        <is>
          <t>是</t>
        </is>
      </c>
      <c r="V955" s="11" t="n">
        <v>48</v>
      </c>
      <c r="W955" s="11" t="inlineStr">
        <is>
          <t>是</t>
        </is>
      </c>
      <c r="X955" s="11" t="n">
        <v>50</v>
      </c>
      <c r="Y955" s="11" t="inlineStr">
        <is>
          <t>-</t>
        </is>
      </c>
      <c r="Z955" s="11" t="n">
        <v>0</v>
      </c>
      <c r="AA955" s="11" t="inlineStr">
        <is>
          <t>无</t>
        </is>
      </c>
      <c r="AB955" s="12">
        <f>AE954</f>
        <v/>
      </c>
      <c r="AC955" s="12" t="n">
        <v>0</v>
      </c>
      <c r="AD955" s="12" t="n">
        <v>0</v>
      </c>
      <c r="AE955" s="12">
        <f>AB955+AC955+AD955</f>
        <v/>
      </c>
      <c r="AF955" s="13">
        <f>AI954</f>
        <v/>
      </c>
      <c r="AG955" s="13" t="n">
        <v>0</v>
      </c>
      <c r="AH955" s="13" t="n">
        <v>0</v>
      </c>
      <c r="AI955" s="13">
        <f>AF955+AG955+AH955</f>
        <v/>
      </c>
      <c r="AJ955" s="14" t="n">
        <v>0</v>
      </c>
      <c r="AK955" s="14" t="n">
        <v>0</v>
      </c>
      <c r="AL955" s="14" t="n">
        <v>0</v>
      </c>
      <c r="AM955" s="14">
        <f>AJ955+AK955+AL955</f>
        <v/>
      </c>
      <c r="AN955" s="14">
        <f>AN954+AM955</f>
        <v/>
      </c>
    </row>
    <row r="956">
      <c r="A956" s="8" t="n">
        <v>37</v>
      </c>
      <c r="B956" s="8" t="n">
        <v>10</v>
      </c>
      <c r="C956" s="8" t="n">
        <v>1</v>
      </c>
      <c r="D956" s="8" t="inlineStr">
        <is>
          <t>版本免费+义相逢 + 月卡收益 [月卡续费-30元]</t>
        </is>
      </c>
      <c r="E956" s="9">
        <f>K955</f>
        <v/>
      </c>
      <c r="F956" s="9" t="n">
        <v>1540</v>
      </c>
      <c r="G956" s="9" t="n">
        <v>4800</v>
      </c>
      <c r="H956" s="9" t="n">
        <v>0</v>
      </c>
      <c r="I956" s="9" t="n">
        <v>0</v>
      </c>
      <c r="J956" s="9" t="n">
        <v>0</v>
      </c>
      <c r="K956" s="9">
        <f>E956+F956+G956+H956+I956-J956</f>
        <v/>
      </c>
      <c r="L956" s="10">
        <f>Q955</f>
        <v/>
      </c>
      <c r="M956" s="10" t="n">
        <v>85</v>
      </c>
      <c r="N956" s="10" t="n">
        <v>11</v>
      </c>
      <c r="O956" s="10">
        <f>J956/160</f>
        <v/>
      </c>
      <c r="P956" s="10" t="n">
        <v>100</v>
      </c>
      <c r="Q956" s="10">
        <f>L956+M956+N956+O956-P956</f>
        <v/>
      </c>
      <c r="R956" s="11">
        <f>T955</f>
        <v/>
      </c>
      <c r="S956" s="11">
        <f>N(V956) + N(X956) + N(Z956)</f>
        <v/>
      </c>
      <c r="T956" s="11">
        <f>R956+P956-S956</f>
        <v/>
      </c>
      <c r="U956" s="11" t="inlineStr">
        <is>
          <t>是</t>
        </is>
      </c>
      <c r="V956" s="11" t="n">
        <v>51</v>
      </c>
      <c r="W956" s="11" t="inlineStr">
        <is>
          <t>是</t>
        </is>
      </c>
      <c r="X956" s="11" t="n">
        <v>46</v>
      </c>
      <c r="Y956" s="11" t="inlineStr">
        <is>
          <t>-</t>
        </is>
      </c>
      <c r="Z956" s="11" t="n">
        <v>0</v>
      </c>
      <c r="AA956" s="11" t="inlineStr">
        <is>
          <t>无</t>
        </is>
      </c>
      <c r="AB956" s="12">
        <f>AE955</f>
        <v/>
      </c>
      <c r="AC956" s="12" t="n">
        <v>4</v>
      </c>
      <c r="AD956" s="12" t="n">
        <v>0</v>
      </c>
      <c r="AE956" s="12">
        <f>AB956+AC956+AD956</f>
        <v/>
      </c>
      <c r="AF956" s="13">
        <f>AI955</f>
        <v/>
      </c>
      <c r="AG956" s="13" t="n">
        <v>0</v>
      </c>
      <c r="AH956" s="13" t="n">
        <v>0</v>
      </c>
      <c r="AI956" s="13">
        <f>AF956+AG956+AH956</f>
        <v/>
      </c>
      <c r="AJ956" s="14" t="n">
        <v>30</v>
      </c>
      <c r="AK956" s="14" t="n">
        <v>50</v>
      </c>
      <c r="AL956" s="14" t="n">
        <v>0</v>
      </c>
      <c r="AM956" s="14">
        <f>AJ956+AK956+AL956</f>
        <v/>
      </c>
      <c r="AN956" s="14">
        <f>AN955+AM956</f>
        <v/>
      </c>
    </row>
    <row r="957">
      <c r="A957" s="8" t="n">
        <v>37</v>
      </c>
      <c r="B957" s="8" t="n">
        <v>10</v>
      </c>
      <c r="C957" s="8" t="n">
        <v>2</v>
      </c>
      <c r="D957" s="8" t="inlineStr">
        <is>
          <t>月卡收益</t>
        </is>
      </c>
      <c r="E957" s="9">
        <f>K956</f>
        <v/>
      </c>
      <c r="F957" s="9" t="n">
        <v>1540</v>
      </c>
      <c r="G957" s="9" t="n">
        <v>0</v>
      </c>
      <c r="H957" s="9" t="n">
        <v>0</v>
      </c>
      <c r="I957" s="9" t="n">
        <v>0</v>
      </c>
      <c r="J957" s="9" t="n">
        <v>8960</v>
      </c>
      <c r="K957" s="9">
        <f>E957+F957+G957+H957+I957-J957</f>
        <v/>
      </c>
      <c r="L957" s="10">
        <f>Q956</f>
        <v/>
      </c>
      <c r="M957" s="10" t="n">
        <v>0</v>
      </c>
      <c r="N957" s="10" t="n">
        <v>6</v>
      </c>
      <c r="O957" s="10">
        <f>J957/160</f>
        <v/>
      </c>
      <c r="P957" s="10" t="n">
        <v>60</v>
      </c>
      <c r="Q957" s="10">
        <f>L957+M957+N957+O957-P957</f>
        <v/>
      </c>
      <c r="R957" s="11">
        <f>T956</f>
        <v/>
      </c>
      <c r="S957" s="11">
        <f>N(V957) + N(X957) + N(Z957)</f>
        <v/>
      </c>
      <c r="T957" s="11">
        <f>R957+P957-S957</f>
        <v/>
      </c>
      <c r="U957" s="11" t="inlineStr">
        <is>
          <t>是</t>
        </is>
      </c>
      <c r="V957" s="11" t="n">
        <v>48</v>
      </c>
      <c r="W957" s="11" t="inlineStr">
        <is>
          <t>否</t>
        </is>
      </c>
      <c r="X957" s="11" t="inlineStr">
        <is>
          <t>-</t>
        </is>
      </c>
      <c r="Y957" s="11" t="inlineStr">
        <is>
          <t>-</t>
        </is>
      </c>
      <c r="Z957" s="11" t="n">
        <v>0</v>
      </c>
      <c r="AA957" s="11" t="inlineStr">
        <is>
          <t>垫到60抽</t>
        </is>
      </c>
      <c r="AB957" s="12">
        <f>AE956</f>
        <v/>
      </c>
      <c r="AC957" s="12" t="n">
        <v>0</v>
      </c>
      <c r="AD957" s="12" t="n">
        <v>0</v>
      </c>
      <c r="AE957" s="12">
        <f>AB957+AC957+AD957</f>
        <v/>
      </c>
      <c r="AF957" s="13">
        <f>AI956</f>
        <v/>
      </c>
      <c r="AG957" s="13" t="n">
        <v>0</v>
      </c>
      <c r="AH957" s="13" t="n">
        <v>0</v>
      </c>
      <c r="AI957" s="13">
        <f>AF957+AG957+AH957</f>
        <v/>
      </c>
      <c r="AJ957" s="14" t="n">
        <v>0</v>
      </c>
      <c r="AK957" s="14" t="n">
        <v>0</v>
      </c>
      <c r="AL957" s="14" t="n">
        <v>0</v>
      </c>
      <c r="AM957" s="14">
        <f>AJ957+AK957+AL957</f>
        <v/>
      </c>
      <c r="AN957" s="14">
        <f>AN956+AM957</f>
        <v/>
      </c>
    </row>
    <row r="958">
      <c r="A958" s="8" t="n">
        <v>37</v>
      </c>
      <c r="B958" s="8" t="n">
        <v>11</v>
      </c>
      <c r="C958" s="8" t="n">
        <v>1</v>
      </c>
      <c r="D958" s="8" t="inlineStr">
        <is>
          <t>版本免费+义相逢 + 月卡收益 [月卡续费-30元]</t>
        </is>
      </c>
      <c r="E958" s="9">
        <f>K957</f>
        <v/>
      </c>
      <c r="F958" s="9" t="n">
        <v>1540</v>
      </c>
      <c r="G958" s="9" t="n">
        <v>4800</v>
      </c>
      <c r="H958" s="9" t="n">
        <v>0</v>
      </c>
      <c r="I958" s="9" t="n">
        <v>0</v>
      </c>
      <c r="J958" s="9" t="n">
        <v>0</v>
      </c>
      <c r="K958" s="9">
        <f>E958+F958+G958+H958+I958-J958</f>
        <v/>
      </c>
      <c r="L958" s="10">
        <f>Q957</f>
        <v/>
      </c>
      <c r="M958" s="10" t="n">
        <v>85</v>
      </c>
      <c r="N958" s="10" t="n">
        <v>11</v>
      </c>
      <c r="O958" s="10">
        <f>J958/160</f>
        <v/>
      </c>
      <c r="P958" s="10" t="n">
        <v>90</v>
      </c>
      <c r="Q958" s="10">
        <f>L958+M958+N958+O958-P958</f>
        <v/>
      </c>
      <c r="R958" s="11">
        <f>T957</f>
        <v/>
      </c>
      <c r="S958" s="11">
        <f>N(V958) + N(X958) + N(Z958)</f>
        <v/>
      </c>
      <c r="T958" s="11">
        <f>R958+P958-S958</f>
        <v/>
      </c>
      <c r="U958" s="11" t="inlineStr">
        <is>
          <t>是</t>
        </is>
      </c>
      <c r="V958" s="11" t="n">
        <v>48</v>
      </c>
      <c r="W958" s="11" t="inlineStr">
        <is>
          <t>是</t>
        </is>
      </c>
      <c r="X958" s="11" t="n">
        <v>47</v>
      </c>
      <c r="Y958" s="11" t="inlineStr">
        <is>
          <t>-</t>
        </is>
      </c>
      <c r="Z958" s="11" t="n">
        <v>0</v>
      </c>
      <c r="AA958" s="11" t="inlineStr">
        <is>
          <t>垫到90抽</t>
        </is>
      </c>
      <c r="AB958" s="12">
        <f>AE957</f>
        <v/>
      </c>
      <c r="AC958" s="12" t="n">
        <v>4</v>
      </c>
      <c r="AD958" s="12" t="n">
        <v>0</v>
      </c>
      <c r="AE958" s="12">
        <f>AB958+AC958+AD958</f>
        <v/>
      </c>
      <c r="AF958" s="13">
        <f>AI957</f>
        <v/>
      </c>
      <c r="AG958" s="13" t="n">
        <v>0</v>
      </c>
      <c r="AH958" s="13" t="n">
        <v>0</v>
      </c>
      <c r="AI958" s="13">
        <f>AF958+AG958+AH958</f>
        <v/>
      </c>
      <c r="AJ958" s="14" t="n">
        <v>30</v>
      </c>
      <c r="AK958" s="14" t="n">
        <v>50</v>
      </c>
      <c r="AL958" s="14" t="n">
        <v>0</v>
      </c>
      <c r="AM958" s="14">
        <f>AJ958+AK958+AL958</f>
        <v/>
      </c>
      <c r="AN958" s="14">
        <f>AN957+AM958</f>
        <v/>
      </c>
    </row>
    <row r="959">
      <c r="A959" s="8" t="n">
        <v>37</v>
      </c>
      <c r="B959" s="8" t="n">
        <v>11</v>
      </c>
      <c r="C959" s="8" t="n">
        <v>2</v>
      </c>
      <c r="D959" s="8" t="inlineStr">
        <is>
          <t>月卡收益</t>
        </is>
      </c>
      <c r="E959" s="9">
        <f>K958</f>
        <v/>
      </c>
      <c r="F959" s="9" t="n">
        <v>1540</v>
      </c>
      <c r="G959" s="9" t="n">
        <v>0</v>
      </c>
      <c r="H959" s="9" t="n">
        <v>0</v>
      </c>
      <c r="I959" s="9" t="n">
        <v>0</v>
      </c>
      <c r="J959" s="9" t="n">
        <v>4480</v>
      </c>
      <c r="K959" s="9">
        <f>E959+F959+G959+H959+I959-J959</f>
        <v/>
      </c>
      <c r="L959" s="10">
        <f>Q958</f>
        <v/>
      </c>
      <c r="M959" s="10" t="n">
        <v>0</v>
      </c>
      <c r="N959" s="10" t="n">
        <v>3</v>
      </c>
      <c r="O959" s="10">
        <f>J959/160</f>
        <v/>
      </c>
      <c r="P959" s="10" t="n">
        <v>40</v>
      </c>
      <c r="Q959" s="10">
        <f>L959+M959+N959+O959-P959</f>
        <v/>
      </c>
      <c r="R959" s="11">
        <f>T958</f>
        <v/>
      </c>
      <c r="S959" s="11">
        <f>N(V959) + N(X959) + N(Z959)</f>
        <v/>
      </c>
      <c r="T959" s="11">
        <f>R959+P959-S959</f>
        <v/>
      </c>
      <c r="U959" s="11" t="inlineStr">
        <is>
          <t>是</t>
        </is>
      </c>
      <c r="V959" s="11" t="n">
        <v>46</v>
      </c>
      <c r="W959" s="11" t="inlineStr">
        <is>
          <t>否</t>
        </is>
      </c>
      <c r="X959" s="11" t="inlineStr">
        <is>
          <t>-</t>
        </is>
      </c>
      <c r="Y959" s="11" t="inlineStr">
        <is>
          <t>-</t>
        </is>
      </c>
      <c r="Z959" s="11" t="n">
        <v>0</v>
      </c>
      <c r="AA959" s="11" t="inlineStr">
        <is>
          <t>无</t>
        </is>
      </c>
      <c r="AB959" s="12">
        <f>AE958</f>
        <v/>
      </c>
      <c r="AC959" s="12" t="n">
        <v>0</v>
      </c>
      <c r="AD959" s="12" t="n">
        <v>0</v>
      </c>
      <c r="AE959" s="12">
        <f>AB959+AC959+AD959</f>
        <v/>
      </c>
      <c r="AF959" s="13">
        <f>AI958</f>
        <v/>
      </c>
      <c r="AG959" s="13" t="n">
        <v>0</v>
      </c>
      <c r="AH959" s="13" t="n">
        <v>0</v>
      </c>
      <c r="AI959" s="13">
        <f>AF959+AG959+AH959</f>
        <v/>
      </c>
      <c r="AJ959" s="14" t="n">
        <v>0</v>
      </c>
      <c r="AK959" s="14" t="n">
        <v>0</v>
      </c>
      <c r="AL959" s="14" t="n">
        <v>0</v>
      </c>
      <c r="AM959" s="14">
        <f>AJ959+AK959+AL959</f>
        <v/>
      </c>
      <c r="AN959" s="14">
        <f>AN958+AM959</f>
        <v/>
      </c>
    </row>
    <row r="960">
      <c r="A960" s="8" t="n">
        <v>37</v>
      </c>
      <c r="B960" s="8" t="n">
        <v>12</v>
      </c>
      <c r="C960" s="8" t="n">
        <v>1</v>
      </c>
      <c r="D960" s="8" t="inlineStr">
        <is>
          <t>版本免费+义相逢 + 月卡收益 [月卡续费-30元]</t>
        </is>
      </c>
      <c r="E960" s="9">
        <f>K959</f>
        <v/>
      </c>
      <c r="F960" s="9" t="n">
        <v>1540</v>
      </c>
      <c r="G960" s="9" t="n">
        <v>4800</v>
      </c>
      <c r="H960" s="9" t="n">
        <v>0</v>
      </c>
      <c r="I960" s="9" t="n">
        <v>0</v>
      </c>
      <c r="J960" s="9" t="n">
        <v>0</v>
      </c>
      <c r="K960" s="9">
        <f>E960+F960+G960+H960+I960-J960</f>
        <v/>
      </c>
      <c r="L960" s="10">
        <f>Q959</f>
        <v/>
      </c>
      <c r="M960" s="10" t="n">
        <v>85</v>
      </c>
      <c r="N960" s="10" t="n">
        <v>6</v>
      </c>
      <c r="O960" s="10">
        <f>J960/160</f>
        <v/>
      </c>
      <c r="P960" s="10" t="n">
        <v>60</v>
      </c>
      <c r="Q960" s="10">
        <f>L960+M960+N960+O960-P960</f>
        <v/>
      </c>
      <c r="R960" s="11">
        <f>T959</f>
        <v/>
      </c>
      <c r="S960" s="11">
        <f>N(V960) + N(X960) + N(Z960)</f>
        <v/>
      </c>
      <c r="T960" s="11">
        <f>R960+P960-S960</f>
        <v/>
      </c>
      <c r="U960" s="11" t="inlineStr">
        <is>
          <t>是</t>
        </is>
      </c>
      <c r="V960" s="11" t="n">
        <v>52</v>
      </c>
      <c r="W960" s="11" t="inlineStr">
        <is>
          <t>否</t>
        </is>
      </c>
      <c r="X960" s="11" t="inlineStr">
        <is>
          <t>-</t>
        </is>
      </c>
      <c r="Y960" s="11" t="inlineStr">
        <is>
          <t>-</t>
        </is>
      </c>
      <c r="Z960" s="11" t="n">
        <v>0</v>
      </c>
      <c r="AA960" s="11" t="inlineStr">
        <is>
          <t>垫到60抽</t>
        </is>
      </c>
      <c r="AB960" s="12">
        <f>AE959</f>
        <v/>
      </c>
      <c r="AC960" s="12" t="n">
        <v>4</v>
      </c>
      <c r="AD960" s="12" t="n">
        <v>0</v>
      </c>
      <c r="AE960" s="12">
        <f>AB960+AC960+AD960</f>
        <v/>
      </c>
      <c r="AF960" s="13">
        <f>AI959</f>
        <v/>
      </c>
      <c r="AG960" s="13" t="n">
        <v>0</v>
      </c>
      <c r="AH960" s="13" t="n">
        <v>0</v>
      </c>
      <c r="AI960" s="13">
        <f>AF960+AG960+AH960</f>
        <v/>
      </c>
      <c r="AJ960" s="14" t="n">
        <v>30</v>
      </c>
      <c r="AK960" s="14" t="n">
        <v>50</v>
      </c>
      <c r="AL960" s="14" t="n">
        <v>0</v>
      </c>
      <c r="AM960" s="14">
        <f>AJ960+AK960+AL960</f>
        <v/>
      </c>
      <c r="AN960" s="14">
        <f>AN959+AM960</f>
        <v/>
      </c>
    </row>
    <row r="961">
      <c r="A961" s="8" t="n">
        <v>37</v>
      </c>
      <c r="B961" s="8" t="n">
        <v>12</v>
      </c>
      <c r="C961" s="8" t="n">
        <v>2</v>
      </c>
      <c r="D961" s="8" t="inlineStr">
        <is>
          <t>月卡收益</t>
        </is>
      </c>
      <c r="E961" s="9">
        <f>K960</f>
        <v/>
      </c>
      <c r="F961" s="9" t="n">
        <v>1540</v>
      </c>
      <c r="G961" s="9" t="n">
        <v>0</v>
      </c>
      <c r="H961" s="9" t="n">
        <v>0</v>
      </c>
      <c r="I961" s="9" t="n">
        <v>0</v>
      </c>
      <c r="J961" s="9" t="n">
        <v>8480</v>
      </c>
      <c r="K961" s="9">
        <f>E961+F961+G961+H961+I961-J961</f>
        <v/>
      </c>
      <c r="L961" s="10">
        <f>Q960</f>
        <v/>
      </c>
      <c r="M961" s="10" t="n">
        <v>0</v>
      </c>
      <c r="N961" s="10" t="n">
        <v>11</v>
      </c>
      <c r="O961" s="10">
        <f>J961/160</f>
        <v/>
      </c>
      <c r="P961" s="10" t="n">
        <v>90</v>
      </c>
      <c r="Q961" s="10">
        <f>L961+M961+N961+O961-P961</f>
        <v/>
      </c>
      <c r="R961" s="11">
        <f>T960</f>
        <v/>
      </c>
      <c r="S961" s="11">
        <f>N(V961) + N(X961) + N(Z961)</f>
        <v/>
      </c>
      <c r="T961" s="11">
        <f>R961+P961-S961</f>
        <v/>
      </c>
      <c r="U961" s="11" t="inlineStr">
        <is>
          <t>是</t>
        </is>
      </c>
      <c r="V961" s="11" t="n">
        <v>47</v>
      </c>
      <c r="W961" s="11" t="inlineStr">
        <is>
          <t>是</t>
        </is>
      </c>
      <c r="X961" s="11" t="n">
        <v>49</v>
      </c>
      <c r="Y961" s="11" t="inlineStr">
        <is>
          <t>-</t>
        </is>
      </c>
      <c r="Z961" s="11" t="n">
        <v>0</v>
      </c>
      <c r="AA961" s="11" t="inlineStr">
        <is>
          <t>无</t>
        </is>
      </c>
      <c r="AB961" s="12">
        <f>AE960</f>
        <v/>
      </c>
      <c r="AC961" s="12" t="n">
        <v>0</v>
      </c>
      <c r="AD961" s="12" t="n">
        <v>0</v>
      </c>
      <c r="AE961" s="12">
        <f>AB961+AC961+AD961</f>
        <v/>
      </c>
      <c r="AF961" s="13">
        <f>AI960</f>
        <v/>
      </c>
      <c r="AG961" s="13" t="n">
        <v>0</v>
      </c>
      <c r="AH961" s="13" t="n">
        <v>0</v>
      </c>
      <c r="AI961" s="13">
        <f>AF961+AG961+AH961</f>
        <v/>
      </c>
      <c r="AJ961" s="14" t="n">
        <v>0</v>
      </c>
      <c r="AK961" s="14" t="n">
        <v>0</v>
      </c>
      <c r="AL961" s="14" t="n">
        <v>0</v>
      </c>
      <c r="AM961" s="14">
        <f>AJ961+AK961+AL961</f>
        <v/>
      </c>
      <c r="AN961" s="14">
        <f>AN960+AM961</f>
        <v/>
      </c>
    </row>
    <row r="962">
      <c r="A962" s="8" t="n">
        <v>37</v>
      </c>
      <c r="B962" s="8" t="n">
        <v>13</v>
      </c>
      <c r="C962" s="8" t="n">
        <v>1</v>
      </c>
      <c r="D962" s="8" t="inlineStr">
        <is>
          <t>版本免费+义相逢 + 月卡收益</t>
        </is>
      </c>
      <c r="E962" s="9">
        <f>K961</f>
        <v/>
      </c>
      <c r="F962" s="9" t="n">
        <v>1540</v>
      </c>
      <c r="G962" s="9" t="n">
        <v>4800</v>
      </c>
      <c r="H962" s="9" t="n">
        <v>0</v>
      </c>
      <c r="I962" s="9" t="n">
        <v>0</v>
      </c>
      <c r="J962" s="9" t="n">
        <v>0</v>
      </c>
      <c r="K962" s="9">
        <f>E962+F962+G962+H962+I962-J962</f>
        <v/>
      </c>
      <c r="L962" s="10">
        <f>Q961</f>
        <v/>
      </c>
      <c r="M962" s="10" t="n">
        <v>85</v>
      </c>
      <c r="N962" s="10" t="n">
        <v>1</v>
      </c>
      <c r="O962" s="10">
        <f>J962/160</f>
        <v/>
      </c>
      <c r="P962" s="10" t="n">
        <v>10</v>
      </c>
      <c r="Q962" s="10">
        <f>L962+M962+N962+O962-P962</f>
        <v/>
      </c>
      <c r="R962" s="11">
        <f>T961</f>
        <v/>
      </c>
      <c r="S962" s="11">
        <f>N(V962) + N(X962) + N(Z962)</f>
        <v/>
      </c>
      <c r="T962" s="11">
        <f>R962+P962-S962</f>
        <v/>
      </c>
      <c r="U962" s="11" t="inlineStr">
        <is>
          <t>是</t>
        </is>
      </c>
      <c r="V962" s="11" t="n">
        <v>10</v>
      </c>
      <c r="W962" s="11" t="inlineStr">
        <is>
          <t>否</t>
        </is>
      </c>
      <c r="X962" s="11" t="inlineStr">
        <is>
          <t>-</t>
        </is>
      </c>
      <c r="Y962" s="11" t="inlineStr">
        <is>
          <t>-</t>
        </is>
      </c>
      <c r="Z962" s="11" t="n">
        <v>0</v>
      </c>
      <c r="AA962" s="11" t="inlineStr">
        <is>
          <t>无</t>
        </is>
      </c>
      <c r="AB962" s="12">
        <f>AE961</f>
        <v/>
      </c>
      <c r="AC962" s="12" t="n">
        <v>4</v>
      </c>
      <c r="AD962" s="12" t="n">
        <v>0</v>
      </c>
      <c r="AE962" s="12">
        <f>AB962+AC962+AD962</f>
        <v/>
      </c>
      <c r="AF962" s="13">
        <f>AI961</f>
        <v/>
      </c>
      <c r="AG962" s="13" t="n">
        <v>0</v>
      </c>
      <c r="AH962" s="13" t="n">
        <v>0</v>
      </c>
      <c r="AI962" s="13">
        <f>AF962+AG962+AH962</f>
        <v/>
      </c>
      <c r="AJ962" s="14" t="n">
        <v>0</v>
      </c>
      <c r="AK962" s="14" t="n">
        <v>50</v>
      </c>
      <c r="AL962" s="14" t="n">
        <v>0</v>
      </c>
      <c r="AM962" s="14">
        <f>AJ962+AK962+AL962</f>
        <v/>
      </c>
      <c r="AN962" s="14">
        <f>AN961+AM962</f>
        <v/>
      </c>
    </row>
    <row r="963">
      <c r="A963" s="8" t="n">
        <v>37</v>
      </c>
      <c r="B963" s="8" t="n">
        <v>13</v>
      </c>
      <c r="C963" s="8" t="n">
        <v>2</v>
      </c>
      <c r="D963" s="8" t="inlineStr">
        <is>
          <t>月卡收益 [月卡续费-30元]</t>
        </is>
      </c>
      <c r="E963" s="9">
        <f>K962</f>
        <v/>
      </c>
      <c r="F963" s="9" t="n">
        <v>1540</v>
      </c>
      <c r="G963" s="9" t="n">
        <v>0</v>
      </c>
      <c r="H963" s="9" t="n">
        <v>0</v>
      </c>
      <c r="I963" s="9" t="n">
        <v>0</v>
      </c>
      <c r="J963" s="9" t="n">
        <v>1280</v>
      </c>
      <c r="K963" s="9">
        <f>E963+F963+G963+H963+I963-J963</f>
        <v/>
      </c>
      <c r="L963" s="10">
        <f>Q962</f>
        <v/>
      </c>
      <c r="M963" s="10" t="n">
        <v>0</v>
      </c>
      <c r="N963" s="10" t="n">
        <v>11</v>
      </c>
      <c r="O963" s="10">
        <f>J963/160</f>
        <v/>
      </c>
      <c r="P963" s="10" t="n">
        <v>100</v>
      </c>
      <c r="Q963" s="10">
        <f>L963+M963+N963+O963-P963</f>
        <v/>
      </c>
      <c r="R963" s="11">
        <f>T962</f>
        <v/>
      </c>
      <c r="S963" s="11">
        <f>N(V963) + N(X963) + N(Z963)</f>
        <v/>
      </c>
      <c r="T963" s="11">
        <f>R963+P963-S963</f>
        <v/>
      </c>
      <c r="U963" s="11" t="inlineStr">
        <is>
          <t>是</t>
        </is>
      </c>
      <c r="V963" s="11" t="n">
        <v>49</v>
      </c>
      <c r="W963" s="11" t="inlineStr">
        <is>
          <t>是</t>
        </is>
      </c>
      <c r="X963" s="11" t="n">
        <v>48</v>
      </c>
      <c r="Y963" s="11" t="inlineStr">
        <is>
          <t>-</t>
        </is>
      </c>
      <c r="Z963" s="11" t="n">
        <v>0</v>
      </c>
      <c r="AA963" s="11" t="inlineStr">
        <is>
          <t>无</t>
        </is>
      </c>
      <c r="AB963" s="12">
        <f>AE962</f>
        <v/>
      </c>
      <c r="AC963" s="12" t="n">
        <v>0</v>
      </c>
      <c r="AD963" s="12" t="n">
        <v>0</v>
      </c>
      <c r="AE963" s="12">
        <f>AB963+AC963+AD963</f>
        <v/>
      </c>
      <c r="AF963" s="13">
        <f>AI962</f>
        <v/>
      </c>
      <c r="AG963" s="13" t="n">
        <v>0</v>
      </c>
      <c r="AH963" s="13" t="n">
        <v>0</v>
      </c>
      <c r="AI963" s="13">
        <f>AF963+AG963+AH963</f>
        <v/>
      </c>
      <c r="AJ963" s="14" t="n">
        <v>30</v>
      </c>
      <c r="AK963" s="14" t="n">
        <v>0</v>
      </c>
      <c r="AL963" s="14" t="n">
        <v>0</v>
      </c>
      <c r="AM963" s="14">
        <f>AJ963+AK963+AL963</f>
        <v/>
      </c>
      <c r="AN963" s="14">
        <f>AN962+AM963</f>
        <v/>
      </c>
    </row>
    <row r="964">
      <c r="A964" s="8" t="n">
        <v>38</v>
      </c>
      <c r="B964" s="8" t="n">
        <v>1</v>
      </c>
      <c r="C964" s="8" t="n">
        <v>1</v>
      </c>
      <c r="D964" s="8" t="inlineStr">
        <is>
          <t>版本免费+义相逢 + 月卡收益</t>
        </is>
      </c>
      <c r="E964" s="9" t="n">
        <v>25640</v>
      </c>
      <c r="F964" s="9" t="n">
        <v>1540</v>
      </c>
      <c r="G964" s="9" t="n">
        <v>4800</v>
      </c>
      <c r="H964" s="9" t="n">
        <v>0</v>
      </c>
      <c r="I964" s="9" t="n">
        <v>0</v>
      </c>
      <c r="J964" s="9" t="n">
        <v>0</v>
      </c>
      <c r="K964" s="9">
        <f>E964+F964+G964+H964+I964-J964</f>
        <v/>
      </c>
      <c r="L964" s="10" t="n">
        <v>0</v>
      </c>
      <c r="M964" s="10" t="n">
        <v>85</v>
      </c>
      <c r="N964" s="10" t="n">
        <v>6</v>
      </c>
      <c r="O964" s="10">
        <f>J964/160</f>
        <v/>
      </c>
      <c r="P964" s="10" t="n">
        <v>60</v>
      </c>
      <c r="Q964" s="10">
        <f>L964+M964+N964+O964-P964</f>
        <v/>
      </c>
      <c r="R964" s="11" t="n">
        <v>9</v>
      </c>
      <c r="S964" s="11">
        <f>N(V964) + N(X964) + N(Z964)</f>
        <v/>
      </c>
      <c r="T964" s="11">
        <f>R964+P964-S964</f>
        <v/>
      </c>
      <c r="U964" s="11" t="inlineStr">
        <is>
          <t>是</t>
        </is>
      </c>
      <c r="V964" s="11" t="n">
        <v>53</v>
      </c>
      <c r="W964" s="11" t="inlineStr">
        <is>
          <t>否</t>
        </is>
      </c>
      <c r="X964" s="11" t="inlineStr">
        <is>
          <t>-</t>
        </is>
      </c>
      <c r="Y964" s="11" t="inlineStr">
        <is>
          <t>-</t>
        </is>
      </c>
      <c r="Z964" s="11" t="n">
        <v>0</v>
      </c>
      <c r="AA964" s="11" t="inlineStr">
        <is>
          <t>垫到60抽</t>
        </is>
      </c>
      <c r="AB964" s="12" t="n">
        <v>1983</v>
      </c>
      <c r="AC964" s="12" t="n">
        <v>4</v>
      </c>
      <c r="AD964" s="12" t="n">
        <v>0</v>
      </c>
      <c r="AE964" s="12">
        <f>AB964+AC964+AD964</f>
        <v/>
      </c>
      <c r="AF964" s="13" t="n">
        <v>295000</v>
      </c>
      <c r="AG964" s="13" t="n">
        <v>0</v>
      </c>
      <c r="AH964" s="13" t="n">
        <v>0</v>
      </c>
      <c r="AI964" s="13">
        <f>AF964+AG964+AH964</f>
        <v/>
      </c>
      <c r="AJ964" s="14" t="n">
        <v>0</v>
      </c>
      <c r="AK964" s="14" t="n">
        <v>50</v>
      </c>
      <c r="AL964" s="14" t="n">
        <v>0</v>
      </c>
      <c r="AM964" s="14">
        <f>AJ964+AK964+AL964</f>
        <v/>
      </c>
      <c r="AN964" s="14">
        <f>AM964</f>
        <v/>
      </c>
    </row>
    <row r="965">
      <c r="A965" s="8" t="n">
        <v>38</v>
      </c>
      <c r="B965" s="8" t="n">
        <v>1</v>
      </c>
      <c r="C965" s="8" t="n">
        <v>2</v>
      </c>
      <c r="D965" s="8" t="inlineStr">
        <is>
          <t>月卡收益 [月卡续费-30元]</t>
        </is>
      </c>
      <c r="E965" s="9">
        <f>K964</f>
        <v/>
      </c>
      <c r="F965" s="9" t="n">
        <v>1540</v>
      </c>
      <c r="G965" s="9" t="n">
        <v>0</v>
      </c>
      <c r="H965" s="9" t="n">
        <v>0</v>
      </c>
      <c r="I965" s="9" t="n">
        <v>0</v>
      </c>
      <c r="J965" s="9" t="n">
        <v>5280</v>
      </c>
      <c r="K965" s="9">
        <f>E965+F965+G965+H965+I965-J965</f>
        <v/>
      </c>
      <c r="L965" s="10">
        <f>Q964</f>
        <v/>
      </c>
      <c r="M965" s="10" t="n">
        <v>0</v>
      </c>
      <c r="N965" s="10" t="n">
        <v>6</v>
      </c>
      <c r="O965" s="10">
        <f>J965/160</f>
        <v/>
      </c>
      <c r="P965" s="10" t="n">
        <v>70</v>
      </c>
      <c r="Q965" s="10">
        <f>L965+M965+N965+O965-P965</f>
        <v/>
      </c>
      <c r="R965" s="11">
        <f>T964</f>
        <v/>
      </c>
      <c r="S965" s="11">
        <f>N(V965) + N(X965) + N(Z965)</f>
        <v/>
      </c>
      <c r="T965" s="11">
        <f>R965+P965-S965</f>
        <v/>
      </c>
      <c r="U965" s="11" t="inlineStr">
        <is>
          <t>是</t>
        </is>
      </c>
      <c r="V965" s="11" t="n">
        <v>50</v>
      </c>
      <c r="W965" s="11" t="inlineStr">
        <is>
          <t>是</t>
        </is>
      </c>
      <c r="X965" s="11" t="n">
        <v>30</v>
      </c>
      <c r="Y965" s="11" t="inlineStr">
        <is>
          <t>-</t>
        </is>
      </c>
      <c r="Z965" s="11" t="n">
        <v>0</v>
      </c>
      <c r="AA965" s="11" t="inlineStr">
        <is>
          <t>无</t>
        </is>
      </c>
      <c r="AB965" s="12">
        <f>AE964</f>
        <v/>
      </c>
      <c r="AC965" s="12" t="n">
        <v>0</v>
      </c>
      <c r="AD965" s="12" t="n">
        <v>0</v>
      </c>
      <c r="AE965" s="12">
        <f>AB965+AC965+AD965</f>
        <v/>
      </c>
      <c r="AF965" s="13">
        <f>AI964</f>
        <v/>
      </c>
      <c r="AG965" s="13" t="n">
        <v>0</v>
      </c>
      <c r="AH965" s="13" t="n">
        <v>0</v>
      </c>
      <c r="AI965" s="13">
        <f>AF965+AG965+AH965</f>
        <v/>
      </c>
      <c r="AJ965" s="14" t="n">
        <v>30</v>
      </c>
      <c r="AK965" s="14" t="n">
        <v>0</v>
      </c>
      <c r="AL965" s="14" t="n">
        <v>0</v>
      </c>
      <c r="AM965" s="14">
        <f>AJ965+AK965+AL965</f>
        <v/>
      </c>
      <c r="AN965" s="14">
        <f>AN964+AM965</f>
        <v/>
      </c>
    </row>
    <row r="966">
      <c r="A966" s="8" t="n">
        <v>38</v>
      </c>
      <c r="B966" s="8" t="n">
        <v>2</v>
      </c>
      <c r="C966" s="8" t="n">
        <v>1</v>
      </c>
      <c r="D966" s="8" t="inlineStr">
        <is>
          <t>版本免费+义相逢 + 月卡收益</t>
        </is>
      </c>
      <c r="E966" s="9">
        <f>K965</f>
        <v/>
      </c>
      <c r="F966" s="9" t="n">
        <v>1540</v>
      </c>
      <c r="G966" s="9" t="n">
        <v>4800</v>
      </c>
      <c r="H966" s="9" t="n">
        <v>0</v>
      </c>
      <c r="I966" s="9" t="n">
        <v>0</v>
      </c>
      <c r="J966" s="9" t="n">
        <v>0</v>
      </c>
      <c r="K966" s="9">
        <f>E966+F966+G966+H966+I966-J966</f>
        <v/>
      </c>
      <c r="L966" s="10">
        <f>Q965</f>
        <v/>
      </c>
      <c r="M966" s="10" t="n">
        <v>85</v>
      </c>
      <c r="N966" s="10" t="n">
        <v>6</v>
      </c>
      <c r="O966" s="10">
        <f>J966/160</f>
        <v/>
      </c>
      <c r="P966" s="10" t="n">
        <v>60</v>
      </c>
      <c r="Q966" s="10">
        <f>L966+M966+N966+O966-P966</f>
        <v/>
      </c>
      <c r="R966" s="11">
        <f>T965</f>
        <v/>
      </c>
      <c r="S966" s="11">
        <f>N(V966) + N(X966) + N(Z966)</f>
        <v/>
      </c>
      <c r="T966" s="11">
        <f>R966+P966-S966</f>
        <v/>
      </c>
      <c r="U966" s="11" t="inlineStr">
        <is>
          <t>是</t>
        </is>
      </c>
      <c r="V966" s="11" t="n">
        <v>48</v>
      </c>
      <c r="W966" s="11" t="inlineStr">
        <is>
          <t>否</t>
        </is>
      </c>
      <c r="X966" s="11" t="inlineStr">
        <is>
          <t>-</t>
        </is>
      </c>
      <c r="Y966" s="11" t="inlineStr">
        <is>
          <t>-</t>
        </is>
      </c>
      <c r="Z966" s="11" t="n">
        <v>0</v>
      </c>
      <c r="AA966" s="11" t="inlineStr">
        <is>
          <t>垫到60抽</t>
        </is>
      </c>
      <c r="AB966" s="12">
        <f>AE965</f>
        <v/>
      </c>
      <c r="AC966" s="12" t="n">
        <v>4</v>
      </c>
      <c r="AD966" s="12" t="n">
        <v>0</v>
      </c>
      <c r="AE966" s="12">
        <f>AB966+AC966+AD966</f>
        <v/>
      </c>
      <c r="AF966" s="13">
        <f>AI965</f>
        <v/>
      </c>
      <c r="AG966" s="13" t="n">
        <v>0</v>
      </c>
      <c r="AH966" s="13" t="n">
        <v>0</v>
      </c>
      <c r="AI966" s="13">
        <f>AF966+AG966+AH966</f>
        <v/>
      </c>
      <c r="AJ966" s="14" t="n">
        <v>0</v>
      </c>
      <c r="AK966" s="14" t="n">
        <v>50</v>
      </c>
      <c r="AL966" s="14" t="n">
        <v>0</v>
      </c>
      <c r="AM966" s="14">
        <f>AJ966+AK966+AL966</f>
        <v/>
      </c>
      <c r="AN966" s="14">
        <f>AN965+AM966</f>
        <v/>
      </c>
    </row>
    <row r="967">
      <c r="A967" s="8" t="n">
        <v>38</v>
      </c>
      <c r="B967" s="8" t="n">
        <v>2</v>
      </c>
      <c r="C967" s="8" t="n">
        <v>2</v>
      </c>
      <c r="D967" s="8" t="inlineStr">
        <is>
          <t>月卡收益 [月卡续费-30元]</t>
        </is>
      </c>
      <c r="E967" s="9">
        <f>K966</f>
        <v/>
      </c>
      <c r="F967" s="9" t="n">
        <v>1540</v>
      </c>
      <c r="G967" s="9" t="n">
        <v>0</v>
      </c>
      <c r="H967" s="9" t="n">
        <v>0</v>
      </c>
      <c r="I967" s="9" t="n">
        <v>0</v>
      </c>
      <c r="J967" s="9" t="n">
        <v>8480</v>
      </c>
      <c r="K967" s="9">
        <f>E967+F967+G967+H967+I967-J967</f>
        <v/>
      </c>
      <c r="L967" s="10">
        <f>Q966</f>
        <v/>
      </c>
      <c r="M967" s="10" t="n">
        <v>0</v>
      </c>
      <c r="N967" s="10" t="n">
        <v>11</v>
      </c>
      <c r="O967" s="10">
        <f>J967/160</f>
        <v/>
      </c>
      <c r="P967" s="10" t="n">
        <v>90</v>
      </c>
      <c r="Q967" s="10">
        <f>L967+M967+N967+O967-P967</f>
        <v/>
      </c>
      <c r="R967" s="11">
        <f>T966</f>
        <v/>
      </c>
      <c r="S967" s="11">
        <f>N(V967) + N(X967) + N(Z967)</f>
        <v/>
      </c>
      <c r="T967" s="11">
        <f>R967+P967-S967</f>
        <v/>
      </c>
      <c r="U967" s="11" t="inlineStr">
        <is>
          <t>是</t>
        </is>
      </c>
      <c r="V967" s="11" t="n">
        <v>48</v>
      </c>
      <c r="W967" s="11" t="inlineStr">
        <is>
          <t>是</t>
        </is>
      </c>
      <c r="X967" s="11" t="n">
        <v>48</v>
      </c>
      <c r="Y967" s="11" t="inlineStr">
        <is>
          <t>-</t>
        </is>
      </c>
      <c r="Z967" s="11" t="n">
        <v>0</v>
      </c>
      <c r="AA967" s="11" t="inlineStr">
        <is>
          <t>垫到90抽</t>
        </is>
      </c>
      <c r="AB967" s="12">
        <f>AE966</f>
        <v/>
      </c>
      <c r="AC967" s="12" t="n">
        <v>0</v>
      </c>
      <c r="AD967" s="12" t="n">
        <v>0</v>
      </c>
      <c r="AE967" s="12">
        <f>AB967+AC967+AD967</f>
        <v/>
      </c>
      <c r="AF967" s="13">
        <f>AI966</f>
        <v/>
      </c>
      <c r="AG967" s="13" t="n">
        <v>0</v>
      </c>
      <c r="AH967" s="13" t="n">
        <v>0</v>
      </c>
      <c r="AI967" s="13">
        <f>AF967+AG967+AH967</f>
        <v/>
      </c>
      <c r="AJ967" s="14" t="n">
        <v>30</v>
      </c>
      <c r="AK967" s="14" t="n">
        <v>0</v>
      </c>
      <c r="AL967" s="14" t="n">
        <v>0</v>
      </c>
      <c r="AM967" s="14">
        <f>AJ967+AK967+AL967</f>
        <v/>
      </c>
      <c r="AN967" s="14">
        <f>AN966+AM967</f>
        <v/>
      </c>
    </row>
    <row r="968">
      <c r="A968" s="8" t="n">
        <v>38</v>
      </c>
      <c r="B968" s="8" t="n">
        <v>3</v>
      </c>
      <c r="C968" s="8" t="n">
        <v>1</v>
      </c>
      <c r="D968" s="8" t="inlineStr">
        <is>
          <t>版本免费+义相逢 + 月卡收益</t>
        </is>
      </c>
      <c r="E968" s="9">
        <f>K967</f>
        <v/>
      </c>
      <c r="F968" s="9" t="n">
        <v>1540</v>
      </c>
      <c r="G968" s="9" t="n">
        <v>4800</v>
      </c>
      <c r="H968" s="9" t="n">
        <v>0</v>
      </c>
      <c r="I968" s="9" t="n">
        <v>0</v>
      </c>
      <c r="J968" s="9" t="n">
        <v>0</v>
      </c>
      <c r="K968" s="9">
        <f>E968+F968+G968+H968+I968-J968</f>
        <v/>
      </c>
      <c r="L968" s="10">
        <f>Q967</f>
        <v/>
      </c>
      <c r="M968" s="10" t="n">
        <v>85</v>
      </c>
      <c r="N968" s="10" t="n">
        <v>11</v>
      </c>
      <c r="O968" s="10">
        <f>J968/160</f>
        <v/>
      </c>
      <c r="P968" s="10" t="n">
        <v>90</v>
      </c>
      <c r="Q968" s="10">
        <f>L968+M968+N968+O968-P968</f>
        <v/>
      </c>
      <c r="R968" s="11">
        <f>T967</f>
        <v/>
      </c>
      <c r="S968" s="11">
        <f>N(V968) + N(X968) + N(Z968)</f>
        <v/>
      </c>
      <c r="T968" s="11">
        <f>R968+P968-S968</f>
        <v/>
      </c>
      <c r="U968" s="11" t="inlineStr">
        <is>
          <t>是</t>
        </is>
      </c>
      <c r="V968" s="11" t="n">
        <v>48</v>
      </c>
      <c r="W968" s="11" t="inlineStr">
        <is>
          <t>是</t>
        </is>
      </c>
      <c r="X968" s="11" t="n">
        <v>50</v>
      </c>
      <c r="Y968" s="11" t="inlineStr">
        <is>
          <t>-</t>
        </is>
      </c>
      <c r="Z968" s="11" t="n">
        <v>0</v>
      </c>
      <c r="AA968" s="11" t="inlineStr">
        <is>
          <t>无</t>
        </is>
      </c>
      <c r="AB968" s="12">
        <f>AE967</f>
        <v/>
      </c>
      <c r="AC968" s="12" t="n">
        <v>4</v>
      </c>
      <c r="AD968" s="12" t="n">
        <v>0</v>
      </c>
      <c r="AE968" s="12">
        <f>AB968+AC968+AD968</f>
        <v/>
      </c>
      <c r="AF968" s="13">
        <f>AI967</f>
        <v/>
      </c>
      <c r="AG968" s="13" t="n">
        <v>0</v>
      </c>
      <c r="AH968" s="13" t="n">
        <v>0</v>
      </c>
      <c r="AI968" s="13">
        <f>AF968+AG968+AH968</f>
        <v/>
      </c>
      <c r="AJ968" s="14" t="n">
        <v>0</v>
      </c>
      <c r="AK968" s="14" t="n">
        <v>50</v>
      </c>
      <c r="AL968" s="14" t="n">
        <v>0</v>
      </c>
      <c r="AM968" s="14">
        <f>AJ968+AK968+AL968</f>
        <v/>
      </c>
      <c r="AN968" s="14">
        <f>AN967+AM968</f>
        <v/>
      </c>
    </row>
    <row r="969">
      <c r="A969" s="8" t="n">
        <v>38</v>
      </c>
      <c r="B969" s="8" t="n">
        <v>3</v>
      </c>
      <c r="C969" s="8" t="n">
        <v>2</v>
      </c>
      <c r="D969" s="8" t="inlineStr">
        <is>
          <t>月卡收益 [月卡续费-30元]</t>
        </is>
      </c>
      <c r="E969" s="9">
        <f>K968</f>
        <v/>
      </c>
      <c r="F969" s="9" t="n">
        <v>1540</v>
      </c>
      <c r="G969" s="9" t="n">
        <v>0</v>
      </c>
      <c r="H969" s="9" t="n">
        <v>0</v>
      </c>
      <c r="I969" s="9" t="n">
        <v>0</v>
      </c>
      <c r="J969" s="9" t="n">
        <v>12480</v>
      </c>
      <c r="K969" s="9">
        <f>E969+F969+G969+H969+I969-J969</f>
        <v/>
      </c>
      <c r="L969" s="10">
        <f>Q968</f>
        <v/>
      </c>
      <c r="M969" s="10" t="n">
        <v>0</v>
      </c>
      <c r="N969" s="10" t="n">
        <v>11</v>
      </c>
      <c r="O969" s="10">
        <f>J969/160</f>
        <v/>
      </c>
      <c r="P969" s="10" t="n">
        <v>100</v>
      </c>
      <c r="Q969" s="10">
        <f>L969+M969+N969+O969-P969</f>
        <v/>
      </c>
      <c r="R969" s="11">
        <f>T968</f>
        <v/>
      </c>
      <c r="S969" s="11">
        <f>N(V969) + N(X969) + N(Z969)</f>
        <v/>
      </c>
      <c r="T969" s="11">
        <f>R969+P969-S969</f>
        <v/>
      </c>
      <c r="U969" s="11" t="inlineStr">
        <is>
          <t>是</t>
        </is>
      </c>
      <c r="V969" s="11" t="n">
        <v>51</v>
      </c>
      <c r="W969" s="11" t="inlineStr">
        <is>
          <t>是</t>
        </is>
      </c>
      <c r="X969" s="11" t="n">
        <v>52</v>
      </c>
      <c r="Y969" s="11" t="inlineStr">
        <is>
          <t>-</t>
        </is>
      </c>
      <c r="Z969" s="11" t="n">
        <v>0</v>
      </c>
      <c r="AA969" s="11" t="inlineStr">
        <is>
          <t>无</t>
        </is>
      </c>
      <c r="AB969" s="12">
        <f>AE968</f>
        <v/>
      </c>
      <c r="AC969" s="12" t="n">
        <v>0</v>
      </c>
      <c r="AD969" s="12" t="n">
        <v>0</v>
      </c>
      <c r="AE969" s="12">
        <f>AB969+AC969+AD969</f>
        <v/>
      </c>
      <c r="AF969" s="13">
        <f>AI968</f>
        <v/>
      </c>
      <c r="AG969" s="13" t="n">
        <v>0</v>
      </c>
      <c r="AH969" s="13" t="n">
        <v>0</v>
      </c>
      <c r="AI969" s="13">
        <f>AF969+AG969+AH969</f>
        <v/>
      </c>
      <c r="AJ969" s="14" t="n">
        <v>30</v>
      </c>
      <c r="AK969" s="14" t="n">
        <v>0</v>
      </c>
      <c r="AL969" s="14" t="n">
        <v>0</v>
      </c>
      <c r="AM969" s="14">
        <f>AJ969+AK969+AL969</f>
        <v/>
      </c>
      <c r="AN969" s="14">
        <f>AN968+AM969</f>
        <v/>
      </c>
    </row>
    <row r="970">
      <c r="A970" s="8" t="n">
        <v>38</v>
      </c>
      <c r="B970" s="8" t="n">
        <v>4</v>
      </c>
      <c r="C970" s="8" t="n">
        <v>1</v>
      </c>
      <c r="D970" s="8" t="inlineStr">
        <is>
          <t>版本免费+义相逢 + 月卡收益</t>
        </is>
      </c>
      <c r="E970" s="9">
        <f>K969</f>
        <v/>
      </c>
      <c r="F970" s="9" t="n">
        <v>1540</v>
      </c>
      <c r="G970" s="9" t="n">
        <v>4800</v>
      </c>
      <c r="H970" s="9" t="n">
        <v>0</v>
      </c>
      <c r="I970" s="9" t="n">
        <v>0</v>
      </c>
      <c r="J970" s="9" t="n">
        <v>0</v>
      </c>
      <c r="K970" s="9">
        <f>E970+F970+G970+H970+I970-J970</f>
        <v/>
      </c>
      <c r="L970" s="10">
        <f>Q969</f>
        <v/>
      </c>
      <c r="M970" s="10" t="n">
        <v>85</v>
      </c>
      <c r="N970" s="10" t="n">
        <v>6</v>
      </c>
      <c r="O970" s="10">
        <f>J970/160</f>
        <v/>
      </c>
      <c r="P970" s="10" t="n">
        <v>60</v>
      </c>
      <c r="Q970" s="10">
        <f>L970+M970+N970+O970-P970</f>
        <v/>
      </c>
      <c r="R970" s="11">
        <f>T969</f>
        <v/>
      </c>
      <c r="S970" s="11">
        <f>N(V970) + N(X970) + N(Z970)</f>
        <v/>
      </c>
      <c r="T970" s="11">
        <f>R970+P970-S970</f>
        <v/>
      </c>
      <c r="U970" s="11" t="inlineStr">
        <is>
          <t>是</t>
        </is>
      </c>
      <c r="V970" s="11" t="n">
        <v>49</v>
      </c>
      <c r="W970" s="11" t="inlineStr">
        <is>
          <t>否</t>
        </is>
      </c>
      <c r="X970" s="11" t="inlineStr">
        <is>
          <t>-</t>
        </is>
      </c>
      <c r="Y970" s="11" t="inlineStr">
        <is>
          <t>-</t>
        </is>
      </c>
      <c r="Z970" s="11" t="n">
        <v>0</v>
      </c>
      <c r="AA970" s="11" t="inlineStr">
        <is>
          <t>垫到60抽</t>
        </is>
      </c>
      <c r="AB970" s="12">
        <f>AE969</f>
        <v/>
      </c>
      <c r="AC970" s="12" t="n">
        <v>4</v>
      </c>
      <c r="AD970" s="12" t="n">
        <v>0</v>
      </c>
      <c r="AE970" s="12">
        <f>AB970+AC970+AD970</f>
        <v/>
      </c>
      <c r="AF970" s="13">
        <f>AI969</f>
        <v/>
      </c>
      <c r="AG970" s="13" t="n">
        <v>0</v>
      </c>
      <c r="AH970" s="13" t="n">
        <v>0</v>
      </c>
      <c r="AI970" s="13">
        <f>AF970+AG970+AH970</f>
        <v/>
      </c>
      <c r="AJ970" s="14" t="n">
        <v>0</v>
      </c>
      <c r="AK970" s="14" t="n">
        <v>50</v>
      </c>
      <c r="AL970" s="14" t="n">
        <v>0</v>
      </c>
      <c r="AM970" s="14">
        <f>AJ970+AK970+AL970</f>
        <v/>
      </c>
      <c r="AN970" s="14">
        <f>AN969+AM970</f>
        <v/>
      </c>
    </row>
    <row r="971">
      <c r="A971" s="8" t="n">
        <v>38</v>
      </c>
      <c r="B971" s="8" t="n">
        <v>4</v>
      </c>
      <c r="C971" s="8" t="n">
        <v>2</v>
      </c>
      <c r="D971" s="8" t="inlineStr">
        <is>
          <t>月卡收益 [月卡续费-30元]</t>
        </is>
      </c>
      <c r="E971" s="9">
        <f>K970</f>
        <v/>
      </c>
      <c r="F971" s="9" t="n">
        <v>1540</v>
      </c>
      <c r="G971" s="9" t="n">
        <v>0</v>
      </c>
      <c r="H971" s="9" t="n">
        <v>0</v>
      </c>
      <c r="I971" s="9" t="n">
        <v>0</v>
      </c>
      <c r="J971" s="9" t="n">
        <v>8480</v>
      </c>
      <c r="K971" s="9">
        <f>E971+F971+G971+H971+I971-J971</f>
        <v/>
      </c>
      <c r="L971" s="10">
        <f>Q970</f>
        <v/>
      </c>
      <c r="M971" s="10" t="n">
        <v>0</v>
      </c>
      <c r="N971" s="10" t="n">
        <v>11</v>
      </c>
      <c r="O971" s="10">
        <f>J971/160</f>
        <v/>
      </c>
      <c r="P971" s="10" t="n">
        <v>90</v>
      </c>
      <c r="Q971" s="10">
        <f>L971+M971+N971+O971-P971</f>
        <v/>
      </c>
      <c r="R971" s="11">
        <f>T970</f>
        <v/>
      </c>
      <c r="S971" s="11">
        <f>N(V971) + N(X971) + N(Z971)</f>
        <v/>
      </c>
      <c r="T971" s="11">
        <f>R971+P971-S971</f>
        <v/>
      </c>
      <c r="U971" s="11" t="inlineStr">
        <is>
          <t>是</t>
        </is>
      </c>
      <c r="V971" s="11" t="n">
        <v>47</v>
      </c>
      <c r="W971" s="11" t="inlineStr">
        <is>
          <t>是</t>
        </is>
      </c>
      <c r="X971" s="11" t="n">
        <v>47</v>
      </c>
      <c r="Y971" s="11" t="inlineStr">
        <is>
          <t>-</t>
        </is>
      </c>
      <c r="Z971" s="11" t="n">
        <v>0</v>
      </c>
      <c r="AA971" s="11" t="inlineStr">
        <is>
          <t>无</t>
        </is>
      </c>
      <c r="AB971" s="12">
        <f>AE970</f>
        <v/>
      </c>
      <c r="AC971" s="12" t="n">
        <v>0</v>
      </c>
      <c r="AD971" s="12" t="n">
        <v>0</v>
      </c>
      <c r="AE971" s="12">
        <f>AB971+AC971+AD971</f>
        <v/>
      </c>
      <c r="AF971" s="13">
        <f>AI970</f>
        <v/>
      </c>
      <c r="AG971" s="13" t="n">
        <v>0</v>
      </c>
      <c r="AH971" s="13" t="n">
        <v>0</v>
      </c>
      <c r="AI971" s="13">
        <f>AF971+AG971+AH971</f>
        <v/>
      </c>
      <c r="AJ971" s="14" t="n">
        <v>30</v>
      </c>
      <c r="AK971" s="14" t="n">
        <v>0</v>
      </c>
      <c r="AL971" s="14" t="n">
        <v>0</v>
      </c>
      <c r="AM971" s="14">
        <f>AJ971+AK971+AL971</f>
        <v/>
      </c>
      <c r="AN971" s="14">
        <f>AN970+AM971</f>
        <v/>
      </c>
    </row>
    <row r="972">
      <c r="A972" s="8" t="n">
        <v>38</v>
      </c>
      <c r="B972" s="8" t="n">
        <v>5</v>
      </c>
      <c r="C972" s="8" t="n">
        <v>1</v>
      </c>
      <c r="D972" s="8" t="inlineStr">
        <is>
          <t>版本免费+义相逢 + 月卡收益</t>
        </is>
      </c>
      <c r="E972" s="9">
        <f>K971</f>
        <v/>
      </c>
      <c r="F972" s="9" t="n">
        <v>1540</v>
      </c>
      <c r="G972" s="9" t="n">
        <v>4800</v>
      </c>
      <c r="H972" s="9" t="n">
        <v>0</v>
      </c>
      <c r="I972" s="9" t="n">
        <v>0</v>
      </c>
      <c r="J972" s="9" t="n">
        <v>0</v>
      </c>
      <c r="K972" s="9">
        <f>E972+F972+G972+H972+I972-J972</f>
        <v/>
      </c>
      <c r="L972" s="10">
        <f>Q971</f>
        <v/>
      </c>
      <c r="M972" s="10" t="n">
        <v>85</v>
      </c>
      <c r="N972" s="10" t="n">
        <v>11</v>
      </c>
      <c r="O972" s="10">
        <f>J972/160</f>
        <v/>
      </c>
      <c r="P972" s="10" t="n">
        <v>100</v>
      </c>
      <c r="Q972" s="10">
        <f>L972+M972+N972+O972-P972</f>
        <v/>
      </c>
      <c r="R972" s="11">
        <f>T971</f>
        <v/>
      </c>
      <c r="S972" s="11">
        <f>N(V972) + N(X972) + N(Z972)</f>
        <v/>
      </c>
      <c r="T972" s="11">
        <f>R972+P972-S972</f>
        <v/>
      </c>
      <c r="U972" s="11" t="inlineStr">
        <is>
          <t>是</t>
        </is>
      </c>
      <c r="V972" s="11" t="n">
        <v>49</v>
      </c>
      <c r="W972" s="11" t="inlineStr">
        <is>
          <t>是</t>
        </is>
      </c>
      <c r="X972" s="11" t="n">
        <v>52</v>
      </c>
      <c r="Y972" s="11" t="inlineStr">
        <is>
          <t>-</t>
        </is>
      </c>
      <c r="Z972" s="11" t="n">
        <v>0</v>
      </c>
      <c r="AA972" s="11" t="inlineStr">
        <is>
          <t>无</t>
        </is>
      </c>
      <c r="AB972" s="12">
        <f>AE971</f>
        <v/>
      </c>
      <c r="AC972" s="12" t="n">
        <v>4</v>
      </c>
      <c r="AD972" s="12" t="n">
        <v>0</v>
      </c>
      <c r="AE972" s="12">
        <f>AB972+AC972+AD972</f>
        <v/>
      </c>
      <c r="AF972" s="13">
        <f>AI971</f>
        <v/>
      </c>
      <c r="AG972" s="13" t="n">
        <v>0</v>
      </c>
      <c r="AH972" s="13" t="n">
        <v>0</v>
      </c>
      <c r="AI972" s="13">
        <f>AF972+AG972+AH972</f>
        <v/>
      </c>
      <c r="AJ972" s="14" t="n">
        <v>0</v>
      </c>
      <c r="AK972" s="14" t="n">
        <v>50</v>
      </c>
      <c r="AL972" s="14" t="n">
        <v>0</v>
      </c>
      <c r="AM972" s="14">
        <f>AJ972+AK972+AL972</f>
        <v/>
      </c>
      <c r="AN972" s="14">
        <f>AN971+AM972</f>
        <v/>
      </c>
    </row>
    <row r="973">
      <c r="A973" s="8" t="n">
        <v>38</v>
      </c>
      <c r="B973" s="8" t="n">
        <v>5</v>
      </c>
      <c r="C973" s="8" t="n">
        <v>2</v>
      </c>
      <c r="D973" s="8" t="inlineStr">
        <is>
          <t>月卡收益 [月卡续费-30元]</t>
        </is>
      </c>
      <c r="E973" s="9">
        <f>K972</f>
        <v/>
      </c>
      <c r="F973" s="9" t="n">
        <v>1540</v>
      </c>
      <c r="G973" s="9" t="n">
        <v>0</v>
      </c>
      <c r="H973" s="9" t="n">
        <v>0</v>
      </c>
      <c r="I973" s="9" t="n">
        <v>0</v>
      </c>
      <c r="J973" s="9" t="n">
        <v>14080</v>
      </c>
      <c r="K973" s="9">
        <f>E973+F973+G973+H973+I973-J973</f>
        <v/>
      </c>
      <c r="L973" s="10">
        <f>Q972</f>
        <v/>
      </c>
      <c r="M973" s="10" t="n">
        <v>0</v>
      </c>
      <c r="N973" s="10" t="n">
        <v>11</v>
      </c>
      <c r="O973" s="10">
        <f>J973/160</f>
        <v/>
      </c>
      <c r="P973" s="10" t="n">
        <v>100</v>
      </c>
      <c r="Q973" s="10">
        <f>L973+M973+N973+O973-P973</f>
        <v/>
      </c>
      <c r="R973" s="11">
        <f>T972</f>
        <v/>
      </c>
      <c r="S973" s="11">
        <f>N(V973) + N(X973) + N(Z973)</f>
        <v/>
      </c>
      <c r="T973" s="11">
        <f>R973+P973-S973</f>
        <v/>
      </c>
      <c r="U973" s="11" t="inlineStr">
        <is>
          <t>是</t>
        </is>
      </c>
      <c r="V973" s="11" t="n">
        <v>51</v>
      </c>
      <c r="W973" s="11" t="inlineStr">
        <is>
          <t>是</t>
        </is>
      </c>
      <c r="X973" s="11" t="n">
        <v>49</v>
      </c>
      <c r="Y973" s="11" t="inlineStr">
        <is>
          <t>-</t>
        </is>
      </c>
      <c r="Z973" s="11" t="n">
        <v>0</v>
      </c>
      <c r="AA973" s="11" t="inlineStr">
        <is>
          <t>无</t>
        </is>
      </c>
      <c r="AB973" s="12">
        <f>AE972</f>
        <v/>
      </c>
      <c r="AC973" s="12" t="n">
        <v>0</v>
      </c>
      <c r="AD973" s="12" t="n">
        <v>0</v>
      </c>
      <c r="AE973" s="12">
        <f>AB973+AC973+AD973</f>
        <v/>
      </c>
      <c r="AF973" s="13">
        <f>AI972</f>
        <v/>
      </c>
      <c r="AG973" s="13" t="n">
        <v>0</v>
      </c>
      <c r="AH973" s="13" t="n">
        <v>0</v>
      </c>
      <c r="AI973" s="13">
        <f>AF973+AG973+AH973</f>
        <v/>
      </c>
      <c r="AJ973" s="14" t="n">
        <v>30</v>
      </c>
      <c r="AK973" s="14" t="n">
        <v>0</v>
      </c>
      <c r="AL973" s="14" t="n">
        <v>0</v>
      </c>
      <c r="AM973" s="14">
        <f>AJ973+AK973+AL973</f>
        <v/>
      </c>
      <c r="AN973" s="14">
        <f>AN972+AM973</f>
        <v/>
      </c>
    </row>
    <row r="974">
      <c r="A974" s="8" t="n">
        <v>38</v>
      </c>
      <c r="B974" s="8" t="n">
        <v>6</v>
      </c>
      <c r="C974" s="8" t="n">
        <v>1</v>
      </c>
      <c r="D974" s="8" t="inlineStr">
        <is>
          <t>版本免费+义相逢 + 月卡收益</t>
        </is>
      </c>
      <c r="E974" s="9">
        <f>K973</f>
        <v/>
      </c>
      <c r="F974" s="9" t="n">
        <v>1540</v>
      </c>
      <c r="G974" s="9" t="n">
        <v>4800</v>
      </c>
      <c r="H974" s="9" t="n">
        <v>0</v>
      </c>
      <c r="I974" s="9" t="n">
        <v>0</v>
      </c>
      <c r="J974" s="9" t="n">
        <v>0</v>
      </c>
      <c r="K974" s="9">
        <f>E974+F974+G974+H974+I974-J974</f>
        <v/>
      </c>
      <c r="L974" s="10">
        <f>Q973</f>
        <v/>
      </c>
      <c r="M974" s="10" t="n">
        <v>85</v>
      </c>
      <c r="N974" s="10" t="n">
        <v>6</v>
      </c>
      <c r="O974" s="10">
        <f>J974/160</f>
        <v/>
      </c>
      <c r="P974" s="10" t="n">
        <v>60</v>
      </c>
      <c r="Q974" s="10">
        <f>L974+M974+N974+O974-P974</f>
        <v/>
      </c>
      <c r="R974" s="11">
        <f>T973</f>
        <v/>
      </c>
      <c r="S974" s="11">
        <f>N(V974) + N(X974) + N(Z974)</f>
        <v/>
      </c>
      <c r="T974" s="11">
        <f>R974+P974-S974</f>
        <v/>
      </c>
      <c r="U974" s="11" t="inlineStr">
        <is>
          <t>是</t>
        </is>
      </c>
      <c r="V974" s="11" t="n">
        <v>50</v>
      </c>
      <c r="W974" s="11" t="inlineStr">
        <is>
          <t>否</t>
        </is>
      </c>
      <c r="X974" s="11" t="inlineStr">
        <is>
          <t>-</t>
        </is>
      </c>
      <c r="Y974" s="11" t="inlineStr">
        <is>
          <t>-</t>
        </is>
      </c>
      <c r="Z974" s="11" t="n">
        <v>0</v>
      </c>
      <c r="AA974" s="11" t="inlineStr">
        <is>
          <t>垫到60抽</t>
        </is>
      </c>
      <c r="AB974" s="12">
        <f>AE973</f>
        <v/>
      </c>
      <c r="AC974" s="12" t="n">
        <v>4</v>
      </c>
      <c r="AD974" s="12" t="n">
        <v>0</v>
      </c>
      <c r="AE974" s="12">
        <f>AB974+AC974+AD974</f>
        <v/>
      </c>
      <c r="AF974" s="13">
        <f>AI973</f>
        <v/>
      </c>
      <c r="AG974" s="13" t="n">
        <v>0</v>
      </c>
      <c r="AH974" s="13" t="n">
        <v>0</v>
      </c>
      <c r="AI974" s="13">
        <f>AF974+AG974+AH974</f>
        <v/>
      </c>
      <c r="AJ974" s="14" t="n">
        <v>0</v>
      </c>
      <c r="AK974" s="14" t="n">
        <v>50</v>
      </c>
      <c r="AL974" s="14" t="n">
        <v>0</v>
      </c>
      <c r="AM974" s="14">
        <f>AJ974+AK974+AL974</f>
        <v/>
      </c>
      <c r="AN974" s="14">
        <f>AN973+AM974</f>
        <v/>
      </c>
    </row>
    <row r="975">
      <c r="A975" s="8" t="n">
        <v>38</v>
      </c>
      <c r="B975" s="8" t="n">
        <v>6</v>
      </c>
      <c r="C975" s="8" t="n">
        <v>2</v>
      </c>
      <c r="D975" s="8" t="inlineStr">
        <is>
          <t>月卡收益 [月卡续费-30元]</t>
        </is>
      </c>
      <c r="E975" s="9">
        <f>K974</f>
        <v/>
      </c>
      <c r="F975" s="9" t="n">
        <v>1540</v>
      </c>
      <c r="G975" s="9" t="n">
        <v>0</v>
      </c>
      <c r="H975" s="9" t="n">
        <v>0</v>
      </c>
      <c r="I975" s="9" t="n">
        <v>0</v>
      </c>
      <c r="J975" s="9" t="n">
        <v>8480</v>
      </c>
      <c r="K975" s="9">
        <f>E975+F975+G975+H975+I975-J975</f>
        <v/>
      </c>
      <c r="L975" s="10">
        <f>Q974</f>
        <v/>
      </c>
      <c r="M975" s="10" t="n">
        <v>0</v>
      </c>
      <c r="N975" s="10" t="n">
        <v>11</v>
      </c>
      <c r="O975" s="10">
        <f>J975/160</f>
        <v/>
      </c>
      <c r="P975" s="10" t="n">
        <v>90</v>
      </c>
      <c r="Q975" s="10">
        <f>L975+M975+N975+O975-P975</f>
        <v/>
      </c>
      <c r="R975" s="11">
        <f>T974</f>
        <v/>
      </c>
      <c r="S975" s="11">
        <f>N(V975) + N(X975) + N(Z975)</f>
        <v/>
      </c>
      <c r="T975" s="11">
        <f>R975+P975-S975</f>
        <v/>
      </c>
      <c r="U975" s="11" t="inlineStr">
        <is>
          <t>是</t>
        </is>
      </c>
      <c r="V975" s="11" t="n">
        <v>47</v>
      </c>
      <c r="W975" s="11" t="inlineStr">
        <is>
          <t>是</t>
        </is>
      </c>
      <c r="X975" s="11" t="n">
        <v>46</v>
      </c>
      <c r="Y975" s="11" t="inlineStr">
        <is>
          <t>-</t>
        </is>
      </c>
      <c r="Z975" s="11" t="n">
        <v>0</v>
      </c>
      <c r="AA975" s="11" t="inlineStr">
        <is>
          <t>垫到90抽</t>
        </is>
      </c>
      <c r="AB975" s="12">
        <f>AE974</f>
        <v/>
      </c>
      <c r="AC975" s="12" t="n">
        <v>0</v>
      </c>
      <c r="AD975" s="12" t="n">
        <v>0</v>
      </c>
      <c r="AE975" s="12">
        <f>AB975+AC975+AD975</f>
        <v/>
      </c>
      <c r="AF975" s="13">
        <f>AI974</f>
        <v/>
      </c>
      <c r="AG975" s="13" t="n">
        <v>0</v>
      </c>
      <c r="AH975" s="13" t="n">
        <v>0</v>
      </c>
      <c r="AI975" s="13">
        <f>AF975+AG975+AH975</f>
        <v/>
      </c>
      <c r="AJ975" s="14" t="n">
        <v>30</v>
      </c>
      <c r="AK975" s="14" t="n">
        <v>0</v>
      </c>
      <c r="AL975" s="14" t="n">
        <v>0</v>
      </c>
      <c r="AM975" s="14">
        <f>AJ975+AK975+AL975</f>
        <v/>
      </c>
      <c r="AN975" s="14">
        <f>AN974+AM975</f>
        <v/>
      </c>
    </row>
    <row r="976">
      <c r="A976" s="8" t="n">
        <v>38</v>
      </c>
      <c r="B976" s="8" t="n">
        <v>7</v>
      </c>
      <c r="C976" s="8" t="n">
        <v>1</v>
      </c>
      <c r="D976" s="8" t="inlineStr">
        <is>
          <t>版本免费+义相逢 + 月卡收益</t>
        </is>
      </c>
      <c r="E976" s="9">
        <f>K975</f>
        <v/>
      </c>
      <c r="F976" s="9" t="n">
        <v>1540</v>
      </c>
      <c r="G976" s="9" t="n">
        <v>4800</v>
      </c>
      <c r="H976" s="9" t="n">
        <v>0</v>
      </c>
      <c r="I976" s="9" t="n">
        <v>0</v>
      </c>
      <c r="J976" s="9" t="n">
        <v>0</v>
      </c>
      <c r="K976" s="9">
        <f>E976+F976+G976+H976+I976-J976</f>
        <v/>
      </c>
      <c r="L976" s="10">
        <f>Q975</f>
        <v/>
      </c>
      <c r="M976" s="10" t="n">
        <v>85</v>
      </c>
      <c r="N976" s="10" t="n">
        <v>11</v>
      </c>
      <c r="O976" s="10">
        <f>J976/160</f>
        <v/>
      </c>
      <c r="P976" s="10" t="n">
        <v>90</v>
      </c>
      <c r="Q976" s="10">
        <f>L976+M976+N976+O976-P976</f>
        <v/>
      </c>
      <c r="R976" s="11">
        <f>T975</f>
        <v/>
      </c>
      <c r="S976" s="11">
        <f>N(V976) + N(X976) + N(Z976)</f>
        <v/>
      </c>
      <c r="T976" s="11">
        <f>R976+P976-S976</f>
        <v/>
      </c>
      <c r="U976" s="11" t="inlineStr">
        <is>
          <t>是</t>
        </is>
      </c>
      <c r="V976" s="11" t="n">
        <v>50</v>
      </c>
      <c r="W976" s="11" t="inlineStr">
        <is>
          <t>是</t>
        </is>
      </c>
      <c r="X976" s="11" t="n">
        <v>47</v>
      </c>
      <c r="Y976" s="11" t="inlineStr">
        <is>
          <t>-</t>
        </is>
      </c>
      <c r="Z976" s="11" t="n">
        <v>0</v>
      </c>
      <c r="AA976" s="11" t="inlineStr">
        <is>
          <t>无</t>
        </is>
      </c>
      <c r="AB976" s="12">
        <f>AE975</f>
        <v/>
      </c>
      <c r="AC976" s="12" t="n">
        <v>4</v>
      </c>
      <c r="AD976" s="12" t="n">
        <v>0</v>
      </c>
      <c r="AE976" s="12">
        <f>AB976+AC976+AD976</f>
        <v/>
      </c>
      <c r="AF976" s="13">
        <f>AI975</f>
        <v/>
      </c>
      <c r="AG976" s="13" t="n">
        <v>0</v>
      </c>
      <c r="AH976" s="13" t="n">
        <v>0</v>
      </c>
      <c r="AI976" s="13">
        <f>AF976+AG976+AH976</f>
        <v/>
      </c>
      <c r="AJ976" s="14" t="n">
        <v>0</v>
      </c>
      <c r="AK976" s="14" t="n">
        <v>50</v>
      </c>
      <c r="AL976" s="14" t="n">
        <v>0</v>
      </c>
      <c r="AM976" s="14">
        <f>AJ976+AK976+AL976</f>
        <v/>
      </c>
      <c r="AN976" s="14">
        <f>AN975+AM976</f>
        <v/>
      </c>
    </row>
    <row r="977">
      <c r="A977" s="8" t="n">
        <v>38</v>
      </c>
      <c r="B977" s="8" t="n">
        <v>7</v>
      </c>
      <c r="C977" s="8" t="n">
        <v>2</v>
      </c>
      <c r="D977" s="8" t="inlineStr">
        <is>
          <t>月卡收益</t>
        </is>
      </c>
      <c r="E977" s="9">
        <f>K976</f>
        <v/>
      </c>
      <c r="F977" s="9" t="n">
        <v>1540</v>
      </c>
      <c r="G977" s="9" t="n">
        <v>0</v>
      </c>
      <c r="H977" s="9" t="n">
        <v>0</v>
      </c>
      <c r="I977" s="9" t="n">
        <v>0</v>
      </c>
      <c r="J977" s="9" t="n">
        <v>12480</v>
      </c>
      <c r="K977" s="9">
        <f>E977+F977+G977+H977+I977-J977</f>
        <v/>
      </c>
      <c r="L977" s="10">
        <f>Q976</f>
        <v/>
      </c>
      <c r="M977" s="10" t="n">
        <v>0</v>
      </c>
      <c r="N977" s="10" t="n">
        <v>11</v>
      </c>
      <c r="O977" s="10">
        <f>J977/160</f>
        <v/>
      </c>
      <c r="P977" s="10" t="n">
        <v>100</v>
      </c>
      <c r="Q977" s="10">
        <f>L977+M977+N977+O977-P977</f>
        <v/>
      </c>
      <c r="R977" s="11">
        <f>T976</f>
        <v/>
      </c>
      <c r="S977" s="11">
        <f>N(V977) + N(X977) + N(Z977)</f>
        <v/>
      </c>
      <c r="T977" s="11">
        <f>R977+P977-S977</f>
        <v/>
      </c>
      <c r="U977" s="11" t="inlineStr">
        <is>
          <t>是</t>
        </is>
      </c>
      <c r="V977" s="11" t="n">
        <v>47</v>
      </c>
      <c r="W977" s="11" t="inlineStr">
        <is>
          <t>是</t>
        </is>
      </c>
      <c r="X977" s="11" t="n">
        <v>51</v>
      </c>
      <c r="Y977" s="11" t="inlineStr">
        <is>
          <t>-</t>
        </is>
      </c>
      <c r="Z977" s="11" t="n">
        <v>0</v>
      </c>
      <c r="AA977" s="11" t="inlineStr">
        <is>
          <t>无</t>
        </is>
      </c>
      <c r="AB977" s="12">
        <f>AE976</f>
        <v/>
      </c>
      <c r="AC977" s="12" t="n">
        <v>0</v>
      </c>
      <c r="AD977" s="12" t="n">
        <v>0</v>
      </c>
      <c r="AE977" s="12">
        <f>AB977+AC977+AD977</f>
        <v/>
      </c>
      <c r="AF977" s="13">
        <f>AI976</f>
        <v/>
      </c>
      <c r="AG977" s="13" t="n">
        <v>0</v>
      </c>
      <c r="AH977" s="13" t="n">
        <v>0</v>
      </c>
      <c r="AI977" s="13">
        <f>AF977+AG977+AH977</f>
        <v/>
      </c>
      <c r="AJ977" s="14" t="n">
        <v>0</v>
      </c>
      <c r="AK977" s="14" t="n">
        <v>0</v>
      </c>
      <c r="AL977" s="14" t="n">
        <v>0</v>
      </c>
      <c r="AM977" s="14">
        <f>AJ977+AK977+AL977</f>
        <v/>
      </c>
      <c r="AN977" s="14">
        <f>AN976+AM977</f>
        <v/>
      </c>
    </row>
    <row r="978">
      <c r="A978" s="8" t="n">
        <v>38</v>
      </c>
      <c r="B978" s="8" t="n">
        <v>8</v>
      </c>
      <c r="C978" s="8" t="n">
        <v>1</v>
      </c>
      <c r="D978" s="8" t="inlineStr">
        <is>
          <t>版本免费+义相逢 + 月卡收益 [月卡续费-30元]</t>
        </is>
      </c>
      <c r="E978" s="9">
        <f>K977</f>
        <v/>
      </c>
      <c r="F978" s="9" t="n">
        <v>1540</v>
      </c>
      <c r="G978" s="9" t="n">
        <v>4800</v>
      </c>
      <c r="H978" s="9" t="n">
        <v>0</v>
      </c>
      <c r="I978" s="9" t="n">
        <v>0</v>
      </c>
      <c r="J978" s="9" t="n">
        <v>640</v>
      </c>
      <c r="K978" s="9">
        <f>E978+F978+G978+H978+I978-J978</f>
        <v/>
      </c>
      <c r="L978" s="10">
        <f>Q977</f>
        <v/>
      </c>
      <c r="M978" s="10" t="n">
        <v>85</v>
      </c>
      <c r="N978" s="10" t="n">
        <v>11</v>
      </c>
      <c r="O978" s="10">
        <f>J978/160</f>
        <v/>
      </c>
      <c r="P978" s="10" t="n">
        <v>100</v>
      </c>
      <c r="Q978" s="10">
        <f>L978+M978+N978+O978-P978</f>
        <v/>
      </c>
      <c r="R978" s="11">
        <f>T977</f>
        <v/>
      </c>
      <c r="S978" s="11">
        <f>N(V978) + N(X978) + N(Z978)</f>
        <v/>
      </c>
      <c r="T978" s="11">
        <f>R978+P978-S978</f>
        <v/>
      </c>
      <c r="U978" s="11" t="inlineStr">
        <is>
          <t>是</t>
        </is>
      </c>
      <c r="V978" s="11" t="n">
        <v>53</v>
      </c>
      <c r="W978" s="11" t="inlineStr">
        <is>
          <t>是</t>
        </is>
      </c>
      <c r="X978" s="11" t="n">
        <v>50</v>
      </c>
      <c r="Y978" s="11" t="inlineStr">
        <is>
          <t>-</t>
        </is>
      </c>
      <c r="Z978" s="11" t="n">
        <v>0</v>
      </c>
      <c r="AA978" s="11" t="inlineStr">
        <is>
          <t>无</t>
        </is>
      </c>
      <c r="AB978" s="12">
        <f>AE977</f>
        <v/>
      </c>
      <c r="AC978" s="12" t="n">
        <v>4</v>
      </c>
      <c r="AD978" s="12" t="n">
        <v>0</v>
      </c>
      <c r="AE978" s="12">
        <f>AB978+AC978+AD978</f>
        <v/>
      </c>
      <c r="AF978" s="13">
        <f>AI977</f>
        <v/>
      </c>
      <c r="AG978" s="13" t="n">
        <v>0</v>
      </c>
      <c r="AH978" s="13" t="n">
        <v>0</v>
      </c>
      <c r="AI978" s="13">
        <f>AF978+AG978+AH978</f>
        <v/>
      </c>
      <c r="AJ978" s="14" t="n">
        <v>30</v>
      </c>
      <c r="AK978" s="14" t="n">
        <v>50</v>
      </c>
      <c r="AL978" s="14" t="n">
        <v>0</v>
      </c>
      <c r="AM978" s="14">
        <f>AJ978+AK978+AL978</f>
        <v/>
      </c>
      <c r="AN978" s="14">
        <f>AN977+AM978</f>
        <v/>
      </c>
    </row>
    <row r="979">
      <c r="A979" s="8" t="n">
        <v>38</v>
      </c>
      <c r="B979" s="8" t="n">
        <v>8</v>
      </c>
      <c r="C979" s="8" t="n">
        <v>2</v>
      </c>
      <c r="D979" s="8" t="inlineStr">
        <is>
          <t>月卡收益</t>
        </is>
      </c>
      <c r="E979" s="9">
        <f>K978</f>
        <v/>
      </c>
      <c r="F979" s="9" t="n">
        <v>1540</v>
      </c>
      <c r="G979" s="9" t="n">
        <v>0</v>
      </c>
      <c r="H979" s="9" t="n">
        <v>0</v>
      </c>
      <c r="I979" s="9" t="n">
        <v>0</v>
      </c>
      <c r="J979" s="9" t="n">
        <v>9120</v>
      </c>
      <c r="K979" s="9">
        <f>E979+F979+G979+H979+I979-J979</f>
        <v/>
      </c>
      <c r="L979" s="10">
        <f>Q978</f>
        <v/>
      </c>
      <c r="M979" s="10" t="n">
        <v>0</v>
      </c>
      <c r="N979" s="10" t="n">
        <v>6</v>
      </c>
      <c r="O979" s="10">
        <f>J979/160</f>
        <v/>
      </c>
      <c r="P979" s="10" t="n">
        <v>60</v>
      </c>
      <c r="Q979" s="10">
        <f>L979+M979+N979+O979-P979</f>
        <v/>
      </c>
      <c r="R979" s="11">
        <f>T978</f>
        <v/>
      </c>
      <c r="S979" s="11">
        <f>N(V979) + N(X979) + N(Z979)</f>
        <v/>
      </c>
      <c r="T979" s="11">
        <f>R979+P979-S979</f>
        <v/>
      </c>
      <c r="U979" s="11" t="inlineStr">
        <is>
          <t>是</t>
        </is>
      </c>
      <c r="V979" s="11" t="n">
        <v>47</v>
      </c>
      <c r="W979" s="11" t="inlineStr">
        <is>
          <t>否</t>
        </is>
      </c>
      <c r="X979" s="11" t="inlineStr">
        <is>
          <t>-</t>
        </is>
      </c>
      <c r="Y979" s="11" t="inlineStr">
        <is>
          <t>-</t>
        </is>
      </c>
      <c r="Z979" s="11" t="n">
        <v>0</v>
      </c>
      <c r="AA979" s="11" t="inlineStr">
        <is>
          <t>垫到60抽</t>
        </is>
      </c>
      <c r="AB979" s="12">
        <f>AE978</f>
        <v/>
      </c>
      <c r="AC979" s="12" t="n">
        <v>0</v>
      </c>
      <c r="AD979" s="12" t="n">
        <v>0</v>
      </c>
      <c r="AE979" s="12">
        <f>AB979+AC979+AD979</f>
        <v/>
      </c>
      <c r="AF979" s="13">
        <f>AI978</f>
        <v/>
      </c>
      <c r="AG979" s="13" t="n">
        <v>0</v>
      </c>
      <c r="AH979" s="13" t="n">
        <v>0</v>
      </c>
      <c r="AI979" s="13">
        <f>AF979+AG979+AH979</f>
        <v/>
      </c>
      <c r="AJ979" s="14" t="n">
        <v>0</v>
      </c>
      <c r="AK979" s="14" t="n">
        <v>0</v>
      </c>
      <c r="AL979" s="14" t="n">
        <v>0</v>
      </c>
      <c r="AM979" s="14">
        <f>AJ979+AK979+AL979</f>
        <v/>
      </c>
      <c r="AN979" s="14">
        <f>AN978+AM979</f>
        <v/>
      </c>
    </row>
    <row r="980">
      <c r="A980" s="8" t="n">
        <v>38</v>
      </c>
      <c r="B980" s="8" t="n">
        <v>9</v>
      </c>
      <c r="C980" s="8" t="n">
        <v>1</v>
      </c>
      <c r="D980" s="8" t="inlineStr">
        <is>
          <t>版本免费+义相逢 + 月卡收益 [月卡续费-30元]</t>
        </is>
      </c>
      <c r="E980" s="9">
        <f>K979</f>
        <v/>
      </c>
      <c r="F980" s="9" t="n">
        <v>1540</v>
      </c>
      <c r="G980" s="9" t="n">
        <v>4800</v>
      </c>
      <c r="H980" s="9" t="n">
        <v>0</v>
      </c>
      <c r="I980" s="9" t="n">
        <v>0</v>
      </c>
      <c r="J980" s="9" t="n">
        <v>0</v>
      </c>
      <c r="K980" s="9">
        <f>E980+F980+G980+H980+I980-J980</f>
        <v/>
      </c>
      <c r="L980" s="10">
        <f>Q979</f>
        <v/>
      </c>
      <c r="M980" s="10" t="n">
        <v>85</v>
      </c>
      <c r="N980" s="10" t="n">
        <v>3</v>
      </c>
      <c r="O980" s="10">
        <f>J980/160</f>
        <v/>
      </c>
      <c r="P980" s="10" t="n">
        <v>30</v>
      </c>
      <c r="Q980" s="10">
        <f>L980+M980+N980+O980-P980</f>
        <v/>
      </c>
      <c r="R980" s="11">
        <f>T979</f>
        <v/>
      </c>
      <c r="S980" s="11">
        <f>N(V980) + N(X980) + N(Z980)</f>
        <v/>
      </c>
      <c r="T980" s="11">
        <f>R980+P980-S980</f>
        <v/>
      </c>
      <c r="U980" s="11" t="inlineStr">
        <is>
          <t>是</t>
        </is>
      </c>
      <c r="V980" s="11" t="n">
        <v>49</v>
      </c>
      <c r="W980" s="11" t="inlineStr">
        <is>
          <t>否</t>
        </is>
      </c>
      <c r="X980" s="11" t="inlineStr">
        <is>
          <t>-</t>
        </is>
      </c>
      <c r="Y980" s="11" t="inlineStr">
        <is>
          <t>-</t>
        </is>
      </c>
      <c r="Z980" s="11" t="n">
        <v>0</v>
      </c>
      <c r="AA980" s="11" t="inlineStr">
        <is>
          <t>无</t>
        </is>
      </c>
      <c r="AB980" s="12">
        <f>AE979</f>
        <v/>
      </c>
      <c r="AC980" s="12" t="n">
        <v>4</v>
      </c>
      <c r="AD980" s="12" t="n">
        <v>0</v>
      </c>
      <c r="AE980" s="12">
        <f>AB980+AC980+AD980</f>
        <v/>
      </c>
      <c r="AF980" s="13">
        <f>AI979</f>
        <v/>
      </c>
      <c r="AG980" s="13" t="n">
        <v>0</v>
      </c>
      <c r="AH980" s="13" t="n">
        <v>0</v>
      </c>
      <c r="AI980" s="13">
        <f>AF980+AG980+AH980</f>
        <v/>
      </c>
      <c r="AJ980" s="14" t="n">
        <v>30</v>
      </c>
      <c r="AK980" s="14" t="n">
        <v>50</v>
      </c>
      <c r="AL980" s="14" t="n">
        <v>0</v>
      </c>
      <c r="AM980" s="14">
        <f>AJ980+AK980+AL980</f>
        <v/>
      </c>
      <c r="AN980" s="14">
        <f>AN979+AM980</f>
        <v/>
      </c>
    </row>
    <row r="981">
      <c r="A981" s="8" t="n">
        <v>38</v>
      </c>
      <c r="B981" s="8" t="n">
        <v>9</v>
      </c>
      <c r="C981" s="8" t="n">
        <v>2</v>
      </c>
      <c r="D981" s="8" t="inlineStr">
        <is>
          <t>月卡收益</t>
        </is>
      </c>
      <c r="E981" s="9">
        <f>K980</f>
        <v/>
      </c>
      <c r="F981" s="9" t="n">
        <v>1540</v>
      </c>
      <c r="G981" s="9" t="n">
        <v>0</v>
      </c>
      <c r="H981" s="9" t="n">
        <v>0</v>
      </c>
      <c r="I981" s="9" t="n">
        <v>0</v>
      </c>
      <c r="J981" s="9" t="n">
        <v>6080</v>
      </c>
      <c r="K981" s="9">
        <f>E981+F981+G981+H981+I981-J981</f>
        <v/>
      </c>
      <c r="L981" s="10">
        <f>Q980</f>
        <v/>
      </c>
      <c r="M981" s="10" t="n">
        <v>0</v>
      </c>
      <c r="N981" s="10" t="n">
        <v>11</v>
      </c>
      <c r="O981" s="10">
        <f>J981/160</f>
        <v/>
      </c>
      <c r="P981" s="10" t="n">
        <v>110</v>
      </c>
      <c r="Q981" s="10">
        <f>L981+M981+N981+O981-P981</f>
        <v/>
      </c>
      <c r="R981" s="11">
        <f>T980</f>
        <v/>
      </c>
      <c r="S981" s="11">
        <f>N(V981) + N(X981) + N(Z981)</f>
        <v/>
      </c>
      <c r="T981" s="11">
        <f>R981+P981-S981</f>
        <v/>
      </c>
      <c r="U981" s="11" t="inlineStr">
        <is>
          <t>是</t>
        </is>
      </c>
      <c r="V981" s="11" t="n">
        <v>54</v>
      </c>
      <c r="W981" s="11" t="inlineStr">
        <is>
          <t>是</t>
        </is>
      </c>
      <c r="X981" s="11" t="n">
        <v>53</v>
      </c>
      <c r="Y981" s="11" t="inlineStr">
        <is>
          <t>-</t>
        </is>
      </c>
      <c r="Z981" s="11" t="n">
        <v>0</v>
      </c>
      <c r="AA981" s="11" t="inlineStr">
        <is>
          <t>无</t>
        </is>
      </c>
      <c r="AB981" s="12">
        <f>AE980</f>
        <v/>
      </c>
      <c r="AC981" s="12" t="n">
        <v>0</v>
      </c>
      <c r="AD981" s="12" t="n">
        <v>0</v>
      </c>
      <c r="AE981" s="12">
        <f>AB981+AC981+AD981</f>
        <v/>
      </c>
      <c r="AF981" s="13">
        <f>AI980</f>
        <v/>
      </c>
      <c r="AG981" s="13" t="n">
        <v>0</v>
      </c>
      <c r="AH981" s="13" t="n">
        <v>0</v>
      </c>
      <c r="AI981" s="13">
        <f>AF981+AG981+AH981</f>
        <v/>
      </c>
      <c r="AJ981" s="14" t="n">
        <v>0</v>
      </c>
      <c r="AK981" s="14" t="n">
        <v>0</v>
      </c>
      <c r="AL981" s="14" t="n">
        <v>0</v>
      </c>
      <c r="AM981" s="14">
        <f>AJ981+AK981+AL981</f>
        <v/>
      </c>
      <c r="AN981" s="14">
        <f>AN980+AM981</f>
        <v/>
      </c>
    </row>
    <row r="982">
      <c r="A982" s="8" t="n">
        <v>38</v>
      </c>
      <c r="B982" s="8" t="n">
        <v>10</v>
      </c>
      <c r="C982" s="8" t="n">
        <v>1</v>
      </c>
      <c r="D982" s="8" t="inlineStr">
        <is>
          <t>版本免费+义相逢 + 月卡收益 [月卡续费-30元]</t>
        </is>
      </c>
      <c r="E982" s="9">
        <f>K981</f>
        <v/>
      </c>
      <c r="F982" s="9" t="n">
        <v>1540</v>
      </c>
      <c r="G982" s="9" t="n">
        <v>4800</v>
      </c>
      <c r="H982" s="9" t="n">
        <v>0</v>
      </c>
      <c r="I982" s="9" t="n">
        <v>0</v>
      </c>
      <c r="J982" s="9" t="n">
        <v>640</v>
      </c>
      <c r="K982" s="9">
        <f>E982+F982+G982+H982+I982-J982</f>
        <v/>
      </c>
      <c r="L982" s="10">
        <f>Q981</f>
        <v/>
      </c>
      <c r="M982" s="10" t="n">
        <v>85</v>
      </c>
      <c r="N982" s="10" t="n">
        <v>11</v>
      </c>
      <c r="O982" s="10">
        <f>J982/160</f>
        <v/>
      </c>
      <c r="P982" s="10" t="n">
        <v>100</v>
      </c>
      <c r="Q982" s="10">
        <f>L982+M982+N982+O982-P982</f>
        <v/>
      </c>
      <c r="R982" s="11">
        <f>T981</f>
        <v/>
      </c>
      <c r="S982" s="11">
        <f>N(V982) + N(X982) + N(Z982)</f>
        <v/>
      </c>
      <c r="T982" s="11">
        <f>R982+P982-S982</f>
        <v/>
      </c>
      <c r="U982" s="11" t="inlineStr">
        <is>
          <t>是</t>
        </is>
      </c>
      <c r="V982" s="11" t="n">
        <v>47</v>
      </c>
      <c r="W982" s="11" t="inlineStr">
        <is>
          <t>是</t>
        </is>
      </c>
      <c r="X982" s="11" t="n">
        <v>50</v>
      </c>
      <c r="Y982" s="11" t="inlineStr">
        <is>
          <t>-</t>
        </is>
      </c>
      <c r="Z982" s="11" t="n">
        <v>0</v>
      </c>
      <c r="AA982" s="11" t="inlineStr">
        <is>
          <t>无</t>
        </is>
      </c>
      <c r="AB982" s="12">
        <f>AE981</f>
        <v/>
      </c>
      <c r="AC982" s="12" t="n">
        <v>4</v>
      </c>
      <c r="AD982" s="12" t="n">
        <v>0</v>
      </c>
      <c r="AE982" s="12">
        <f>AB982+AC982+AD982</f>
        <v/>
      </c>
      <c r="AF982" s="13">
        <f>AI981</f>
        <v/>
      </c>
      <c r="AG982" s="13" t="n">
        <v>0</v>
      </c>
      <c r="AH982" s="13" t="n">
        <v>0</v>
      </c>
      <c r="AI982" s="13">
        <f>AF982+AG982+AH982</f>
        <v/>
      </c>
      <c r="AJ982" s="14" t="n">
        <v>30</v>
      </c>
      <c r="AK982" s="14" t="n">
        <v>50</v>
      </c>
      <c r="AL982" s="14" t="n">
        <v>0</v>
      </c>
      <c r="AM982" s="14">
        <f>AJ982+AK982+AL982</f>
        <v/>
      </c>
      <c r="AN982" s="14">
        <f>AN981+AM982</f>
        <v/>
      </c>
    </row>
    <row r="983">
      <c r="A983" s="8" t="n">
        <v>38</v>
      </c>
      <c r="B983" s="8" t="n">
        <v>10</v>
      </c>
      <c r="C983" s="8" t="n">
        <v>2</v>
      </c>
      <c r="D983" s="8" t="inlineStr">
        <is>
          <t>月卡收益</t>
        </is>
      </c>
      <c r="E983" s="9">
        <f>K982</f>
        <v/>
      </c>
      <c r="F983" s="9" t="n">
        <v>1540</v>
      </c>
      <c r="G983" s="9" t="n">
        <v>0</v>
      </c>
      <c r="H983" s="9" t="n">
        <v>0</v>
      </c>
      <c r="I983" s="9" t="n">
        <v>0</v>
      </c>
      <c r="J983" s="9" t="n">
        <v>9120</v>
      </c>
      <c r="K983" s="9">
        <f>E983+F983+G983+H983+I983-J983</f>
        <v/>
      </c>
      <c r="L983" s="10">
        <f>Q982</f>
        <v/>
      </c>
      <c r="M983" s="10" t="n">
        <v>0</v>
      </c>
      <c r="N983" s="10" t="n">
        <v>6</v>
      </c>
      <c r="O983" s="10">
        <f>J983/160</f>
        <v/>
      </c>
      <c r="P983" s="10" t="n">
        <v>60</v>
      </c>
      <c r="Q983" s="10">
        <f>L983+M983+N983+O983-P983</f>
        <v/>
      </c>
      <c r="R983" s="11">
        <f>T982</f>
        <v/>
      </c>
      <c r="S983" s="11">
        <f>N(V983) + N(X983) + N(Z983)</f>
        <v/>
      </c>
      <c r="T983" s="11">
        <f>R983+P983-S983</f>
        <v/>
      </c>
      <c r="U983" s="11" t="inlineStr">
        <is>
          <t>是</t>
        </is>
      </c>
      <c r="V983" s="11" t="n">
        <v>53</v>
      </c>
      <c r="W983" s="11" t="inlineStr">
        <is>
          <t>否</t>
        </is>
      </c>
      <c r="X983" s="11" t="inlineStr">
        <is>
          <t>-</t>
        </is>
      </c>
      <c r="Y983" s="11" t="inlineStr">
        <is>
          <t>-</t>
        </is>
      </c>
      <c r="Z983" s="11" t="n">
        <v>0</v>
      </c>
      <c r="AA983" s="11" t="inlineStr">
        <is>
          <t>垫到60抽</t>
        </is>
      </c>
      <c r="AB983" s="12">
        <f>AE982</f>
        <v/>
      </c>
      <c r="AC983" s="12" t="n">
        <v>0</v>
      </c>
      <c r="AD983" s="12" t="n">
        <v>0</v>
      </c>
      <c r="AE983" s="12">
        <f>AB983+AC983+AD983</f>
        <v/>
      </c>
      <c r="AF983" s="13">
        <f>AI982</f>
        <v/>
      </c>
      <c r="AG983" s="13" t="n">
        <v>0</v>
      </c>
      <c r="AH983" s="13" t="n">
        <v>0</v>
      </c>
      <c r="AI983" s="13">
        <f>AF983+AG983+AH983</f>
        <v/>
      </c>
      <c r="AJ983" s="14" t="n">
        <v>0</v>
      </c>
      <c r="AK983" s="14" t="n">
        <v>0</v>
      </c>
      <c r="AL983" s="14" t="n">
        <v>0</v>
      </c>
      <c r="AM983" s="14">
        <f>AJ983+AK983+AL983</f>
        <v/>
      </c>
      <c r="AN983" s="14">
        <f>AN982+AM983</f>
        <v/>
      </c>
    </row>
    <row r="984">
      <c r="A984" s="8" t="n">
        <v>38</v>
      </c>
      <c r="B984" s="8" t="n">
        <v>11</v>
      </c>
      <c r="C984" s="8" t="n">
        <v>1</v>
      </c>
      <c r="D984" s="8" t="inlineStr">
        <is>
          <t>版本免费+义相逢 + 月卡收益 [月卡续费-30元]</t>
        </is>
      </c>
      <c r="E984" s="9">
        <f>K983</f>
        <v/>
      </c>
      <c r="F984" s="9" t="n">
        <v>1540</v>
      </c>
      <c r="G984" s="9" t="n">
        <v>4800</v>
      </c>
      <c r="H984" s="9" t="n">
        <v>0</v>
      </c>
      <c r="I984" s="9" t="n">
        <v>0</v>
      </c>
      <c r="J984" s="9" t="n">
        <v>0</v>
      </c>
      <c r="K984" s="9">
        <f>E984+F984+G984+H984+I984-J984</f>
        <v/>
      </c>
      <c r="L984" s="10">
        <f>Q983</f>
        <v/>
      </c>
      <c r="M984" s="10" t="n">
        <v>85</v>
      </c>
      <c r="N984" s="10" t="n">
        <v>11</v>
      </c>
      <c r="O984" s="10">
        <f>J984/160</f>
        <v/>
      </c>
      <c r="P984" s="10" t="n">
        <v>90</v>
      </c>
      <c r="Q984" s="10">
        <f>L984+M984+N984+O984-P984</f>
        <v/>
      </c>
      <c r="R984" s="11">
        <f>T983</f>
        <v/>
      </c>
      <c r="S984" s="11">
        <f>N(V984) + N(X984) + N(Z984)</f>
        <v/>
      </c>
      <c r="T984" s="11">
        <f>R984+P984-S984</f>
        <v/>
      </c>
      <c r="U984" s="11" t="inlineStr">
        <is>
          <t>是</t>
        </is>
      </c>
      <c r="V984" s="11" t="n">
        <v>48</v>
      </c>
      <c r="W984" s="11" t="inlineStr">
        <is>
          <t>是</t>
        </is>
      </c>
      <c r="X984" s="11" t="n">
        <v>49</v>
      </c>
      <c r="Y984" s="11" t="inlineStr">
        <is>
          <t>-</t>
        </is>
      </c>
      <c r="Z984" s="11" t="n">
        <v>0</v>
      </c>
      <c r="AA984" s="11" t="inlineStr">
        <is>
          <t>无</t>
        </is>
      </c>
      <c r="AB984" s="12">
        <f>AE983</f>
        <v/>
      </c>
      <c r="AC984" s="12" t="n">
        <v>4</v>
      </c>
      <c r="AD984" s="12" t="n">
        <v>0</v>
      </c>
      <c r="AE984" s="12">
        <f>AB984+AC984+AD984</f>
        <v/>
      </c>
      <c r="AF984" s="13">
        <f>AI983</f>
        <v/>
      </c>
      <c r="AG984" s="13" t="n">
        <v>0</v>
      </c>
      <c r="AH984" s="13" t="n">
        <v>0</v>
      </c>
      <c r="AI984" s="13">
        <f>AF984+AG984+AH984</f>
        <v/>
      </c>
      <c r="AJ984" s="14" t="n">
        <v>30</v>
      </c>
      <c r="AK984" s="14" t="n">
        <v>50</v>
      </c>
      <c r="AL984" s="14" t="n">
        <v>0</v>
      </c>
      <c r="AM984" s="14">
        <f>AJ984+AK984+AL984</f>
        <v/>
      </c>
      <c r="AN984" s="14">
        <f>AN983+AM984</f>
        <v/>
      </c>
    </row>
    <row r="985">
      <c r="A985" s="8" t="n">
        <v>38</v>
      </c>
      <c r="B985" s="8" t="n">
        <v>11</v>
      </c>
      <c r="C985" s="8" t="n">
        <v>2</v>
      </c>
      <c r="D985" s="8" t="inlineStr">
        <is>
          <t>月卡收益</t>
        </is>
      </c>
      <c r="E985" s="9">
        <f>K984</f>
        <v/>
      </c>
      <c r="F985" s="9" t="n">
        <v>1540</v>
      </c>
      <c r="G985" s="9" t="n">
        <v>0</v>
      </c>
      <c r="H985" s="9" t="n">
        <v>0</v>
      </c>
      <c r="I985" s="9" t="n">
        <v>0</v>
      </c>
      <c r="J985" s="9" t="n">
        <v>12000</v>
      </c>
      <c r="K985" s="9">
        <f>E985+F985+G985+H985+I985-J985</f>
        <v/>
      </c>
      <c r="L985" s="10">
        <f>Q984</f>
        <v/>
      </c>
      <c r="M985" s="10" t="n">
        <v>0</v>
      </c>
      <c r="N985" s="10" t="n">
        <v>11</v>
      </c>
      <c r="O985" s="10">
        <f>J985/160</f>
        <v/>
      </c>
      <c r="P985" s="10" t="n">
        <v>90</v>
      </c>
      <c r="Q985" s="10">
        <f>L985+M985+N985+O985-P985</f>
        <v/>
      </c>
      <c r="R985" s="11">
        <f>T984</f>
        <v/>
      </c>
      <c r="S985" s="11">
        <f>N(V985) + N(X985) + N(Z985)</f>
        <v/>
      </c>
      <c r="T985" s="11">
        <f>R985+P985-S985</f>
        <v/>
      </c>
      <c r="U985" s="11" t="inlineStr">
        <is>
          <t>是</t>
        </is>
      </c>
      <c r="V985" s="11" t="n">
        <v>47</v>
      </c>
      <c r="W985" s="11" t="inlineStr">
        <is>
          <t>是</t>
        </is>
      </c>
      <c r="X985" s="11" t="n">
        <v>48</v>
      </c>
      <c r="Y985" s="11" t="inlineStr">
        <is>
          <t>-</t>
        </is>
      </c>
      <c r="Z985" s="11" t="n">
        <v>0</v>
      </c>
      <c r="AA985" s="11" t="inlineStr">
        <is>
          <t>无</t>
        </is>
      </c>
      <c r="AB985" s="12">
        <f>AE984</f>
        <v/>
      </c>
      <c r="AC985" s="12" t="n">
        <v>0</v>
      </c>
      <c r="AD985" s="12" t="n">
        <v>0</v>
      </c>
      <c r="AE985" s="12">
        <f>AB985+AC985+AD985</f>
        <v/>
      </c>
      <c r="AF985" s="13">
        <f>AI984</f>
        <v/>
      </c>
      <c r="AG985" s="13" t="n">
        <v>0</v>
      </c>
      <c r="AH985" s="13" t="n">
        <v>0</v>
      </c>
      <c r="AI985" s="13">
        <f>AF985+AG985+AH985</f>
        <v/>
      </c>
      <c r="AJ985" s="14" t="n">
        <v>0</v>
      </c>
      <c r="AK985" s="14" t="n">
        <v>0</v>
      </c>
      <c r="AL985" s="14" t="n">
        <v>0</v>
      </c>
      <c r="AM985" s="14">
        <f>AJ985+AK985+AL985</f>
        <v/>
      </c>
      <c r="AN985" s="14">
        <f>AN984+AM985</f>
        <v/>
      </c>
    </row>
    <row r="986">
      <c r="A986" s="8" t="n">
        <v>38</v>
      </c>
      <c r="B986" s="8" t="n">
        <v>12</v>
      </c>
      <c r="C986" s="8" t="n">
        <v>1</v>
      </c>
      <c r="D986" s="8" t="inlineStr">
        <is>
          <t>版本免费+义相逢 + 月卡收益 [月卡续费-30元]</t>
        </is>
      </c>
      <c r="E986" s="9">
        <f>K985</f>
        <v/>
      </c>
      <c r="F986" s="9" t="n">
        <v>1540</v>
      </c>
      <c r="G986" s="9" t="n">
        <v>4800</v>
      </c>
      <c r="H986" s="9" t="n">
        <v>0</v>
      </c>
      <c r="I986" s="9" t="n">
        <v>0</v>
      </c>
      <c r="J986" s="9" t="n">
        <v>0</v>
      </c>
      <c r="K986" s="9">
        <f>E986+F986+G986+H986+I986-J986</f>
        <v/>
      </c>
      <c r="L986" s="10">
        <f>Q985</f>
        <v/>
      </c>
      <c r="M986" s="10" t="n">
        <v>85</v>
      </c>
      <c r="N986" s="10" t="n">
        <v>11</v>
      </c>
      <c r="O986" s="10">
        <f>J986/160</f>
        <v/>
      </c>
      <c r="P986" s="10" t="n">
        <v>100</v>
      </c>
      <c r="Q986" s="10">
        <f>L986+M986+N986+O986-P986</f>
        <v/>
      </c>
      <c r="R986" s="11">
        <f>T985</f>
        <v/>
      </c>
      <c r="S986" s="11">
        <f>N(V986) + N(X986) + N(Z986)</f>
        <v/>
      </c>
      <c r="T986" s="11">
        <f>R986+P986-S986</f>
        <v/>
      </c>
      <c r="U986" s="11" t="inlineStr">
        <is>
          <t>是</t>
        </is>
      </c>
      <c r="V986" s="11" t="n">
        <v>50</v>
      </c>
      <c r="W986" s="11" t="inlineStr">
        <is>
          <t>是</t>
        </is>
      </c>
      <c r="X986" s="11" t="n">
        <v>47</v>
      </c>
      <c r="Y986" s="11" t="inlineStr">
        <is>
          <t>-</t>
        </is>
      </c>
      <c r="Z986" s="11" t="n">
        <v>0</v>
      </c>
      <c r="AA986" s="11" t="inlineStr">
        <is>
          <t>无</t>
        </is>
      </c>
      <c r="AB986" s="12">
        <f>AE985</f>
        <v/>
      </c>
      <c r="AC986" s="12" t="n">
        <v>4</v>
      </c>
      <c r="AD986" s="12" t="n">
        <v>0</v>
      </c>
      <c r="AE986" s="12">
        <f>AB986+AC986+AD986</f>
        <v/>
      </c>
      <c r="AF986" s="13">
        <f>AI985</f>
        <v/>
      </c>
      <c r="AG986" s="13" t="n">
        <v>0</v>
      </c>
      <c r="AH986" s="13" t="n">
        <v>0</v>
      </c>
      <c r="AI986" s="13">
        <f>AF986+AG986+AH986</f>
        <v/>
      </c>
      <c r="AJ986" s="14" t="n">
        <v>30</v>
      </c>
      <c r="AK986" s="14" t="n">
        <v>50</v>
      </c>
      <c r="AL986" s="14" t="n">
        <v>0</v>
      </c>
      <c r="AM986" s="14">
        <f>AJ986+AK986+AL986</f>
        <v/>
      </c>
      <c r="AN986" s="14">
        <f>AN985+AM986</f>
        <v/>
      </c>
    </row>
    <row r="987">
      <c r="A987" s="8" t="n">
        <v>38</v>
      </c>
      <c r="B987" s="8" t="n">
        <v>12</v>
      </c>
      <c r="C987" s="8" t="n">
        <v>2</v>
      </c>
      <c r="D987" s="8" t="inlineStr">
        <is>
          <t>月卡收益</t>
        </is>
      </c>
      <c r="E987" s="9">
        <f>K986</f>
        <v/>
      </c>
      <c r="F987" s="9" t="n">
        <v>1540</v>
      </c>
      <c r="G987" s="9" t="n">
        <v>0</v>
      </c>
      <c r="H987" s="9" t="n">
        <v>0</v>
      </c>
      <c r="I987" s="9" t="n">
        <v>0</v>
      </c>
      <c r="J987" s="9" t="n">
        <v>8960</v>
      </c>
      <c r="K987" s="9">
        <f>E987+F987+G987+H987+I987-J987</f>
        <v/>
      </c>
      <c r="L987" s="10">
        <f>Q986</f>
        <v/>
      </c>
      <c r="M987" s="10" t="n">
        <v>0</v>
      </c>
      <c r="N987" s="10" t="n">
        <v>6</v>
      </c>
      <c r="O987" s="10">
        <f>J987/160</f>
        <v/>
      </c>
      <c r="P987" s="10" t="n">
        <v>60</v>
      </c>
      <c r="Q987" s="10">
        <f>L987+M987+N987+O987-P987</f>
        <v/>
      </c>
      <c r="R987" s="11">
        <f>T986</f>
        <v/>
      </c>
      <c r="S987" s="11">
        <f>N(V987) + N(X987) + N(Z987)</f>
        <v/>
      </c>
      <c r="T987" s="11">
        <f>R987+P987-S987</f>
        <v/>
      </c>
      <c r="U987" s="11" t="inlineStr">
        <is>
          <t>是</t>
        </is>
      </c>
      <c r="V987" s="11" t="n">
        <v>50</v>
      </c>
      <c r="W987" s="11" t="inlineStr">
        <is>
          <t>否</t>
        </is>
      </c>
      <c r="X987" s="11" t="inlineStr">
        <is>
          <t>-</t>
        </is>
      </c>
      <c r="Y987" s="11" t="inlineStr">
        <is>
          <t>-</t>
        </is>
      </c>
      <c r="Z987" s="11" t="n">
        <v>0</v>
      </c>
      <c r="AA987" s="11" t="inlineStr">
        <is>
          <t>垫到60抽</t>
        </is>
      </c>
      <c r="AB987" s="12">
        <f>AE986</f>
        <v/>
      </c>
      <c r="AC987" s="12" t="n">
        <v>0</v>
      </c>
      <c r="AD987" s="12" t="n">
        <v>0</v>
      </c>
      <c r="AE987" s="12">
        <f>AB987+AC987+AD987</f>
        <v/>
      </c>
      <c r="AF987" s="13">
        <f>AI986</f>
        <v/>
      </c>
      <c r="AG987" s="13" t="n">
        <v>0</v>
      </c>
      <c r="AH987" s="13" t="n">
        <v>0</v>
      </c>
      <c r="AI987" s="13">
        <f>AF987+AG987+AH987</f>
        <v/>
      </c>
      <c r="AJ987" s="14" t="n">
        <v>0</v>
      </c>
      <c r="AK987" s="14" t="n">
        <v>0</v>
      </c>
      <c r="AL987" s="14" t="n">
        <v>0</v>
      </c>
      <c r="AM987" s="14">
        <f>AJ987+AK987+AL987</f>
        <v/>
      </c>
      <c r="AN987" s="14">
        <f>AN986+AM987</f>
        <v/>
      </c>
    </row>
    <row r="988">
      <c r="A988" s="8" t="n">
        <v>38</v>
      </c>
      <c r="B988" s="8" t="n">
        <v>13</v>
      </c>
      <c r="C988" s="8" t="n">
        <v>1</v>
      </c>
      <c r="D988" s="8" t="inlineStr">
        <is>
          <t>版本免费+义相逢 + 月卡收益 [月卡续费-30元]</t>
        </is>
      </c>
      <c r="E988" s="9">
        <f>K987</f>
        <v/>
      </c>
      <c r="F988" s="9" t="n">
        <v>1540</v>
      </c>
      <c r="G988" s="9" t="n">
        <v>4800</v>
      </c>
      <c r="H988" s="9" t="n">
        <v>0</v>
      </c>
      <c r="I988" s="9" t="n">
        <v>0</v>
      </c>
      <c r="J988" s="9" t="n">
        <v>0</v>
      </c>
      <c r="K988" s="9">
        <f>E988+F988+G988+H988+I988-J988</f>
        <v/>
      </c>
      <c r="L988" s="10">
        <f>Q987</f>
        <v/>
      </c>
      <c r="M988" s="10" t="n">
        <v>85</v>
      </c>
      <c r="N988" s="10" t="n">
        <v>3</v>
      </c>
      <c r="O988" s="10">
        <f>J988/160</f>
        <v/>
      </c>
      <c r="P988" s="10" t="n">
        <v>40</v>
      </c>
      <c r="Q988" s="10">
        <f>L988+M988+N988+O988-P988</f>
        <v/>
      </c>
      <c r="R988" s="11">
        <f>T987</f>
        <v/>
      </c>
      <c r="S988" s="11">
        <f>N(V988) + N(X988) + N(Z988)</f>
        <v/>
      </c>
      <c r="T988" s="11">
        <f>R988+P988-S988</f>
        <v/>
      </c>
      <c r="U988" s="11" t="inlineStr">
        <is>
          <t>是</t>
        </is>
      </c>
      <c r="V988" s="11" t="n">
        <v>54</v>
      </c>
      <c r="W988" s="11" t="inlineStr">
        <is>
          <t>否</t>
        </is>
      </c>
      <c r="X988" s="11" t="inlineStr">
        <is>
          <t>-</t>
        </is>
      </c>
      <c r="Y988" s="11" t="inlineStr">
        <is>
          <t>-</t>
        </is>
      </c>
      <c r="Z988" s="11" t="n">
        <v>0</v>
      </c>
      <c r="AA988" s="11" t="inlineStr">
        <is>
          <t>无</t>
        </is>
      </c>
      <c r="AB988" s="12">
        <f>AE987</f>
        <v/>
      </c>
      <c r="AC988" s="12" t="n">
        <v>4</v>
      </c>
      <c r="AD988" s="12" t="n">
        <v>0</v>
      </c>
      <c r="AE988" s="12">
        <f>AB988+AC988+AD988</f>
        <v/>
      </c>
      <c r="AF988" s="13">
        <f>AI987</f>
        <v/>
      </c>
      <c r="AG988" s="13" t="n">
        <v>0</v>
      </c>
      <c r="AH988" s="13" t="n">
        <v>0</v>
      </c>
      <c r="AI988" s="13">
        <f>AF988+AG988+AH988</f>
        <v/>
      </c>
      <c r="AJ988" s="14" t="n">
        <v>30</v>
      </c>
      <c r="AK988" s="14" t="n">
        <v>50</v>
      </c>
      <c r="AL988" s="14" t="n">
        <v>0</v>
      </c>
      <c r="AM988" s="14">
        <f>AJ988+AK988+AL988</f>
        <v/>
      </c>
      <c r="AN988" s="14">
        <f>AN987+AM988</f>
        <v/>
      </c>
    </row>
    <row r="989">
      <c r="A989" s="8" t="n">
        <v>38</v>
      </c>
      <c r="B989" s="8" t="n">
        <v>13</v>
      </c>
      <c r="C989" s="8" t="n">
        <v>2</v>
      </c>
      <c r="D989" s="8" t="inlineStr">
        <is>
          <t>月卡收益</t>
        </is>
      </c>
      <c r="E989" s="9">
        <f>K988</f>
        <v/>
      </c>
      <c r="F989" s="9" t="n">
        <v>1540</v>
      </c>
      <c r="G989" s="9" t="n">
        <v>0</v>
      </c>
      <c r="H989" s="9" t="n">
        <v>0</v>
      </c>
      <c r="I989" s="9" t="n">
        <v>0</v>
      </c>
      <c r="J989" s="9" t="n">
        <v>7680</v>
      </c>
      <c r="K989" s="9">
        <f>E989+F989+G989+H989+I989-J989</f>
        <v/>
      </c>
      <c r="L989" s="10">
        <f>Q988</f>
        <v/>
      </c>
      <c r="M989" s="10" t="n">
        <v>0</v>
      </c>
      <c r="N989" s="10" t="n">
        <v>11</v>
      </c>
      <c r="O989" s="10">
        <f>J989/160</f>
        <v/>
      </c>
      <c r="P989" s="10" t="n">
        <v>110</v>
      </c>
      <c r="Q989" s="10">
        <f>L989+M989+N989+O989-P989</f>
        <v/>
      </c>
      <c r="R989" s="11">
        <f>T988</f>
        <v/>
      </c>
      <c r="S989" s="11">
        <f>N(V989) + N(X989) + N(Z989)</f>
        <v/>
      </c>
      <c r="T989" s="11">
        <f>R989+P989-S989</f>
        <v/>
      </c>
      <c r="U989" s="11" t="inlineStr">
        <is>
          <t>是</t>
        </is>
      </c>
      <c r="V989" s="11" t="n">
        <v>52</v>
      </c>
      <c r="W989" s="11" t="inlineStr">
        <is>
          <t>是</t>
        </is>
      </c>
      <c r="X989" s="11" t="n">
        <v>51</v>
      </c>
      <c r="Y989" s="11" t="inlineStr">
        <is>
          <t>-</t>
        </is>
      </c>
      <c r="Z989" s="11" t="n">
        <v>0</v>
      </c>
      <c r="AA989" s="11" t="inlineStr">
        <is>
          <t>无</t>
        </is>
      </c>
      <c r="AB989" s="12">
        <f>AE988</f>
        <v/>
      </c>
      <c r="AC989" s="12" t="n">
        <v>0</v>
      </c>
      <c r="AD989" s="12" t="n">
        <v>0</v>
      </c>
      <c r="AE989" s="12">
        <f>AB989+AC989+AD989</f>
        <v/>
      </c>
      <c r="AF989" s="13">
        <f>AI988</f>
        <v/>
      </c>
      <c r="AG989" s="13" t="n">
        <v>0</v>
      </c>
      <c r="AH989" s="13" t="n">
        <v>0</v>
      </c>
      <c r="AI989" s="13">
        <f>AF989+AG989+AH989</f>
        <v/>
      </c>
      <c r="AJ989" s="14" t="n">
        <v>0</v>
      </c>
      <c r="AK989" s="14" t="n">
        <v>0</v>
      </c>
      <c r="AL989" s="14" t="n">
        <v>0</v>
      </c>
      <c r="AM989" s="14">
        <f>AJ989+AK989+AL989</f>
        <v/>
      </c>
      <c r="AN989" s="14">
        <f>AN988+AM989</f>
        <v/>
      </c>
    </row>
    <row r="990">
      <c r="A990" s="8" t="n">
        <v>39</v>
      </c>
      <c r="B990" s="8" t="n">
        <v>1</v>
      </c>
      <c r="C990" s="8" t="n">
        <v>1</v>
      </c>
      <c r="D990" s="8" t="inlineStr">
        <is>
          <t>版本免费+义相逢 + 月卡收益 [月卡续费-30元]</t>
        </is>
      </c>
      <c r="E990" s="9" t="n">
        <v>4080</v>
      </c>
      <c r="F990" s="9" t="n">
        <v>1540</v>
      </c>
      <c r="G990" s="9" t="n">
        <v>4800</v>
      </c>
      <c r="H990" s="9" t="n">
        <v>0</v>
      </c>
      <c r="I990" s="9" t="n">
        <v>0</v>
      </c>
      <c r="J990" s="9" t="n">
        <v>0</v>
      </c>
      <c r="K990" s="9">
        <f>E990+F990+G990+H990+I990-J990</f>
        <v/>
      </c>
      <c r="L990" s="10" t="n">
        <v>0</v>
      </c>
      <c r="M990" s="10" t="n">
        <v>85</v>
      </c>
      <c r="N990" s="10" t="n">
        <v>11</v>
      </c>
      <c r="O990" s="10">
        <f>J990/160</f>
        <v/>
      </c>
      <c r="P990" s="10" t="n">
        <v>90</v>
      </c>
      <c r="Q990" s="10">
        <f>L990+M990+N990+O990-P990</f>
        <v/>
      </c>
      <c r="R990" s="11" t="n">
        <v>7</v>
      </c>
      <c r="S990" s="11">
        <f>N(V990) + N(X990) + N(Z990)</f>
        <v/>
      </c>
      <c r="T990" s="11">
        <f>R990+P990-S990</f>
        <v/>
      </c>
      <c r="U990" s="11" t="inlineStr">
        <is>
          <t>是</t>
        </is>
      </c>
      <c r="V990" s="11" t="n">
        <v>48</v>
      </c>
      <c r="W990" s="11" t="inlineStr">
        <is>
          <t>是</t>
        </is>
      </c>
      <c r="X990" s="11" t="n">
        <v>47</v>
      </c>
      <c r="Y990" s="11" t="inlineStr">
        <is>
          <t>-</t>
        </is>
      </c>
      <c r="Z990" s="11" t="n">
        <v>0</v>
      </c>
      <c r="AA990" s="11" t="inlineStr">
        <is>
          <t>无</t>
        </is>
      </c>
      <c r="AB990" s="12" t="n">
        <v>2035</v>
      </c>
      <c r="AC990" s="12" t="n">
        <v>4</v>
      </c>
      <c r="AD990" s="12" t="n">
        <v>0</v>
      </c>
      <c r="AE990" s="12">
        <f>AB990+AC990+AD990</f>
        <v/>
      </c>
      <c r="AF990" s="13" t="n">
        <v>295000</v>
      </c>
      <c r="AG990" s="13" t="n">
        <v>0</v>
      </c>
      <c r="AH990" s="13" t="n">
        <v>0</v>
      </c>
      <c r="AI990" s="13">
        <f>AF990+AG990+AH990</f>
        <v/>
      </c>
      <c r="AJ990" s="14" t="n">
        <v>30</v>
      </c>
      <c r="AK990" s="14" t="n">
        <v>50</v>
      </c>
      <c r="AL990" s="14" t="n">
        <v>0</v>
      </c>
      <c r="AM990" s="14">
        <f>AJ990+AK990+AL990</f>
        <v/>
      </c>
      <c r="AN990" s="14">
        <f>AM990</f>
        <v/>
      </c>
    </row>
    <row r="991">
      <c r="A991" s="8" t="n">
        <v>39</v>
      </c>
      <c r="B991" s="8" t="n">
        <v>1</v>
      </c>
      <c r="C991" s="8" t="n">
        <v>2</v>
      </c>
      <c r="D991" s="8" t="inlineStr">
        <is>
          <t>月卡收益</t>
        </is>
      </c>
      <c r="E991" s="9">
        <f>K990</f>
        <v/>
      </c>
      <c r="F991" s="9" t="n">
        <v>1540</v>
      </c>
      <c r="G991" s="9" t="n">
        <v>0</v>
      </c>
      <c r="H991" s="9" t="n">
        <v>0</v>
      </c>
      <c r="I991" s="9" t="n">
        <v>0</v>
      </c>
      <c r="J991" s="9" t="n">
        <v>10880</v>
      </c>
      <c r="K991" s="9">
        <f>E991+F991+G991+H991+I991-J991</f>
        <v/>
      </c>
      <c r="L991" s="10">
        <f>Q990</f>
        <v/>
      </c>
      <c r="M991" s="10" t="n">
        <v>0</v>
      </c>
      <c r="N991" s="10" t="n">
        <v>6</v>
      </c>
      <c r="O991" s="10">
        <f>J991/160</f>
        <v/>
      </c>
      <c r="P991" s="10" t="n">
        <v>80</v>
      </c>
      <c r="Q991" s="10">
        <f>L991+M991+N991+O991-P991</f>
        <v/>
      </c>
      <c r="R991" s="11">
        <f>T990</f>
        <v/>
      </c>
      <c r="S991" s="11">
        <f>N(V991) + N(X991) + N(Z991)</f>
        <v/>
      </c>
      <c r="T991" s="11">
        <f>R991+P991-S991</f>
        <v/>
      </c>
      <c r="U991" s="11" t="inlineStr">
        <is>
          <t>否</t>
        </is>
      </c>
      <c r="V991" s="11" t="inlineStr">
        <is>
          <t>-</t>
        </is>
      </c>
      <c r="W991" s="11" t="inlineStr">
        <is>
          <t>是</t>
        </is>
      </c>
      <c r="X991" s="11" t="n">
        <v>55</v>
      </c>
      <c r="Y991" s="11" t="inlineStr">
        <is>
          <t>-</t>
        </is>
      </c>
      <c r="Z991" s="11" t="n">
        <v>0</v>
      </c>
      <c r="AA991" s="11" t="inlineStr">
        <is>
          <t>无</t>
        </is>
      </c>
      <c r="AB991" s="12">
        <f>AE990</f>
        <v/>
      </c>
      <c r="AC991" s="12" t="n">
        <v>0</v>
      </c>
      <c r="AD991" s="12" t="n">
        <v>0</v>
      </c>
      <c r="AE991" s="12">
        <f>AB991+AC991+AD991</f>
        <v/>
      </c>
      <c r="AF991" s="13">
        <f>AI990</f>
        <v/>
      </c>
      <c r="AG991" s="13" t="n">
        <v>0</v>
      </c>
      <c r="AH991" s="13" t="n">
        <v>0</v>
      </c>
      <c r="AI991" s="13">
        <f>AF991+AG991+AH991</f>
        <v/>
      </c>
      <c r="AJ991" s="14" t="n">
        <v>0</v>
      </c>
      <c r="AK991" s="14" t="n">
        <v>0</v>
      </c>
      <c r="AL991" s="14" t="n">
        <v>0</v>
      </c>
      <c r="AM991" s="14">
        <f>AJ991+AK991+AL991</f>
        <v/>
      </c>
      <c r="AN991" s="14">
        <f>AN990+AM991</f>
        <v/>
      </c>
    </row>
    <row r="992">
      <c r="A992" s="8" t="n">
        <v>39</v>
      </c>
      <c r="B992" s="8" t="n">
        <v>2</v>
      </c>
      <c r="C992" s="8" t="n">
        <v>1</v>
      </c>
      <c r="D992" s="8" t="inlineStr">
        <is>
          <t>版本免费+义相逢 + 月卡收益</t>
        </is>
      </c>
      <c r="E992" s="9">
        <f>K991</f>
        <v/>
      </c>
      <c r="F992" s="9" t="n">
        <v>1540</v>
      </c>
      <c r="G992" s="9" t="n">
        <v>4800</v>
      </c>
      <c r="H992" s="9" t="n">
        <v>0</v>
      </c>
      <c r="I992" s="9" t="n">
        <v>0</v>
      </c>
      <c r="J992" s="9" t="n">
        <v>0</v>
      </c>
      <c r="K992" s="9">
        <f>E992+F992+G992+H992+I992-J992</f>
        <v/>
      </c>
      <c r="L992" s="10">
        <f>Q991</f>
        <v/>
      </c>
      <c r="M992" s="10" t="n">
        <v>85</v>
      </c>
      <c r="N992" s="10" t="n">
        <v>3</v>
      </c>
      <c r="O992" s="10">
        <f>J992/160</f>
        <v/>
      </c>
      <c r="P992" s="10" t="n">
        <v>30</v>
      </c>
      <c r="Q992" s="10">
        <f>L992+M992+N992+O992-P992</f>
        <v/>
      </c>
      <c r="R992" s="11">
        <f>T991</f>
        <v/>
      </c>
      <c r="S992" s="11">
        <f>N(V992) + N(X992) + N(Z992)</f>
        <v/>
      </c>
      <c r="T992" s="11">
        <f>R992+P992-S992</f>
        <v/>
      </c>
      <c r="U992" s="11" t="inlineStr">
        <is>
          <t>是</t>
        </is>
      </c>
      <c r="V992" s="11" t="n">
        <v>49</v>
      </c>
      <c r="W992" s="11" t="inlineStr">
        <is>
          <t>否</t>
        </is>
      </c>
      <c r="X992" s="11" t="inlineStr">
        <is>
          <t>-</t>
        </is>
      </c>
      <c r="Y992" s="11" t="inlineStr">
        <is>
          <t>-</t>
        </is>
      </c>
      <c r="Z992" s="11" t="n">
        <v>0</v>
      </c>
      <c r="AA992" s="11" t="inlineStr">
        <is>
          <t>无</t>
        </is>
      </c>
      <c r="AB992" s="12">
        <f>AE991</f>
        <v/>
      </c>
      <c r="AC992" s="12" t="n">
        <v>4</v>
      </c>
      <c r="AD992" s="12" t="n">
        <v>0</v>
      </c>
      <c r="AE992" s="12">
        <f>AB992+AC992+AD992</f>
        <v/>
      </c>
      <c r="AF992" s="13">
        <f>AI991</f>
        <v/>
      </c>
      <c r="AG992" s="13" t="n">
        <v>0</v>
      </c>
      <c r="AH992" s="13" t="n">
        <v>0</v>
      </c>
      <c r="AI992" s="13">
        <f>AF992+AG992+AH992</f>
        <v/>
      </c>
      <c r="AJ992" s="14" t="n">
        <v>0</v>
      </c>
      <c r="AK992" s="14" t="n">
        <v>50</v>
      </c>
      <c r="AL992" s="14" t="n">
        <v>0</v>
      </c>
      <c r="AM992" s="14">
        <f>AJ992+AK992+AL992</f>
        <v/>
      </c>
      <c r="AN992" s="14">
        <f>AN991+AM992</f>
        <v/>
      </c>
    </row>
    <row r="993">
      <c r="A993" s="8" t="n">
        <v>39</v>
      </c>
      <c r="B993" s="8" t="n">
        <v>2</v>
      </c>
      <c r="C993" s="8" t="n">
        <v>2</v>
      </c>
      <c r="D993" s="8" t="inlineStr">
        <is>
          <t>月卡收益 [月卡续费-30元]</t>
        </is>
      </c>
      <c r="E993" s="9">
        <f>K992</f>
        <v/>
      </c>
      <c r="F993" s="9" t="n">
        <v>1540</v>
      </c>
      <c r="G993" s="9" t="n">
        <v>0</v>
      </c>
      <c r="H993" s="9" t="n">
        <v>0</v>
      </c>
      <c r="I993" s="9" t="n">
        <v>0</v>
      </c>
      <c r="J993" s="9" t="n">
        <v>4160</v>
      </c>
      <c r="K993" s="9">
        <f>E993+F993+G993+H993+I993-J993</f>
        <v/>
      </c>
      <c r="L993" s="10">
        <f>Q992</f>
        <v/>
      </c>
      <c r="M993" s="10" t="n">
        <v>0</v>
      </c>
      <c r="N993" s="10" t="n">
        <v>11</v>
      </c>
      <c r="O993" s="10">
        <f>J993/160</f>
        <v/>
      </c>
      <c r="P993" s="10" t="n">
        <v>90</v>
      </c>
      <c r="Q993" s="10">
        <f>L993+M993+N993+O993-P993</f>
        <v/>
      </c>
      <c r="R993" s="11">
        <f>T992</f>
        <v/>
      </c>
      <c r="S993" s="11">
        <f>N(V993) + N(X993) + N(Z993)</f>
        <v/>
      </c>
      <c r="T993" s="11">
        <f>R993+P993-S993</f>
        <v/>
      </c>
      <c r="U993" s="11" t="inlineStr">
        <is>
          <t>是</t>
        </is>
      </c>
      <c r="V993" s="11" t="n">
        <v>50</v>
      </c>
      <c r="W993" s="11" t="inlineStr">
        <is>
          <t>是</t>
        </is>
      </c>
      <c r="X993" s="11" t="n">
        <v>47</v>
      </c>
      <c r="Y993" s="11" t="inlineStr">
        <is>
          <t>-</t>
        </is>
      </c>
      <c r="Z993" s="11" t="n">
        <v>0</v>
      </c>
      <c r="AA993" s="11" t="inlineStr">
        <is>
          <t>无</t>
        </is>
      </c>
      <c r="AB993" s="12">
        <f>AE992</f>
        <v/>
      </c>
      <c r="AC993" s="12" t="n">
        <v>0</v>
      </c>
      <c r="AD993" s="12" t="n">
        <v>0</v>
      </c>
      <c r="AE993" s="12">
        <f>AB993+AC993+AD993</f>
        <v/>
      </c>
      <c r="AF993" s="13">
        <f>AI992</f>
        <v/>
      </c>
      <c r="AG993" s="13" t="n">
        <v>0</v>
      </c>
      <c r="AH993" s="13" t="n">
        <v>0</v>
      </c>
      <c r="AI993" s="13">
        <f>AF993+AG993+AH993</f>
        <v/>
      </c>
      <c r="AJ993" s="14" t="n">
        <v>30</v>
      </c>
      <c r="AK993" s="14" t="n">
        <v>0</v>
      </c>
      <c r="AL993" s="14" t="n">
        <v>0</v>
      </c>
      <c r="AM993" s="14">
        <f>AJ993+AK993+AL993</f>
        <v/>
      </c>
      <c r="AN993" s="14">
        <f>AN992+AM993</f>
        <v/>
      </c>
    </row>
    <row r="994">
      <c r="A994" s="8" t="n">
        <v>39</v>
      </c>
      <c r="B994" s="8" t="n">
        <v>3</v>
      </c>
      <c r="C994" s="8" t="n">
        <v>1</v>
      </c>
      <c r="D994" s="8" t="inlineStr">
        <is>
          <t>版本免费+义相逢 + 月卡收益</t>
        </is>
      </c>
      <c r="E994" s="9">
        <f>K993</f>
        <v/>
      </c>
      <c r="F994" s="9" t="n">
        <v>1540</v>
      </c>
      <c r="G994" s="9" t="n">
        <v>4800</v>
      </c>
      <c r="H994" s="9" t="n">
        <v>0</v>
      </c>
      <c r="I994" s="9" t="n">
        <v>0</v>
      </c>
      <c r="J994" s="9" t="n">
        <v>0</v>
      </c>
      <c r="K994" s="9">
        <f>E994+F994+G994+H994+I994-J994</f>
        <v/>
      </c>
      <c r="L994" s="10">
        <f>Q993</f>
        <v/>
      </c>
      <c r="M994" s="10" t="n">
        <v>85</v>
      </c>
      <c r="N994" s="10" t="n">
        <v>6</v>
      </c>
      <c r="O994" s="10">
        <f>J994/160</f>
        <v/>
      </c>
      <c r="P994" s="10" t="n">
        <v>60</v>
      </c>
      <c r="Q994" s="10">
        <f>L994+M994+N994+O994-P994</f>
        <v/>
      </c>
      <c r="R994" s="11">
        <f>T993</f>
        <v/>
      </c>
      <c r="S994" s="11">
        <f>N(V994) + N(X994) + N(Z994)</f>
        <v/>
      </c>
      <c r="T994" s="11">
        <f>R994+P994-S994</f>
        <v/>
      </c>
      <c r="U994" s="11" t="inlineStr">
        <is>
          <t>是</t>
        </is>
      </c>
      <c r="V994" s="11" t="n">
        <v>48</v>
      </c>
      <c r="W994" s="11" t="inlineStr">
        <is>
          <t>否</t>
        </is>
      </c>
      <c r="X994" s="11" t="inlineStr">
        <is>
          <t>-</t>
        </is>
      </c>
      <c r="Y994" s="11" t="inlineStr">
        <is>
          <t>-</t>
        </is>
      </c>
      <c r="Z994" s="11" t="n">
        <v>0</v>
      </c>
      <c r="AA994" s="11" t="inlineStr">
        <is>
          <t>垫到60抽</t>
        </is>
      </c>
      <c r="AB994" s="12">
        <f>AE993</f>
        <v/>
      </c>
      <c r="AC994" s="12" t="n">
        <v>4</v>
      </c>
      <c r="AD994" s="12" t="n">
        <v>0</v>
      </c>
      <c r="AE994" s="12">
        <f>AB994+AC994+AD994</f>
        <v/>
      </c>
      <c r="AF994" s="13">
        <f>AI993</f>
        <v/>
      </c>
      <c r="AG994" s="13" t="n">
        <v>0</v>
      </c>
      <c r="AH994" s="13" t="n">
        <v>0</v>
      </c>
      <c r="AI994" s="13">
        <f>AF994+AG994+AH994</f>
        <v/>
      </c>
      <c r="AJ994" s="14" t="n">
        <v>0</v>
      </c>
      <c r="AK994" s="14" t="n">
        <v>50</v>
      </c>
      <c r="AL994" s="14" t="n">
        <v>0</v>
      </c>
      <c r="AM994" s="14">
        <f>AJ994+AK994+AL994</f>
        <v/>
      </c>
      <c r="AN994" s="14">
        <f>AN993+AM994</f>
        <v/>
      </c>
    </row>
    <row r="995">
      <c r="A995" s="8" t="n">
        <v>39</v>
      </c>
      <c r="B995" s="8" t="n">
        <v>3</v>
      </c>
      <c r="C995" s="8" t="n">
        <v>2</v>
      </c>
      <c r="D995" s="8" t="inlineStr">
        <is>
          <t>月卡收益 [月卡续费-30元]</t>
        </is>
      </c>
      <c r="E995" s="9">
        <f>K994</f>
        <v/>
      </c>
      <c r="F995" s="9" t="n">
        <v>1540</v>
      </c>
      <c r="G995" s="9" t="n">
        <v>0</v>
      </c>
      <c r="H995" s="9" t="n">
        <v>0</v>
      </c>
      <c r="I995" s="9" t="n">
        <v>0</v>
      </c>
      <c r="J995" s="9" t="n">
        <v>160</v>
      </c>
      <c r="K995" s="9">
        <f>E995+F995+G995+H995+I995-J995</f>
        <v/>
      </c>
      <c r="L995" s="10">
        <f>Q994</f>
        <v/>
      </c>
      <c r="M995" s="10" t="n">
        <v>0</v>
      </c>
      <c r="N995" s="10" t="n">
        <v>3</v>
      </c>
      <c r="O995" s="10">
        <f>J995/160</f>
        <v/>
      </c>
      <c r="P995" s="10" t="n">
        <v>40</v>
      </c>
      <c r="Q995" s="10">
        <f>L995+M995+N995+O995-P995</f>
        <v/>
      </c>
      <c r="R995" s="11">
        <f>T994</f>
        <v/>
      </c>
      <c r="S995" s="11">
        <f>N(V995) + N(X995) + N(Z995)</f>
        <v/>
      </c>
      <c r="T995" s="11">
        <f>R995+P995-S995</f>
        <v/>
      </c>
      <c r="U995" s="11" t="inlineStr">
        <is>
          <t>是</t>
        </is>
      </c>
      <c r="V995" s="11" t="n">
        <v>47</v>
      </c>
      <c r="W995" s="11" t="inlineStr">
        <is>
          <t>否</t>
        </is>
      </c>
      <c r="X995" s="11" t="inlineStr">
        <is>
          <t>-</t>
        </is>
      </c>
      <c r="Y995" s="11" t="inlineStr">
        <is>
          <t>-</t>
        </is>
      </c>
      <c r="Z995" s="11" t="n">
        <v>0</v>
      </c>
      <c r="AA995" s="11" t="inlineStr">
        <is>
          <t>无</t>
        </is>
      </c>
      <c r="AB995" s="12">
        <f>AE994</f>
        <v/>
      </c>
      <c r="AC995" s="12" t="n">
        <v>0</v>
      </c>
      <c r="AD995" s="12" t="n">
        <v>0</v>
      </c>
      <c r="AE995" s="12">
        <f>AB995+AC995+AD995</f>
        <v/>
      </c>
      <c r="AF995" s="13">
        <f>AI994</f>
        <v/>
      </c>
      <c r="AG995" s="13" t="n">
        <v>0</v>
      </c>
      <c r="AH995" s="13" t="n">
        <v>0</v>
      </c>
      <c r="AI995" s="13">
        <f>AF995+AG995+AH995</f>
        <v/>
      </c>
      <c r="AJ995" s="14" t="n">
        <v>30</v>
      </c>
      <c r="AK995" s="14" t="n">
        <v>0</v>
      </c>
      <c r="AL995" s="14" t="n">
        <v>0</v>
      </c>
      <c r="AM995" s="14">
        <f>AJ995+AK995+AL995</f>
        <v/>
      </c>
      <c r="AN995" s="14">
        <f>AN994+AM995</f>
        <v/>
      </c>
    </row>
    <row r="996">
      <c r="A996" s="8" t="n">
        <v>39</v>
      </c>
      <c r="B996" s="8" t="n">
        <v>4</v>
      </c>
      <c r="C996" s="8" t="n">
        <v>1</v>
      </c>
      <c r="D996" s="8" t="inlineStr">
        <is>
          <t>版本免费+义相逢 + 月卡收益</t>
        </is>
      </c>
      <c r="E996" s="9">
        <f>K995</f>
        <v/>
      </c>
      <c r="F996" s="9" t="n">
        <v>1540</v>
      </c>
      <c r="G996" s="9" t="n">
        <v>4800</v>
      </c>
      <c r="H996" s="9" t="n">
        <v>0</v>
      </c>
      <c r="I996" s="9" t="n">
        <v>0</v>
      </c>
      <c r="J996" s="9" t="n">
        <v>0</v>
      </c>
      <c r="K996" s="9">
        <f>E996+F996+G996+H996+I996-J996</f>
        <v/>
      </c>
      <c r="L996" s="10">
        <f>Q995</f>
        <v/>
      </c>
      <c r="M996" s="10" t="n">
        <v>85</v>
      </c>
      <c r="N996" s="10" t="n">
        <v>6</v>
      </c>
      <c r="O996" s="10">
        <f>J996/160</f>
        <v/>
      </c>
      <c r="P996" s="10" t="n">
        <v>70</v>
      </c>
      <c r="Q996" s="10">
        <f>L996+M996+N996+O996-P996</f>
        <v/>
      </c>
      <c r="R996" s="11">
        <f>T995</f>
        <v/>
      </c>
      <c r="S996" s="11">
        <f>N(V996) + N(X996) + N(Z996)</f>
        <v/>
      </c>
      <c r="T996" s="11">
        <f>R996+P996-S996</f>
        <v/>
      </c>
      <c r="U996" s="11" t="inlineStr">
        <is>
          <t>是</t>
        </is>
      </c>
      <c r="V996" s="11" t="n">
        <v>24</v>
      </c>
      <c r="W996" s="11" t="inlineStr">
        <is>
          <t>是</t>
        </is>
      </c>
      <c r="X996" s="11" t="n">
        <v>50</v>
      </c>
      <c r="Y996" s="11" t="inlineStr">
        <is>
          <t>-</t>
        </is>
      </c>
      <c r="Z996" s="11" t="n">
        <v>0</v>
      </c>
      <c r="AA996" s="11" t="inlineStr">
        <is>
          <t>无</t>
        </is>
      </c>
      <c r="AB996" s="12">
        <f>AE995</f>
        <v/>
      </c>
      <c r="AC996" s="12" t="n">
        <v>4</v>
      </c>
      <c r="AD996" s="12" t="n">
        <v>0</v>
      </c>
      <c r="AE996" s="12">
        <f>AB996+AC996+AD996</f>
        <v/>
      </c>
      <c r="AF996" s="13">
        <f>AI995</f>
        <v/>
      </c>
      <c r="AG996" s="13" t="n">
        <v>0</v>
      </c>
      <c r="AH996" s="13" t="n">
        <v>0</v>
      </c>
      <c r="AI996" s="13">
        <f>AF996+AG996+AH996</f>
        <v/>
      </c>
      <c r="AJ996" s="14" t="n">
        <v>0</v>
      </c>
      <c r="AK996" s="14" t="n">
        <v>50</v>
      </c>
      <c r="AL996" s="14" t="n">
        <v>0</v>
      </c>
      <c r="AM996" s="14">
        <f>AJ996+AK996+AL996</f>
        <v/>
      </c>
      <c r="AN996" s="14">
        <f>AN995+AM996</f>
        <v/>
      </c>
    </row>
    <row r="997">
      <c r="A997" s="8" t="n">
        <v>39</v>
      </c>
      <c r="B997" s="8" t="n">
        <v>4</v>
      </c>
      <c r="C997" s="8" t="n">
        <v>2</v>
      </c>
      <c r="D997" s="8" t="inlineStr">
        <is>
          <t>月卡收益 [月卡续费-30元]</t>
        </is>
      </c>
      <c r="E997" s="9">
        <f>K996</f>
        <v/>
      </c>
      <c r="F997" s="9" t="n">
        <v>1540</v>
      </c>
      <c r="G997" s="9" t="n">
        <v>0</v>
      </c>
      <c r="H997" s="9" t="n">
        <v>0</v>
      </c>
      <c r="I997" s="9" t="n">
        <v>0</v>
      </c>
      <c r="J997" s="9" t="n">
        <v>10880</v>
      </c>
      <c r="K997" s="9">
        <f>E997+F997+G997+H997+I997-J997</f>
        <v/>
      </c>
      <c r="L997" s="10">
        <f>Q996</f>
        <v/>
      </c>
      <c r="M997" s="10" t="n">
        <v>0</v>
      </c>
      <c r="N997" s="10" t="n">
        <v>11</v>
      </c>
      <c r="O997" s="10">
        <f>J997/160</f>
        <v/>
      </c>
      <c r="P997" s="10" t="n">
        <v>100</v>
      </c>
      <c r="Q997" s="10">
        <f>L997+M997+N997+O997-P997</f>
        <v/>
      </c>
      <c r="R997" s="11">
        <f>T996</f>
        <v/>
      </c>
      <c r="S997" s="11">
        <f>N(V997) + N(X997) + N(Z997)</f>
        <v/>
      </c>
      <c r="T997" s="11">
        <f>R997+P997-S997</f>
        <v/>
      </c>
      <c r="U997" s="11" t="inlineStr">
        <is>
          <t>是</t>
        </is>
      </c>
      <c r="V997" s="11" t="n">
        <v>52</v>
      </c>
      <c r="W997" s="11" t="inlineStr">
        <is>
          <t>是</t>
        </is>
      </c>
      <c r="X997" s="11" t="n">
        <v>47</v>
      </c>
      <c r="Y997" s="11" t="inlineStr">
        <is>
          <t>-</t>
        </is>
      </c>
      <c r="Z997" s="11" t="n">
        <v>0</v>
      </c>
      <c r="AA997" s="11" t="inlineStr">
        <is>
          <t>无</t>
        </is>
      </c>
      <c r="AB997" s="12">
        <f>AE996</f>
        <v/>
      </c>
      <c r="AC997" s="12" t="n">
        <v>0</v>
      </c>
      <c r="AD997" s="12" t="n">
        <v>0</v>
      </c>
      <c r="AE997" s="12">
        <f>AB997+AC997+AD997</f>
        <v/>
      </c>
      <c r="AF997" s="13">
        <f>AI996</f>
        <v/>
      </c>
      <c r="AG997" s="13" t="n">
        <v>0</v>
      </c>
      <c r="AH997" s="13" t="n">
        <v>0</v>
      </c>
      <c r="AI997" s="13">
        <f>AF997+AG997+AH997</f>
        <v/>
      </c>
      <c r="AJ997" s="14" t="n">
        <v>30</v>
      </c>
      <c r="AK997" s="14" t="n">
        <v>0</v>
      </c>
      <c r="AL997" s="14" t="n">
        <v>0</v>
      </c>
      <c r="AM997" s="14">
        <f>AJ997+AK997+AL997</f>
        <v/>
      </c>
      <c r="AN997" s="14">
        <f>AN996+AM997</f>
        <v/>
      </c>
    </row>
    <row r="998">
      <c r="A998" s="8" t="n">
        <v>39</v>
      </c>
      <c r="B998" s="8" t="n">
        <v>5</v>
      </c>
      <c r="C998" s="8" t="n">
        <v>1</v>
      </c>
      <c r="D998" s="8" t="inlineStr">
        <is>
          <t>版本免费+义相逢 + 月卡收益</t>
        </is>
      </c>
      <c r="E998" s="9">
        <f>K997</f>
        <v/>
      </c>
      <c r="F998" s="9" t="n">
        <v>1540</v>
      </c>
      <c r="G998" s="9" t="n">
        <v>4800</v>
      </c>
      <c r="H998" s="9" t="n">
        <v>0</v>
      </c>
      <c r="I998" s="9" t="n">
        <v>0</v>
      </c>
      <c r="J998" s="9" t="n">
        <v>0</v>
      </c>
      <c r="K998" s="9">
        <f>E998+F998+G998+H998+I998-J998</f>
        <v/>
      </c>
      <c r="L998" s="10">
        <f>Q997</f>
        <v/>
      </c>
      <c r="M998" s="10" t="n">
        <v>85</v>
      </c>
      <c r="N998" s="10" t="n">
        <v>6</v>
      </c>
      <c r="O998" s="10">
        <f>J998/160</f>
        <v/>
      </c>
      <c r="P998" s="10" t="n">
        <v>60</v>
      </c>
      <c r="Q998" s="10">
        <f>L998+M998+N998+O998-P998</f>
        <v/>
      </c>
      <c r="R998" s="11">
        <f>T997</f>
        <v/>
      </c>
      <c r="S998" s="11">
        <f>N(V998) + N(X998) + N(Z998)</f>
        <v/>
      </c>
      <c r="T998" s="11">
        <f>R998+P998-S998</f>
        <v/>
      </c>
      <c r="U998" s="11" t="inlineStr">
        <is>
          <t>是</t>
        </is>
      </c>
      <c r="V998" s="11" t="n">
        <v>51</v>
      </c>
      <c r="W998" s="11" t="inlineStr">
        <is>
          <t>否</t>
        </is>
      </c>
      <c r="X998" s="11" t="inlineStr">
        <is>
          <t>-</t>
        </is>
      </c>
      <c r="Y998" s="11" t="inlineStr">
        <is>
          <t>-</t>
        </is>
      </c>
      <c r="Z998" s="11" t="n">
        <v>0</v>
      </c>
      <c r="AA998" s="11" t="inlineStr">
        <is>
          <t>垫到60抽</t>
        </is>
      </c>
      <c r="AB998" s="12">
        <f>AE997</f>
        <v/>
      </c>
      <c r="AC998" s="12" t="n">
        <v>4</v>
      </c>
      <c r="AD998" s="12" t="n">
        <v>0</v>
      </c>
      <c r="AE998" s="12">
        <f>AB998+AC998+AD998</f>
        <v/>
      </c>
      <c r="AF998" s="13">
        <f>AI997</f>
        <v/>
      </c>
      <c r="AG998" s="13" t="n">
        <v>0</v>
      </c>
      <c r="AH998" s="13" t="n">
        <v>0</v>
      </c>
      <c r="AI998" s="13">
        <f>AF998+AG998+AH998</f>
        <v/>
      </c>
      <c r="AJ998" s="14" t="n">
        <v>0</v>
      </c>
      <c r="AK998" s="14" t="n">
        <v>50</v>
      </c>
      <c r="AL998" s="14" t="n">
        <v>0</v>
      </c>
      <c r="AM998" s="14">
        <f>AJ998+AK998+AL998</f>
        <v/>
      </c>
      <c r="AN998" s="14">
        <f>AN997+AM998</f>
        <v/>
      </c>
    </row>
    <row r="999">
      <c r="A999" s="8" t="n">
        <v>39</v>
      </c>
      <c r="B999" s="8" t="n">
        <v>5</v>
      </c>
      <c r="C999" s="8" t="n">
        <v>2</v>
      </c>
      <c r="D999" s="8" t="inlineStr">
        <is>
          <t>月卡收益 [月卡续费-30元]</t>
        </is>
      </c>
      <c r="E999" s="9">
        <f>K998</f>
        <v/>
      </c>
      <c r="F999" s="9" t="n">
        <v>1540</v>
      </c>
      <c r="G999" s="9" t="n">
        <v>0</v>
      </c>
      <c r="H999" s="9" t="n">
        <v>0</v>
      </c>
      <c r="I999" s="9" t="n">
        <v>0</v>
      </c>
      <c r="J999" s="9" t="n">
        <v>960</v>
      </c>
      <c r="K999" s="9">
        <f>E999+F999+G999+H999+I999-J999</f>
        <v/>
      </c>
      <c r="L999" s="10">
        <f>Q998</f>
        <v/>
      </c>
      <c r="M999" s="10" t="n">
        <v>0</v>
      </c>
      <c r="N999" s="10" t="n">
        <v>3</v>
      </c>
      <c r="O999" s="10">
        <f>J999/160</f>
        <v/>
      </c>
      <c r="P999" s="10" t="n">
        <v>40</v>
      </c>
      <c r="Q999" s="10">
        <f>L999+M999+N999+O999-P999</f>
        <v/>
      </c>
      <c r="R999" s="11">
        <f>T998</f>
        <v/>
      </c>
      <c r="S999" s="11">
        <f>N(V999) + N(X999) + N(Z999)</f>
        <v/>
      </c>
      <c r="T999" s="11">
        <f>R999+P999-S999</f>
        <v/>
      </c>
      <c r="U999" s="11" t="inlineStr">
        <is>
          <t>是</t>
        </is>
      </c>
      <c r="V999" s="11" t="n">
        <v>50</v>
      </c>
      <c r="W999" s="11" t="inlineStr">
        <is>
          <t>否</t>
        </is>
      </c>
      <c r="X999" s="11" t="inlineStr">
        <is>
          <t>-</t>
        </is>
      </c>
      <c r="Y999" s="11" t="inlineStr">
        <is>
          <t>-</t>
        </is>
      </c>
      <c r="Z999" s="11" t="n">
        <v>0</v>
      </c>
      <c r="AA999" s="11" t="inlineStr">
        <is>
          <t>无</t>
        </is>
      </c>
      <c r="AB999" s="12">
        <f>AE998</f>
        <v/>
      </c>
      <c r="AC999" s="12" t="n">
        <v>0</v>
      </c>
      <c r="AD999" s="12" t="n">
        <v>0</v>
      </c>
      <c r="AE999" s="12">
        <f>AB999+AC999+AD999</f>
        <v/>
      </c>
      <c r="AF999" s="13">
        <f>AI998</f>
        <v/>
      </c>
      <c r="AG999" s="13" t="n">
        <v>0</v>
      </c>
      <c r="AH999" s="13" t="n">
        <v>0</v>
      </c>
      <c r="AI999" s="13">
        <f>AF999+AG999+AH999</f>
        <v/>
      </c>
      <c r="AJ999" s="14" t="n">
        <v>30</v>
      </c>
      <c r="AK999" s="14" t="n">
        <v>0</v>
      </c>
      <c r="AL999" s="14" t="n">
        <v>0</v>
      </c>
      <c r="AM999" s="14">
        <f>AJ999+AK999+AL999</f>
        <v/>
      </c>
      <c r="AN999" s="14">
        <f>AN998+AM999</f>
        <v/>
      </c>
    </row>
    <row r="1000">
      <c r="A1000" s="8" t="n">
        <v>39</v>
      </c>
      <c r="B1000" s="8" t="n">
        <v>6</v>
      </c>
      <c r="C1000" s="8" t="n">
        <v>1</v>
      </c>
      <c r="D1000" s="8" t="inlineStr">
        <is>
          <t>版本免费+义相逢 + 月卡收益</t>
        </is>
      </c>
      <c r="E1000" s="9">
        <f>K999</f>
        <v/>
      </c>
      <c r="F1000" s="9" t="n">
        <v>1540</v>
      </c>
      <c r="G1000" s="9" t="n">
        <v>4800</v>
      </c>
      <c r="H1000" s="9" t="n">
        <v>0</v>
      </c>
      <c r="I1000" s="9" t="n">
        <v>0</v>
      </c>
      <c r="J1000" s="9" t="n">
        <v>640</v>
      </c>
      <c r="K1000" s="9">
        <f>E1000+F1000+G1000+H1000+I1000-J1000</f>
        <v/>
      </c>
      <c r="L1000" s="10">
        <f>Q999</f>
        <v/>
      </c>
      <c r="M1000" s="10" t="n">
        <v>85</v>
      </c>
      <c r="N1000" s="10" t="n">
        <v>11</v>
      </c>
      <c r="O1000" s="10">
        <f>J1000/160</f>
        <v/>
      </c>
      <c r="P1000" s="10" t="n">
        <v>100</v>
      </c>
      <c r="Q1000" s="10">
        <f>L1000+M1000+N1000+O1000-P1000</f>
        <v/>
      </c>
      <c r="R1000" s="11">
        <f>T999</f>
        <v/>
      </c>
      <c r="S1000" s="11">
        <f>N(V1000) + N(X1000) + N(Z1000)</f>
        <v/>
      </c>
      <c r="T1000" s="11">
        <f>R1000+P1000-S1000</f>
        <v/>
      </c>
      <c r="U1000" s="11" t="inlineStr">
        <is>
          <t>是</t>
        </is>
      </c>
      <c r="V1000" s="11" t="n">
        <v>46</v>
      </c>
      <c r="W1000" s="11" t="inlineStr">
        <is>
          <t>是</t>
        </is>
      </c>
      <c r="X1000" s="11" t="n">
        <v>47</v>
      </c>
      <c r="Y1000" s="11" t="inlineStr">
        <is>
          <t>-</t>
        </is>
      </c>
      <c r="Z1000" s="11" t="n">
        <v>0</v>
      </c>
      <c r="AA1000" s="11" t="inlineStr">
        <is>
          <t>无</t>
        </is>
      </c>
      <c r="AB1000" s="12">
        <f>AE999</f>
        <v/>
      </c>
      <c r="AC1000" s="12" t="n">
        <v>4</v>
      </c>
      <c r="AD1000" s="12" t="n">
        <v>0</v>
      </c>
      <c r="AE1000" s="12">
        <f>AB1000+AC1000+AD1000</f>
        <v/>
      </c>
      <c r="AF1000" s="13">
        <f>AI999</f>
        <v/>
      </c>
      <c r="AG1000" s="13" t="n">
        <v>0</v>
      </c>
      <c r="AH1000" s="13" t="n">
        <v>0</v>
      </c>
      <c r="AI1000" s="13">
        <f>AF1000+AG1000+AH1000</f>
        <v/>
      </c>
      <c r="AJ1000" s="14" t="n">
        <v>0</v>
      </c>
      <c r="AK1000" s="14" t="n">
        <v>50</v>
      </c>
      <c r="AL1000" s="14" t="n">
        <v>0</v>
      </c>
      <c r="AM1000" s="14">
        <f>AJ1000+AK1000+AL1000</f>
        <v/>
      </c>
      <c r="AN1000" s="14">
        <f>AN999+AM1000</f>
        <v/>
      </c>
    </row>
    <row r="1001">
      <c r="A1001" s="8" t="n">
        <v>39</v>
      </c>
      <c r="B1001" s="8" t="n">
        <v>6</v>
      </c>
      <c r="C1001" s="8" t="n">
        <v>2</v>
      </c>
      <c r="D1001" s="8" t="inlineStr">
        <is>
          <t>月卡收益 [月卡续费-30元]</t>
        </is>
      </c>
      <c r="E1001" s="9">
        <f>K1000</f>
        <v/>
      </c>
      <c r="F1001" s="9" t="n">
        <v>1540</v>
      </c>
      <c r="G1001" s="9" t="n">
        <v>0</v>
      </c>
      <c r="H1001" s="9" t="n">
        <v>0</v>
      </c>
      <c r="I1001" s="9" t="n">
        <v>0</v>
      </c>
      <c r="J1001" s="9" t="n">
        <v>13440</v>
      </c>
      <c r="K1001" s="9">
        <f>E1001+F1001+G1001+H1001+I1001-J1001</f>
        <v/>
      </c>
      <c r="L1001" s="10">
        <f>Q1000</f>
        <v/>
      </c>
      <c r="M1001" s="10" t="n">
        <v>0</v>
      </c>
      <c r="N1001" s="10" t="n">
        <v>11</v>
      </c>
      <c r="O1001" s="10">
        <f>J1001/160</f>
        <v/>
      </c>
      <c r="P1001" s="10" t="n">
        <v>90</v>
      </c>
      <c r="Q1001" s="10">
        <f>L1001+M1001+N1001+O1001-P1001</f>
        <v/>
      </c>
      <c r="R1001" s="11">
        <f>T1000</f>
        <v/>
      </c>
      <c r="S1001" s="11">
        <f>N(V1001) + N(X1001) + N(Z1001)</f>
        <v/>
      </c>
      <c r="T1001" s="11">
        <f>R1001+P1001-S1001</f>
        <v/>
      </c>
      <c r="U1001" s="11" t="inlineStr">
        <is>
          <t>是</t>
        </is>
      </c>
      <c r="V1001" s="11" t="n">
        <v>47</v>
      </c>
      <c r="W1001" s="11" t="inlineStr">
        <is>
          <t>是</t>
        </is>
      </c>
      <c r="X1001" s="11" t="n">
        <v>52</v>
      </c>
      <c r="Y1001" s="11" t="inlineStr">
        <is>
          <t>-</t>
        </is>
      </c>
      <c r="Z1001" s="11" t="n">
        <v>0</v>
      </c>
      <c r="AA1001" s="11" t="inlineStr">
        <is>
          <t>无</t>
        </is>
      </c>
      <c r="AB1001" s="12">
        <f>AE1000</f>
        <v/>
      </c>
      <c r="AC1001" s="12" t="n">
        <v>0</v>
      </c>
      <c r="AD1001" s="12" t="n">
        <v>0</v>
      </c>
      <c r="AE1001" s="12">
        <f>AB1001+AC1001+AD1001</f>
        <v/>
      </c>
      <c r="AF1001" s="13">
        <f>AI1000</f>
        <v/>
      </c>
      <c r="AG1001" s="13" t="n">
        <v>0</v>
      </c>
      <c r="AH1001" s="13" t="n">
        <v>0</v>
      </c>
      <c r="AI1001" s="13">
        <f>AF1001+AG1001+AH1001</f>
        <v/>
      </c>
      <c r="AJ1001" s="14" t="n">
        <v>30</v>
      </c>
      <c r="AK1001" s="14" t="n">
        <v>0</v>
      </c>
      <c r="AL1001" s="14" t="n">
        <v>0</v>
      </c>
      <c r="AM1001" s="14">
        <f>AJ1001+AK1001+AL1001</f>
        <v/>
      </c>
      <c r="AN1001" s="14">
        <f>AN1000+AM1001</f>
        <v/>
      </c>
    </row>
    <row r="1002">
      <c r="A1002" s="8" t="n">
        <v>39</v>
      </c>
      <c r="B1002" s="8" t="n">
        <v>7</v>
      </c>
      <c r="C1002" s="8" t="n">
        <v>1</v>
      </c>
      <c r="D1002" s="8" t="inlineStr">
        <is>
          <t>版本免费+义相逢 + 月卡收益</t>
        </is>
      </c>
      <c r="E1002" s="9">
        <f>K1001</f>
        <v/>
      </c>
      <c r="F1002" s="9" t="n">
        <v>1540</v>
      </c>
      <c r="G1002" s="9" t="n">
        <v>4800</v>
      </c>
      <c r="H1002" s="9" t="n">
        <v>0</v>
      </c>
      <c r="I1002" s="9" t="n">
        <v>0</v>
      </c>
      <c r="J1002" s="9" t="n">
        <v>0</v>
      </c>
      <c r="K1002" s="9">
        <f>E1002+F1002+G1002+H1002+I1002-J1002</f>
        <v/>
      </c>
      <c r="L1002" s="10">
        <f>Q1001</f>
        <v/>
      </c>
      <c r="M1002" s="10" t="n">
        <v>85</v>
      </c>
      <c r="N1002" s="10" t="n">
        <v>6</v>
      </c>
      <c r="O1002" s="10">
        <f>J1002/160</f>
        <v/>
      </c>
      <c r="P1002" s="10" t="n">
        <v>60</v>
      </c>
      <c r="Q1002" s="10">
        <f>L1002+M1002+N1002+O1002-P1002</f>
        <v/>
      </c>
      <c r="R1002" s="11">
        <f>T1001</f>
        <v/>
      </c>
      <c r="S1002" s="11">
        <f>N(V1002) + N(X1002) + N(Z1002)</f>
        <v/>
      </c>
      <c r="T1002" s="11">
        <f>R1002+P1002-S1002</f>
        <v/>
      </c>
      <c r="U1002" s="11" t="inlineStr">
        <is>
          <t>是</t>
        </is>
      </c>
      <c r="V1002" s="11" t="n">
        <v>48</v>
      </c>
      <c r="W1002" s="11" t="inlineStr">
        <is>
          <t>否</t>
        </is>
      </c>
      <c r="X1002" s="11" t="inlineStr">
        <is>
          <t>-</t>
        </is>
      </c>
      <c r="Y1002" s="11" t="inlineStr">
        <is>
          <t>-</t>
        </is>
      </c>
      <c r="Z1002" s="11" t="n">
        <v>0</v>
      </c>
      <c r="AA1002" s="11" t="inlineStr">
        <is>
          <t>垫到60抽</t>
        </is>
      </c>
      <c r="AB1002" s="12">
        <f>AE1001</f>
        <v/>
      </c>
      <c r="AC1002" s="12" t="n">
        <v>4</v>
      </c>
      <c r="AD1002" s="12" t="n">
        <v>0</v>
      </c>
      <c r="AE1002" s="12">
        <f>AB1002+AC1002+AD1002</f>
        <v/>
      </c>
      <c r="AF1002" s="13">
        <f>AI1001</f>
        <v/>
      </c>
      <c r="AG1002" s="13" t="n">
        <v>0</v>
      </c>
      <c r="AH1002" s="13" t="n">
        <v>0</v>
      </c>
      <c r="AI1002" s="13">
        <f>AF1002+AG1002+AH1002</f>
        <v/>
      </c>
      <c r="AJ1002" s="14" t="n">
        <v>0</v>
      </c>
      <c r="AK1002" s="14" t="n">
        <v>50</v>
      </c>
      <c r="AL1002" s="14" t="n">
        <v>0</v>
      </c>
      <c r="AM1002" s="14">
        <f>AJ1002+AK1002+AL1002</f>
        <v/>
      </c>
      <c r="AN1002" s="14">
        <f>AN1001+AM1002</f>
        <v/>
      </c>
    </row>
    <row r="1003">
      <c r="A1003" s="8" t="n">
        <v>39</v>
      </c>
      <c r="B1003" s="8" t="n">
        <v>7</v>
      </c>
      <c r="C1003" s="8" t="n">
        <v>2</v>
      </c>
      <c r="D1003" s="8" t="inlineStr">
        <is>
          <t>月卡收益 [月卡续费-30元]</t>
        </is>
      </c>
      <c r="E1003" s="9">
        <f>K1002</f>
        <v/>
      </c>
      <c r="F1003" s="9" t="n">
        <v>1540</v>
      </c>
      <c r="G1003" s="9" t="n">
        <v>0</v>
      </c>
      <c r="H1003" s="9" t="n">
        <v>0</v>
      </c>
      <c r="I1003" s="9" t="n">
        <v>0</v>
      </c>
      <c r="J1003" s="9" t="n">
        <v>160</v>
      </c>
      <c r="K1003" s="9">
        <f>E1003+F1003+G1003+H1003+I1003-J1003</f>
        <v/>
      </c>
      <c r="L1003" s="10">
        <f>Q1002</f>
        <v/>
      </c>
      <c r="M1003" s="10" t="n">
        <v>0</v>
      </c>
      <c r="N1003" s="10" t="n">
        <v>3</v>
      </c>
      <c r="O1003" s="10">
        <f>J1003/160</f>
        <v/>
      </c>
      <c r="P1003" s="10" t="n">
        <v>40</v>
      </c>
      <c r="Q1003" s="10">
        <f>L1003+M1003+N1003+O1003-P1003</f>
        <v/>
      </c>
      <c r="R1003" s="11">
        <f>T1002</f>
        <v/>
      </c>
      <c r="S1003" s="11">
        <f>N(V1003) + N(X1003) + N(Z1003)</f>
        <v/>
      </c>
      <c r="T1003" s="11">
        <f>R1003+P1003-S1003</f>
        <v/>
      </c>
      <c r="U1003" s="11" t="inlineStr">
        <is>
          <t>是</t>
        </is>
      </c>
      <c r="V1003" s="11" t="n">
        <v>50</v>
      </c>
      <c r="W1003" s="11" t="inlineStr">
        <is>
          <t>否</t>
        </is>
      </c>
      <c r="X1003" s="11" t="inlineStr">
        <is>
          <t>-</t>
        </is>
      </c>
      <c r="Y1003" s="11" t="inlineStr">
        <is>
          <t>-</t>
        </is>
      </c>
      <c r="Z1003" s="11" t="n">
        <v>0</v>
      </c>
      <c r="AA1003" s="11" t="inlineStr">
        <is>
          <t>无</t>
        </is>
      </c>
      <c r="AB1003" s="12">
        <f>AE1002</f>
        <v/>
      </c>
      <c r="AC1003" s="12" t="n">
        <v>0</v>
      </c>
      <c r="AD1003" s="12" t="n">
        <v>0</v>
      </c>
      <c r="AE1003" s="12">
        <f>AB1003+AC1003+AD1003</f>
        <v/>
      </c>
      <c r="AF1003" s="13">
        <f>AI1002</f>
        <v/>
      </c>
      <c r="AG1003" s="13" t="n">
        <v>0</v>
      </c>
      <c r="AH1003" s="13" t="n">
        <v>0</v>
      </c>
      <c r="AI1003" s="13">
        <f>AF1003+AG1003+AH1003</f>
        <v/>
      </c>
      <c r="AJ1003" s="14" t="n">
        <v>30</v>
      </c>
      <c r="AK1003" s="14" t="n">
        <v>0</v>
      </c>
      <c r="AL1003" s="14" t="n">
        <v>0</v>
      </c>
      <c r="AM1003" s="14">
        <f>AJ1003+AK1003+AL1003</f>
        <v/>
      </c>
      <c r="AN1003" s="14">
        <f>AN1002+AM1003</f>
        <v/>
      </c>
    </row>
    <row r="1004">
      <c r="A1004" s="8" t="n">
        <v>39</v>
      </c>
      <c r="B1004" s="8" t="n">
        <v>8</v>
      </c>
      <c r="C1004" s="8" t="n">
        <v>1</v>
      </c>
      <c r="D1004" s="8" t="inlineStr">
        <is>
          <t>版本免费+义相逢 + 月卡收益</t>
        </is>
      </c>
      <c r="E1004" s="9">
        <f>K1003</f>
        <v/>
      </c>
      <c r="F1004" s="9" t="n">
        <v>1540</v>
      </c>
      <c r="G1004" s="9" t="n">
        <v>4800</v>
      </c>
      <c r="H1004" s="9" t="n">
        <v>0</v>
      </c>
      <c r="I1004" s="9" t="n">
        <v>0</v>
      </c>
      <c r="J1004" s="9" t="n">
        <v>0</v>
      </c>
      <c r="K1004" s="9">
        <f>E1004+F1004+G1004+H1004+I1004-J1004</f>
        <v/>
      </c>
      <c r="L1004" s="10">
        <f>Q1003</f>
        <v/>
      </c>
      <c r="M1004" s="10" t="n">
        <v>85</v>
      </c>
      <c r="N1004" s="10" t="n">
        <v>6</v>
      </c>
      <c r="O1004" s="10">
        <f>J1004/160</f>
        <v/>
      </c>
      <c r="P1004" s="10" t="n">
        <v>60</v>
      </c>
      <c r="Q1004" s="10">
        <f>L1004+M1004+N1004+O1004-P1004</f>
        <v/>
      </c>
      <c r="R1004" s="11">
        <f>T1003</f>
        <v/>
      </c>
      <c r="S1004" s="11">
        <f>N(V1004) + N(X1004) + N(Z1004)</f>
        <v/>
      </c>
      <c r="T1004" s="11">
        <f>R1004+P1004-S1004</f>
        <v/>
      </c>
      <c r="U1004" s="11" t="inlineStr">
        <is>
          <t>是</t>
        </is>
      </c>
      <c r="V1004" s="11" t="n">
        <v>47</v>
      </c>
      <c r="W1004" s="11" t="inlineStr">
        <is>
          <t>否</t>
        </is>
      </c>
      <c r="X1004" s="11" t="inlineStr">
        <is>
          <t>-</t>
        </is>
      </c>
      <c r="Y1004" s="11" t="inlineStr">
        <is>
          <t>-</t>
        </is>
      </c>
      <c r="Z1004" s="11" t="n">
        <v>0</v>
      </c>
      <c r="AA1004" s="11" t="inlineStr">
        <is>
          <t>垫到60抽</t>
        </is>
      </c>
      <c r="AB1004" s="12">
        <f>AE1003</f>
        <v/>
      </c>
      <c r="AC1004" s="12" t="n">
        <v>4</v>
      </c>
      <c r="AD1004" s="12" t="n">
        <v>0</v>
      </c>
      <c r="AE1004" s="12">
        <f>AB1004+AC1004+AD1004</f>
        <v/>
      </c>
      <c r="AF1004" s="13">
        <f>AI1003</f>
        <v/>
      </c>
      <c r="AG1004" s="13" t="n">
        <v>0</v>
      </c>
      <c r="AH1004" s="13" t="n">
        <v>0</v>
      </c>
      <c r="AI1004" s="13">
        <f>AF1004+AG1004+AH1004</f>
        <v/>
      </c>
      <c r="AJ1004" s="14" t="n">
        <v>0</v>
      </c>
      <c r="AK1004" s="14" t="n">
        <v>50</v>
      </c>
      <c r="AL1004" s="14" t="n">
        <v>0</v>
      </c>
      <c r="AM1004" s="14">
        <f>AJ1004+AK1004+AL1004</f>
        <v/>
      </c>
      <c r="AN1004" s="14">
        <f>AN1003+AM1004</f>
        <v/>
      </c>
    </row>
    <row r="1005">
      <c r="A1005" s="8" t="n">
        <v>39</v>
      </c>
      <c r="B1005" s="8" t="n">
        <v>8</v>
      </c>
      <c r="C1005" s="8" t="n">
        <v>2</v>
      </c>
      <c r="D1005" s="8" t="inlineStr">
        <is>
          <t>月卡收益 [月卡续费-30元]</t>
        </is>
      </c>
      <c r="E1005" s="9">
        <f>K1004</f>
        <v/>
      </c>
      <c r="F1005" s="9" t="n">
        <v>1540</v>
      </c>
      <c r="G1005" s="9" t="n">
        <v>0</v>
      </c>
      <c r="H1005" s="9" t="n">
        <v>0</v>
      </c>
      <c r="I1005" s="9" t="n">
        <v>0</v>
      </c>
      <c r="J1005" s="9" t="n">
        <v>8480</v>
      </c>
      <c r="K1005" s="9">
        <f>E1005+F1005+G1005+H1005+I1005-J1005</f>
        <v/>
      </c>
      <c r="L1005" s="10">
        <f>Q1004</f>
        <v/>
      </c>
      <c r="M1005" s="10" t="n">
        <v>0</v>
      </c>
      <c r="N1005" s="10" t="n">
        <v>11</v>
      </c>
      <c r="O1005" s="10">
        <f>J1005/160</f>
        <v/>
      </c>
      <c r="P1005" s="10" t="n">
        <v>90</v>
      </c>
      <c r="Q1005" s="10">
        <f>L1005+M1005+N1005+O1005-P1005</f>
        <v/>
      </c>
      <c r="R1005" s="11">
        <f>T1004</f>
        <v/>
      </c>
      <c r="S1005" s="11">
        <f>N(V1005) + N(X1005) + N(Z1005)</f>
        <v/>
      </c>
      <c r="T1005" s="11">
        <f>R1005+P1005-S1005</f>
        <v/>
      </c>
      <c r="U1005" s="11" t="inlineStr">
        <is>
          <t>是</t>
        </is>
      </c>
      <c r="V1005" s="11" t="n">
        <v>47</v>
      </c>
      <c r="W1005" s="11" t="inlineStr">
        <is>
          <t>是</t>
        </is>
      </c>
      <c r="X1005" s="11" t="n">
        <v>46</v>
      </c>
      <c r="Y1005" s="11" t="inlineStr">
        <is>
          <t>-</t>
        </is>
      </c>
      <c r="Z1005" s="11" t="n">
        <v>0</v>
      </c>
      <c r="AA1005" s="11" t="inlineStr">
        <is>
          <t>垫到90抽</t>
        </is>
      </c>
      <c r="AB1005" s="12">
        <f>AE1004</f>
        <v/>
      </c>
      <c r="AC1005" s="12" t="n">
        <v>0</v>
      </c>
      <c r="AD1005" s="12" t="n">
        <v>0</v>
      </c>
      <c r="AE1005" s="12">
        <f>AB1005+AC1005+AD1005</f>
        <v/>
      </c>
      <c r="AF1005" s="13">
        <f>AI1004</f>
        <v/>
      </c>
      <c r="AG1005" s="13" t="n">
        <v>0</v>
      </c>
      <c r="AH1005" s="13" t="n">
        <v>0</v>
      </c>
      <c r="AI1005" s="13">
        <f>AF1005+AG1005+AH1005</f>
        <v/>
      </c>
      <c r="AJ1005" s="14" t="n">
        <v>30</v>
      </c>
      <c r="AK1005" s="14" t="n">
        <v>0</v>
      </c>
      <c r="AL1005" s="14" t="n">
        <v>0</v>
      </c>
      <c r="AM1005" s="14">
        <f>AJ1005+AK1005+AL1005</f>
        <v/>
      </c>
      <c r="AN1005" s="14">
        <f>AN1004+AM1005</f>
        <v/>
      </c>
    </row>
    <row r="1006">
      <c r="A1006" s="8" t="n">
        <v>39</v>
      </c>
      <c r="B1006" s="8" t="n">
        <v>9</v>
      </c>
      <c r="C1006" s="8" t="n">
        <v>1</v>
      </c>
      <c r="D1006" s="8" t="inlineStr">
        <is>
          <t>版本免费+义相逢 + 月卡收益</t>
        </is>
      </c>
      <c r="E1006" s="9">
        <f>K1005</f>
        <v/>
      </c>
      <c r="F1006" s="9" t="n">
        <v>1540</v>
      </c>
      <c r="G1006" s="9" t="n">
        <v>4800</v>
      </c>
      <c r="H1006" s="9" t="n">
        <v>0</v>
      </c>
      <c r="I1006" s="9" t="n">
        <v>0</v>
      </c>
      <c r="J1006" s="9" t="n">
        <v>0</v>
      </c>
      <c r="K1006" s="9">
        <f>E1006+F1006+G1006+H1006+I1006-J1006</f>
        <v/>
      </c>
      <c r="L1006" s="10">
        <f>Q1005</f>
        <v/>
      </c>
      <c r="M1006" s="10" t="n">
        <v>85</v>
      </c>
      <c r="N1006" s="10" t="n">
        <v>3</v>
      </c>
      <c r="O1006" s="10">
        <f>J1006/160</f>
        <v/>
      </c>
      <c r="P1006" s="10" t="n">
        <v>40</v>
      </c>
      <c r="Q1006" s="10">
        <f>L1006+M1006+N1006+O1006-P1006</f>
        <v/>
      </c>
      <c r="R1006" s="11">
        <f>T1005</f>
        <v/>
      </c>
      <c r="S1006" s="11">
        <f>N(V1006) + N(X1006) + N(Z1006)</f>
        <v/>
      </c>
      <c r="T1006" s="11">
        <f>R1006+P1006-S1006</f>
        <v/>
      </c>
      <c r="U1006" s="11" t="inlineStr">
        <is>
          <t>是</t>
        </is>
      </c>
      <c r="V1006" s="11" t="n">
        <v>49</v>
      </c>
      <c r="W1006" s="11" t="inlineStr">
        <is>
          <t>否</t>
        </is>
      </c>
      <c r="X1006" s="11" t="inlineStr">
        <is>
          <t>-</t>
        </is>
      </c>
      <c r="Y1006" s="11" t="inlineStr">
        <is>
          <t>-</t>
        </is>
      </c>
      <c r="Z1006" s="11" t="n">
        <v>0</v>
      </c>
      <c r="AA1006" s="11" t="inlineStr">
        <is>
          <t>无</t>
        </is>
      </c>
      <c r="AB1006" s="12">
        <f>AE1005</f>
        <v/>
      </c>
      <c r="AC1006" s="12" t="n">
        <v>4</v>
      </c>
      <c r="AD1006" s="12" t="n">
        <v>0</v>
      </c>
      <c r="AE1006" s="12">
        <f>AB1006+AC1006+AD1006</f>
        <v/>
      </c>
      <c r="AF1006" s="13">
        <f>AI1005</f>
        <v/>
      </c>
      <c r="AG1006" s="13" t="n">
        <v>0</v>
      </c>
      <c r="AH1006" s="13" t="n">
        <v>0</v>
      </c>
      <c r="AI1006" s="13">
        <f>AF1006+AG1006+AH1006</f>
        <v/>
      </c>
      <c r="AJ1006" s="14" t="n">
        <v>0</v>
      </c>
      <c r="AK1006" s="14" t="n">
        <v>50</v>
      </c>
      <c r="AL1006" s="14" t="n">
        <v>0</v>
      </c>
      <c r="AM1006" s="14">
        <f>AJ1006+AK1006+AL1006</f>
        <v/>
      </c>
      <c r="AN1006" s="14">
        <f>AN1005+AM1006</f>
        <v/>
      </c>
    </row>
    <row r="1007">
      <c r="A1007" s="8" t="n">
        <v>39</v>
      </c>
      <c r="B1007" s="8" t="n">
        <v>9</v>
      </c>
      <c r="C1007" s="8" t="n">
        <v>2</v>
      </c>
      <c r="D1007" s="8" t="inlineStr">
        <is>
          <t>月卡收益</t>
        </is>
      </c>
      <c r="E1007" s="9">
        <f>K1006</f>
        <v/>
      </c>
      <c r="F1007" s="9" t="n">
        <v>1540</v>
      </c>
      <c r="G1007" s="9" t="n">
        <v>0</v>
      </c>
      <c r="H1007" s="9" t="n">
        <v>0</v>
      </c>
      <c r="I1007" s="9" t="n">
        <v>0</v>
      </c>
      <c r="J1007" s="9" t="n">
        <v>640</v>
      </c>
      <c r="K1007" s="9">
        <f>E1007+F1007+G1007+H1007+I1007-J1007</f>
        <v/>
      </c>
      <c r="L1007" s="10">
        <f>Q1006</f>
        <v/>
      </c>
      <c r="M1007" s="10" t="n">
        <v>0</v>
      </c>
      <c r="N1007" s="10" t="n">
        <v>6</v>
      </c>
      <c r="O1007" s="10">
        <f>J1007/160</f>
        <v/>
      </c>
      <c r="P1007" s="10" t="n">
        <v>60</v>
      </c>
      <c r="Q1007" s="10">
        <f>L1007+M1007+N1007+O1007-P1007</f>
        <v/>
      </c>
      <c r="R1007" s="11">
        <f>T1006</f>
        <v/>
      </c>
      <c r="S1007" s="11">
        <f>N(V1007) + N(X1007) + N(Z1007)</f>
        <v/>
      </c>
      <c r="T1007" s="11">
        <f>R1007+P1007-S1007</f>
        <v/>
      </c>
      <c r="U1007" s="11" t="inlineStr">
        <is>
          <t>是</t>
        </is>
      </c>
      <c r="V1007" s="11" t="n">
        <v>49</v>
      </c>
      <c r="W1007" s="11" t="inlineStr">
        <is>
          <t>是</t>
        </is>
      </c>
      <c r="X1007" s="11" t="n">
        <v>14</v>
      </c>
      <c r="Y1007" s="11" t="inlineStr">
        <is>
          <t>-</t>
        </is>
      </c>
      <c r="Z1007" s="11" t="n">
        <v>0</v>
      </c>
      <c r="AA1007" s="11" t="inlineStr">
        <is>
          <t>无</t>
        </is>
      </c>
      <c r="AB1007" s="12">
        <f>AE1006</f>
        <v/>
      </c>
      <c r="AC1007" s="12" t="n">
        <v>0</v>
      </c>
      <c r="AD1007" s="12" t="n">
        <v>0</v>
      </c>
      <c r="AE1007" s="12">
        <f>AB1007+AC1007+AD1007</f>
        <v/>
      </c>
      <c r="AF1007" s="13">
        <f>AI1006</f>
        <v/>
      </c>
      <c r="AG1007" s="13" t="n">
        <v>0</v>
      </c>
      <c r="AH1007" s="13" t="n">
        <v>0</v>
      </c>
      <c r="AI1007" s="13">
        <f>AF1007+AG1007+AH1007</f>
        <v/>
      </c>
      <c r="AJ1007" s="14" t="n">
        <v>0</v>
      </c>
      <c r="AK1007" s="14" t="n">
        <v>0</v>
      </c>
      <c r="AL1007" s="14" t="n">
        <v>0</v>
      </c>
      <c r="AM1007" s="14">
        <f>AJ1007+AK1007+AL1007</f>
        <v/>
      </c>
      <c r="AN1007" s="14">
        <f>AN1006+AM1007</f>
        <v/>
      </c>
    </row>
    <row r="1008">
      <c r="A1008" s="8" t="n">
        <v>39</v>
      </c>
      <c r="B1008" s="8" t="n">
        <v>10</v>
      </c>
      <c r="C1008" s="8" t="n">
        <v>1</v>
      </c>
      <c r="D1008" s="8" t="inlineStr">
        <is>
          <t>版本免费+义相逢 + 月卡收益 [月卡续费-30元]</t>
        </is>
      </c>
      <c r="E1008" s="9">
        <f>K1007</f>
        <v/>
      </c>
      <c r="F1008" s="9" t="n">
        <v>1540</v>
      </c>
      <c r="G1008" s="9" t="n">
        <v>4800</v>
      </c>
      <c r="H1008" s="9" t="n">
        <v>0</v>
      </c>
      <c r="I1008" s="9" t="n">
        <v>0</v>
      </c>
      <c r="J1008" s="9" t="n">
        <v>0</v>
      </c>
      <c r="K1008" s="9">
        <f>E1008+F1008+G1008+H1008+I1008-J1008</f>
        <v/>
      </c>
      <c r="L1008" s="10">
        <f>Q1007</f>
        <v/>
      </c>
      <c r="M1008" s="10" t="n">
        <v>85</v>
      </c>
      <c r="N1008" s="10" t="n">
        <v>6</v>
      </c>
      <c r="O1008" s="10">
        <f>J1008/160</f>
        <v/>
      </c>
      <c r="P1008" s="10" t="n">
        <v>70</v>
      </c>
      <c r="Q1008" s="10">
        <f>L1008+M1008+N1008+O1008-P1008</f>
        <v/>
      </c>
      <c r="R1008" s="11">
        <f>T1007</f>
        <v/>
      </c>
      <c r="S1008" s="11">
        <f>N(V1008) + N(X1008) + N(Z1008)</f>
        <v/>
      </c>
      <c r="T1008" s="11">
        <f>R1008+P1008-S1008</f>
        <v/>
      </c>
      <c r="U1008" s="11" t="inlineStr">
        <is>
          <t>是</t>
        </is>
      </c>
      <c r="V1008" s="11" t="n">
        <v>17</v>
      </c>
      <c r="W1008" s="11" t="inlineStr">
        <is>
          <t>是</t>
        </is>
      </c>
      <c r="X1008" s="11" t="n">
        <v>49</v>
      </c>
      <c r="Y1008" s="11" t="inlineStr">
        <is>
          <t>-</t>
        </is>
      </c>
      <c r="Z1008" s="11" t="n">
        <v>0</v>
      </c>
      <c r="AA1008" s="11" t="inlineStr">
        <is>
          <t>无</t>
        </is>
      </c>
      <c r="AB1008" s="12">
        <f>AE1007</f>
        <v/>
      </c>
      <c r="AC1008" s="12" t="n">
        <v>4</v>
      </c>
      <c r="AD1008" s="12" t="n">
        <v>0</v>
      </c>
      <c r="AE1008" s="12">
        <f>AB1008+AC1008+AD1008</f>
        <v/>
      </c>
      <c r="AF1008" s="13">
        <f>AI1007</f>
        <v/>
      </c>
      <c r="AG1008" s="13" t="n">
        <v>0</v>
      </c>
      <c r="AH1008" s="13" t="n">
        <v>0</v>
      </c>
      <c r="AI1008" s="13">
        <f>AF1008+AG1008+AH1008</f>
        <v/>
      </c>
      <c r="AJ1008" s="14" t="n">
        <v>30</v>
      </c>
      <c r="AK1008" s="14" t="n">
        <v>50</v>
      </c>
      <c r="AL1008" s="14" t="n">
        <v>0</v>
      </c>
      <c r="AM1008" s="14">
        <f>AJ1008+AK1008+AL1008</f>
        <v/>
      </c>
      <c r="AN1008" s="14">
        <f>AN1007+AM1008</f>
        <v/>
      </c>
    </row>
    <row r="1009">
      <c r="A1009" s="8" t="n">
        <v>39</v>
      </c>
      <c r="B1009" s="8" t="n">
        <v>10</v>
      </c>
      <c r="C1009" s="8" t="n">
        <v>2</v>
      </c>
      <c r="D1009" s="8" t="inlineStr">
        <is>
          <t>月卡收益</t>
        </is>
      </c>
      <c r="E1009" s="9">
        <f>K1008</f>
        <v/>
      </c>
      <c r="F1009" s="9" t="n">
        <v>1540</v>
      </c>
      <c r="G1009" s="9" t="n">
        <v>0</v>
      </c>
      <c r="H1009" s="9" t="n">
        <v>0</v>
      </c>
      <c r="I1009" s="9" t="n">
        <v>0</v>
      </c>
      <c r="J1009" s="9" t="n">
        <v>5280</v>
      </c>
      <c r="K1009" s="9">
        <f>E1009+F1009+G1009+H1009+I1009-J1009</f>
        <v/>
      </c>
      <c r="L1009" s="10">
        <f>Q1008</f>
        <v/>
      </c>
      <c r="M1009" s="10" t="n">
        <v>0</v>
      </c>
      <c r="N1009" s="10" t="n">
        <v>6</v>
      </c>
      <c r="O1009" s="10">
        <f>J1009/160</f>
        <v/>
      </c>
      <c r="P1009" s="10" t="n">
        <v>60</v>
      </c>
      <c r="Q1009" s="10">
        <f>L1009+M1009+N1009+O1009-P1009</f>
        <v/>
      </c>
      <c r="R1009" s="11">
        <f>T1008</f>
        <v/>
      </c>
      <c r="S1009" s="11">
        <f>N(V1009) + N(X1009) + N(Z1009)</f>
        <v/>
      </c>
      <c r="T1009" s="11">
        <f>R1009+P1009-S1009</f>
        <v/>
      </c>
      <c r="U1009" s="11" t="inlineStr">
        <is>
          <t>是</t>
        </is>
      </c>
      <c r="V1009" s="11" t="n">
        <v>51</v>
      </c>
      <c r="W1009" s="11" t="inlineStr">
        <is>
          <t>否</t>
        </is>
      </c>
      <c r="X1009" s="11" t="inlineStr">
        <is>
          <t>-</t>
        </is>
      </c>
      <c r="Y1009" s="11" t="inlineStr">
        <is>
          <t>-</t>
        </is>
      </c>
      <c r="Z1009" s="11" t="n">
        <v>0</v>
      </c>
      <c r="AA1009" s="11" t="inlineStr">
        <is>
          <t>垫到60抽</t>
        </is>
      </c>
      <c r="AB1009" s="12">
        <f>AE1008</f>
        <v/>
      </c>
      <c r="AC1009" s="12" t="n">
        <v>0</v>
      </c>
      <c r="AD1009" s="12" t="n">
        <v>0</v>
      </c>
      <c r="AE1009" s="12">
        <f>AB1009+AC1009+AD1009</f>
        <v/>
      </c>
      <c r="AF1009" s="13">
        <f>AI1008</f>
        <v/>
      </c>
      <c r="AG1009" s="13" t="n">
        <v>0</v>
      </c>
      <c r="AH1009" s="13" t="n">
        <v>0</v>
      </c>
      <c r="AI1009" s="13">
        <f>AF1009+AG1009+AH1009</f>
        <v/>
      </c>
      <c r="AJ1009" s="14" t="n">
        <v>0</v>
      </c>
      <c r="AK1009" s="14" t="n">
        <v>0</v>
      </c>
      <c r="AL1009" s="14" t="n">
        <v>0</v>
      </c>
      <c r="AM1009" s="14">
        <f>AJ1009+AK1009+AL1009</f>
        <v/>
      </c>
      <c r="AN1009" s="14">
        <f>AN1008+AM1009</f>
        <v/>
      </c>
    </row>
    <row r="1010">
      <c r="A1010" s="8" t="n">
        <v>39</v>
      </c>
      <c r="B1010" s="8" t="n">
        <v>11</v>
      </c>
      <c r="C1010" s="8" t="n">
        <v>1</v>
      </c>
      <c r="D1010" s="8" t="inlineStr">
        <is>
          <t>版本免费+义相逢 + 月卡收益 [月卡续费-30元]</t>
        </is>
      </c>
      <c r="E1010" s="9">
        <f>K1009</f>
        <v/>
      </c>
      <c r="F1010" s="9" t="n">
        <v>1540</v>
      </c>
      <c r="G1010" s="9" t="n">
        <v>4800</v>
      </c>
      <c r="H1010" s="9" t="n">
        <v>0</v>
      </c>
      <c r="I1010" s="9" t="n">
        <v>0</v>
      </c>
      <c r="J1010" s="9" t="n">
        <v>0</v>
      </c>
      <c r="K1010" s="9">
        <f>E1010+F1010+G1010+H1010+I1010-J1010</f>
        <v/>
      </c>
      <c r="L1010" s="10">
        <f>Q1009</f>
        <v/>
      </c>
      <c r="M1010" s="10" t="n">
        <v>85</v>
      </c>
      <c r="N1010" s="10" t="n">
        <v>6</v>
      </c>
      <c r="O1010" s="10">
        <f>J1010/160</f>
        <v/>
      </c>
      <c r="P1010" s="10" t="n">
        <v>60</v>
      </c>
      <c r="Q1010" s="10">
        <f>L1010+M1010+N1010+O1010-P1010</f>
        <v/>
      </c>
      <c r="R1010" s="11">
        <f>T1009</f>
        <v/>
      </c>
      <c r="S1010" s="11">
        <f>N(V1010) + N(X1010) + N(Z1010)</f>
        <v/>
      </c>
      <c r="T1010" s="11">
        <f>R1010+P1010-S1010</f>
        <v/>
      </c>
      <c r="U1010" s="11" t="inlineStr">
        <is>
          <t>是</t>
        </is>
      </c>
      <c r="V1010" s="11" t="n">
        <v>15</v>
      </c>
      <c r="W1010" s="11" t="inlineStr">
        <is>
          <t>是</t>
        </is>
      </c>
      <c r="X1010" s="11" t="n">
        <v>48</v>
      </c>
      <c r="Y1010" s="11" t="inlineStr">
        <is>
          <t>-</t>
        </is>
      </c>
      <c r="Z1010" s="11" t="n">
        <v>0</v>
      </c>
      <c r="AA1010" s="11" t="inlineStr">
        <is>
          <t>垫到60抽</t>
        </is>
      </c>
      <c r="AB1010" s="12">
        <f>AE1009</f>
        <v/>
      </c>
      <c r="AC1010" s="12" t="n">
        <v>4</v>
      </c>
      <c r="AD1010" s="12" t="n">
        <v>0</v>
      </c>
      <c r="AE1010" s="12">
        <f>AB1010+AC1010+AD1010</f>
        <v/>
      </c>
      <c r="AF1010" s="13">
        <f>AI1009</f>
        <v/>
      </c>
      <c r="AG1010" s="13" t="n">
        <v>0</v>
      </c>
      <c r="AH1010" s="13" t="n">
        <v>0</v>
      </c>
      <c r="AI1010" s="13">
        <f>AF1010+AG1010+AH1010</f>
        <v/>
      </c>
      <c r="AJ1010" s="14" t="n">
        <v>30</v>
      </c>
      <c r="AK1010" s="14" t="n">
        <v>50</v>
      </c>
      <c r="AL1010" s="14" t="n">
        <v>0</v>
      </c>
      <c r="AM1010" s="14">
        <f>AJ1010+AK1010+AL1010</f>
        <v/>
      </c>
      <c r="AN1010" s="14">
        <f>AN1009+AM1010</f>
        <v/>
      </c>
    </row>
    <row r="1011">
      <c r="A1011" s="8" t="n">
        <v>39</v>
      </c>
      <c r="B1011" s="8" t="n">
        <v>11</v>
      </c>
      <c r="C1011" s="8" t="n">
        <v>2</v>
      </c>
      <c r="D1011" s="8" t="inlineStr">
        <is>
          <t>月卡收益</t>
        </is>
      </c>
      <c r="E1011" s="9">
        <f>K1010</f>
        <v/>
      </c>
      <c r="F1011" s="9" t="n">
        <v>1540</v>
      </c>
      <c r="G1011" s="9" t="n">
        <v>0</v>
      </c>
      <c r="H1011" s="9" t="n">
        <v>0</v>
      </c>
      <c r="I1011" s="9" t="n">
        <v>0</v>
      </c>
      <c r="J1011" s="9" t="n">
        <v>8000</v>
      </c>
      <c r="K1011" s="9">
        <f>E1011+F1011+G1011+H1011+I1011-J1011</f>
        <v/>
      </c>
      <c r="L1011" s="10">
        <f>Q1010</f>
        <v/>
      </c>
      <c r="M1011" s="10" t="n">
        <v>0</v>
      </c>
      <c r="N1011" s="10" t="n">
        <v>11</v>
      </c>
      <c r="O1011" s="10">
        <f>J1011/160</f>
        <v/>
      </c>
      <c r="P1011" s="10" t="n">
        <v>90</v>
      </c>
      <c r="Q1011" s="10">
        <f>L1011+M1011+N1011+O1011-P1011</f>
        <v/>
      </c>
      <c r="R1011" s="11">
        <f>T1010</f>
        <v/>
      </c>
      <c r="S1011" s="11">
        <f>N(V1011) + N(X1011) + N(Z1011)</f>
        <v/>
      </c>
      <c r="T1011" s="11">
        <f>R1011+P1011-S1011</f>
        <v/>
      </c>
      <c r="U1011" s="11" t="inlineStr">
        <is>
          <t>是</t>
        </is>
      </c>
      <c r="V1011" s="11" t="n">
        <v>46</v>
      </c>
      <c r="W1011" s="11" t="inlineStr">
        <is>
          <t>是</t>
        </is>
      </c>
      <c r="X1011" s="11" t="n">
        <v>54</v>
      </c>
      <c r="Y1011" s="11" t="inlineStr">
        <is>
          <t>-</t>
        </is>
      </c>
      <c r="Z1011" s="11" t="n">
        <v>0</v>
      </c>
      <c r="AA1011" s="11" t="inlineStr">
        <is>
          <t>无</t>
        </is>
      </c>
      <c r="AB1011" s="12">
        <f>AE1010</f>
        <v/>
      </c>
      <c r="AC1011" s="12" t="n">
        <v>0</v>
      </c>
      <c r="AD1011" s="12" t="n">
        <v>0</v>
      </c>
      <c r="AE1011" s="12">
        <f>AB1011+AC1011+AD1011</f>
        <v/>
      </c>
      <c r="AF1011" s="13">
        <f>AI1010</f>
        <v/>
      </c>
      <c r="AG1011" s="13" t="n">
        <v>0</v>
      </c>
      <c r="AH1011" s="13" t="n">
        <v>0</v>
      </c>
      <c r="AI1011" s="13">
        <f>AF1011+AG1011+AH1011</f>
        <v/>
      </c>
      <c r="AJ1011" s="14" t="n">
        <v>0</v>
      </c>
      <c r="AK1011" s="14" t="n">
        <v>0</v>
      </c>
      <c r="AL1011" s="14" t="n">
        <v>0</v>
      </c>
      <c r="AM1011" s="14">
        <f>AJ1011+AK1011+AL1011</f>
        <v/>
      </c>
      <c r="AN1011" s="14">
        <f>AN1010+AM1011</f>
        <v/>
      </c>
    </row>
    <row r="1012">
      <c r="A1012" s="8" t="n">
        <v>39</v>
      </c>
      <c r="B1012" s="8" t="n">
        <v>12</v>
      </c>
      <c r="C1012" s="8" t="n">
        <v>1</v>
      </c>
      <c r="D1012" s="8" t="inlineStr">
        <is>
          <t>版本免费+义相逢 + 月卡收益 [月卡续费-30元]</t>
        </is>
      </c>
      <c r="E1012" s="9">
        <f>K1011</f>
        <v/>
      </c>
      <c r="F1012" s="9" t="n">
        <v>1540</v>
      </c>
      <c r="G1012" s="9" t="n">
        <v>4800</v>
      </c>
      <c r="H1012" s="9" t="n">
        <v>0</v>
      </c>
      <c r="I1012" s="9" t="n">
        <v>0</v>
      </c>
      <c r="J1012" s="9" t="n">
        <v>0</v>
      </c>
      <c r="K1012" s="9">
        <f>E1012+F1012+G1012+H1012+I1012-J1012</f>
        <v/>
      </c>
      <c r="L1012" s="10">
        <f>Q1011</f>
        <v/>
      </c>
      <c r="M1012" s="10" t="n">
        <v>85</v>
      </c>
      <c r="N1012" s="10" t="n">
        <v>6</v>
      </c>
      <c r="O1012" s="10">
        <f>J1012/160</f>
        <v/>
      </c>
      <c r="P1012" s="10" t="n">
        <v>60</v>
      </c>
      <c r="Q1012" s="10">
        <f>L1012+M1012+N1012+O1012-P1012</f>
        <v/>
      </c>
      <c r="R1012" s="11">
        <f>T1011</f>
        <v/>
      </c>
      <c r="S1012" s="11">
        <f>N(V1012) + N(X1012) + N(Z1012)</f>
        <v/>
      </c>
      <c r="T1012" s="11">
        <f>R1012+P1012-S1012</f>
        <v/>
      </c>
      <c r="U1012" s="11" t="inlineStr">
        <is>
          <t>是</t>
        </is>
      </c>
      <c r="V1012" s="11" t="n">
        <v>48</v>
      </c>
      <c r="W1012" s="11" t="inlineStr">
        <is>
          <t>否</t>
        </is>
      </c>
      <c r="X1012" s="11" t="inlineStr">
        <is>
          <t>-</t>
        </is>
      </c>
      <c r="Y1012" s="11" t="inlineStr">
        <is>
          <t>-</t>
        </is>
      </c>
      <c r="Z1012" s="11" t="n">
        <v>0</v>
      </c>
      <c r="AA1012" s="11" t="inlineStr">
        <is>
          <t>垫到60抽</t>
        </is>
      </c>
      <c r="AB1012" s="12">
        <f>AE1011</f>
        <v/>
      </c>
      <c r="AC1012" s="12" t="n">
        <v>4</v>
      </c>
      <c r="AD1012" s="12" t="n">
        <v>0</v>
      </c>
      <c r="AE1012" s="12">
        <f>AB1012+AC1012+AD1012</f>
        <v/>
      </c>
      <c r="AF1012" s="13">
        <f>AI1011</f>
        <v/>
      </c>
      <c r="AG1012" s="13" t="n">
        <v>0</v>
      </c>
      <c r="AH1012" s="13" t="n">
        <v>0</v>
      </c>
      <c r="AI1012" s="13">
        <f>AF1012+AG1012+AH1012</f>
        <v/>
      </c>
      <c r="AJ1012" s="14" t="n">
        <v>30</v>
      </c>
      <c r="AK1012" s="14" t="n">
        <v>50</v>
      </c>
      <c r="AL1012" s="14" t="n">
        <v>0</v>
      </c>
      <c r="AM1012" s="14">
        <f>AJ1012+AK1012+AL1012</f>
        <v/>
      </c>
      <c r="AN1012" s="14">
        <f>AN1011+AM1012</f>
        <v/>
      </c>
    </row>
    <row r="1013">
      <c r="A1013" s="8" t="n">
        <v>39</v>
      </c>
      <c r="B1013" s="8" t="n">
        <v>12</v>
      </c>
      <c r="C1013" s="8" t="n">
        <v>2</v>
      </c>
      <c r="D1013" s="8" t="inlineStr">
        <is>
          <t>月卡收益</t>
        </is>
      </c>
      <c r="E1013" s="9">
        <f>K1012</f>
        <v/>
      </c>
      <c r="F1013" s="9" t="n">
        <v>1540</v>
      </c>
      <c r="G1013" s="9" t="n">
        <v>0</v>
      </c>
      <c r="H1013" s="9" t="n">
        <v>0</v>
      </c>
      <c r="I1013" s="9" t="n">
        <v>0</v>
      </c>
      <c r="J1013" s="9" t="n">
        <v>7680</v>
      </c>
      <c r="K1013" s="9">
        <f>E1013+F1013+G1013+H1013+I1013-J1013</f>
        <v/>
      </c>
      <c r="L1013" s="10">
        <f>Q1012</f>
        <v/>
      </c>
      <c r="M1013" s="10" t="n">
        <v>0</v>
      </c>
      <c r="N1013" s="10" t="n">
        <v>11</v>
      </c>
      <c r="O1013" s="10">
        <f>J1013/160</f>
        <v/>
      </c>
      <c r="P1013" s="10" t="n">
        <v>90</v>
      </c>
      <c r="Q1013" s="10">
        <f>L1013+M1013+N1013+O1013-P1013</f>
        <v/>
      </c>
      <c r="R1013" s="11">
        <f>T1012</f>
        <v/>
      </c>
      <c r="S1013" s="11">
        <f>N(V1013) + N(X1013) + N(Z1013)</f>
        <v/>
      </c>
      <c r="T1013" s="11">
        <f>R1013+P1013-S1013</f>
        <v/>
      </c>
      <c r="U1013" s="11" t="inlineStr">
        <is>
          <t>是</t>
        </is>
      </c>
      <c r="V1013" s="11" t="n">
        <v>51</v>
      </c>
      <c r="W1013" s="11" t="inlineStr">
        <is>
          <t>是</t>
        </is>
      </c>
      <c r="X1013" s="11" t="n">
        <v>48</v>
      </c>
      <c r="Y1013" s="11" t="inlineStr">
        <is>
          <t>-</t>
        </is>
      </c>
      <c r="Z1013" s="11" t="n">
        <v>0</v>
      </c>
      <c r="AA1013" s="11" t="inlineStr">
        <is>
          <t>无</t>
        </is>
      </c>
      <c r="AB1013" s="12">
        <f>AE1012</f>
        <v/>
      </c>
      <c r="AC1013" s="12" t="n">
        <v>0</v>
      </c>
      <c r="AD1013" s="12" t="n">
        <v>0</v>
      </c>
      <c r="AE1013" s="12">
        <f>AB1013+AC1013+AD1013</f>
        <v/>
      </c>
      <c r="AF1013" s="13">
        <f>AI1012</f>
        <v/>
      </c>
      <c r="AG1013" s="13" t="n">
        <v>0</v>
      </c>
      <c r="AH1013" s="13" t="n">
        <v>0</v>
      </c>
      <c r="AI1013" s="13">
        <f>AF1013+AG1013+AH1013</f>
        <v/>
      </c>
      <c r="AJ1013" s="14" t="n">
        <v>0</v>
      </c>
      <c r="AK1013" s="14" t="n">
        <v>0</v>
      </c>
      <c r="AL1013" s="14" t="n">
        <v>0</v>
      </c>
      <c r="AM1013" s="14">
        <f>AJ1013+AK1013+AL1013</f>
        <v/>
      </c>
      <c r="AN1013" s="14">
        <f>AN1012+AM1013</f>
        <v/>
      </c>
    </row>
    <row r="1014">
      <c r="A1014" s="8" t="n">
        <v>39</v>
      </c>
      <c r="B1014" s="8" t="n">
        <v>13</v>
      </c>
      <c r="C1014" s="8" t="n">
        <v>1</v>
      </c>
      <c r="D1014" s="8" t="inlineStr">
        <is>
          <t>版本免费+义相逢 + 月卡收益 [月卡续费-30元]</t>
        </is>
      </c>
      <c r="E1014" s="9">
        <f>K1013</f>
        <v/>
      </c>
      <c r="F1014" s="9" t="n">
        <v>1540</v>
      </c>
      <c r="G1014" s="9" t="n">
        <v>4800</v>
      </c>
      <c r="H1014" s="9" t="n">
        <v>0</v>
      </c>
      <c r="I1014" s="9" t="n">
        <v>0</v>
      </c>
      <c r="J1014" s="9" t="n">
        <v>0</v>
      </c>
      <c r="K1014" s="9">
        <f>E1014+F1014+G1014+H1014+I1014-J1014</f>
        <v/>
      </c>
      <c r="L1014" s="10">
        <f>Q1013</f>
        <v/>
      </c>
      <c r="M1014" s="10" t="n">
        <v>85</v>
      </c>
      <c r="N1014" s="10" t="n">
        <v>6</v>
      </c>
      <c r="O1014" s="10">
        <f>J1014/160</f>
        <v/>
      </c>
      <c r="P1014" s="10" t="n">
        <v>60</v>
      </c>
      <c r="Q1014" s="10">
        <f>L1014+M1014+N1014+O1014-P1014</f>
        <v/>
      </c>
      <c r="R1014" s="11">
        <f>T1013</f>
        <v/>
      </c>
      <c r="S1014" s="11">
        <f>N(V1014) + N(X1014) + N(Z1014)</f>
        <v/>
      </c>
      <c r="T1014" s="11">
        <f>R1014+P1014-S1014</f>
        <v/>
      </c>
      <c r="U1014" s="11" t="inlineStr">
        <is>
          <t>是</t>
        </is>
      </c>
      <c r="V1014" s="11" t="n">
        <v>50</v>
      </c>
      <c r="W1014" s="11" t="inlineStr">
        <is>
          <t>否</t>
        </is>
      </c>
      <c r="X1014" s="11" t="inlineStr">
        <is>
          <t>-</t>
        </is>
      </c>
      <c r="Y1014" s="11" t="inlineStr">
        <is>
          <t>-</t>
        </is>
      </c>
      <c r="Z1014" s="11" t="n">
        <v>0</v>
      </c>
      <c r="AA1014" s="11" t="inlineStr">
        <is>
          <t>垫到60抽</t>
        </is>
      </c>
      <c r="AB1014" s="12">
        <f>AE1013</f>
        <v/>
      </c>
      <c r="AC1014" s="12" t="n">
        <v>4</v>
      </c>
      <c r="AD1014" s="12" t="n">
        <v>0</v>
      </c>
      <c r="AE1014" s="12">
        <f>AB1014+AC1014+AD1014</f>
        <v/>
      </c>
      <c r="AF1014" s="13">
        <f>AI1013</f>
        <v/>
      </c>
      <c r="AG1014" s="13" t="n">
        <v>0</v>
      </c>
      <c r="AH1014" s="13" t="n">
        <v>0</v>
      </c>
      <c r="AI1014" s="13">
        <f>AF1014+AG1014+AH1014</f>
        <v/>
      </c>
      <c r="AJ1014" s="14" t="n">
        <v>30</v>
      </c>
      <c r="AK1014" s="14" t="n">
        <v>50</v>
      </c>
      <c r="AL1014" s="14" t="n">
        <v>0</v>
      </c>
      <c r="AM1014" s="14">
        <f>AJ1014+AK1014+AL1014</f>
        <v/>
      </c>
      <c r="AN1014" s="14">
        <f>AN1013+AM1014</f>
        <v/>
      </c>
    </row>
    <row r="1015">
      <c r="A1015" s="8" t="n">
        <v>39</v>
      </c>
      <c r="B1015" s="8" t="n">
        <v>13</v>
      </c>
      <c r="C1015" s="8" t="n">
        <v>2</v>
      </c>
      <c r="D1015" s="8" t="inlineStr">
        <is>
          <t>月卡收益</t>
        </is>
      </c>
      <c r="E1015" s="9">
        <f>K1014</f>
        <v/>
      </c>
      <c r="F1015" s="9" t="n">
        <v>1540</v>
      </c>
      <c r="G1015" s="9" t="n">
        <v>0</v>
      </c>
      <c r="H1015" s="9" t="n">
        <v>0</v>
      </c>
      <c r="I1015" s="9" t="n">
        <v>0</v>
      </c>
      <c r="J1015" s="9" t="n">
        <v>160</v>
      </c>
      <c r="K1015" s="9">
        <f>E1015+F1015+G1015+H1015+I1015-J1015</f>
        <v/>
      </c>
      <c r="L1015" s="10">
        <f>Q1014</f>
        <v/>
      </c>
      <c r="M1015" s="10" t="n">
        <v>0</v>
      </c>
      <c r="N1015" s="10" t="n">
        <v>3</v>
      </c>
      <c r="O1015" s="10">
        <f>J1015/160</f>
        <v/>
      </c>
      <c r="P1015" s="10" t="n">
        <v>40</v>
      </c>
      <c r="Q1015" s="10">
        <f>L1015+M1015+N1015+O1015-P1015</f>
        <v/>
      </c>
      <c r="R1015" s="11">
        <f>T1014</f>
        <v/>
      </c>
      <c r="S1015" s="11">
        <f>N(V1015) + N(X1015) + N(Z1015)</f>
        <v/>
      </c>
      <c r="T1015" s="11">
        <f>R1015+P1015-S1015</f>
        <v/>
      </c>
      <c r="U1015" s="11" t="inlineStr">
        <is>
          <t>是</t>
        </is>
      </c>
      <c r="V1015" s="11" t="n">
        <v>51</v>
      </c>
      <c r="W1015" s="11" t="inlineStr">
        <is>
          <t>否</t>
        </is>
      </c>
      <c r="X1015" s="11" t="inlineStr">
        <is>
          <t>-</t>
        </is>
      </c>
      <c r="Y1015" s="11" t="inlineStr">
        <is>
          <t>-</t>
        </is>
      </c>
      <c r="Z1015" s="11" t="n">
        <v>0</v>
      </c>
      <c r="AA1015" s="11" t="inlineStr">
        <is>
          <t>无</t>
        </is>
      </c>
      <c r="AB1015" s="12">
        <f>AE1014</f>
        <v/>
      </c>
      <c r="AC1015" s="12" t="n">
        <v>0</v>
      </c>
      <c r="AD1015" s="12" t="n">
        <v>0</v>
      </c>
      <c r="AE1015" s="12">
        <f>AB1015+AC1015+AD1015</f>
        <v/>
      </c>
      <c r="AF1015" s="13">
        <f>AI1014</f>
        <v/>
      </c>
      <c r="AG1015" s="13" t="n">
        <v>0</v>
      </c>
      <c r="AH1015" s="13" t="n">
        <v>0</v>
      </c>
      <c r="AI1015" s="13">
        <f>AF1015+AG1015+AH1015</f>
        <v/>
      </c>
      <c r="AJ1015" s="14" t="n">
        <v>0</v>
      </c>
      <c r="AK1015" s="14" t="n">
        <v>0</v>
      </c>
      <c r="AL1015" s="14" t="n">
        <v>0</v>
      </c>
      <c r="AM1015" s="14">
        <f>AJ1015+AK1015+AL1015</f>
        <v/>
      </c>
      <c r="AN1015" s="14">
        <f>AN1014+AM1015</f>
        <v/>
      </c>
    </row>
    <row r="1016">
      <c r="A1016" s="8" t="n">
        <v>40</v>
      </c>
      <c r="B1016" s="8" t="n">
        <v>1</v>
      </c>
      <c r="C1016" s="8" t="n">
        <v>1</v>
      </c>
      <c r="D1016" s="8" t="inlineStr">
        <is>
          <t>版本免费+义相逢 + 月卡收益 [月卡续费-30元]</t>
        </is>
      </c>
      <c r="E1016" s="9" t="n">
        <v>35000</v>
      </c>
      <c r="F1016" s="9" t="n">
        <v>1540</v>
      </c>
      <c r="G1016" s="9" t="n">
        <v>4800</v>
      </c>
      <c r="H1016" s="9" t="n">
        <v>0</v>
      </c>
      <c r="I1016" s="9" t="n">
        <v>0</v>
      </c>
      <c r="J1016" s="9" t="n">
        <v>15040</v>
      </c>
      <c r="K1016" s="9">
        <f>E1016+F1016+G1016+H1016+I1016-J1016</f>
        <v/>
      </c>
      <c r="L1016" s="10" t="n">
        <v>0</v>
      </c>
      <c r="M1016" s="10" t="n">
        <v>85</v>
      </c>
      <c r="N1016" s="10" t="n">
        <v>21</v>
      </c>
      <c r="O1016" s="10">
        <f>J1016/160</f>
        <v/>
      </c>
      <c r="P1016" s="10" t="n">
        <v>200</v>
      </c>
      <c r="Q1016" s="10">
        <f>L1016+M1016+N1016+O1016-P1016</f>
        <v/>
      </c>
      <c r="R1016" s="11" t="n">
        <v>2</v>
      </c>
      <c r="S1016" s="11">
        <f>N(V1016) + N(X1016) + N(Z1016)</f>
        <v/>
      </c>
      <c r="T1016" s="11">
        <f>R1016+P1016-S1016</f>
        <v/>
      </c>
      <c r="U1016" s="11" t="inlineStr">
        <is>
          <t>是</t>
        </is>
      </c>
      <c r="V1016" s="11" t="n">
        <v>47</v>
      </c>
      <c r="W1016" s="11" t="inlineStr">
        <is>
          <t>是</t>
        </is>
      </c>
      <c r="X1016" s="11" t="n">
        <v>51</v>
      </c>
      <c r="Y1016" s="11" t="inlineStr">
        <is>
          <t>歪(25), UP(51)</t>
        </is>
      </c>
      <c r="Z1016" s="11" t="n">
        <v>76</v>
      </c>
      <c r="AA1016" s="11" t="inlineStr">
        <is>
          <t>冲刺200(动态90)</t>
        </is>
      </c>
      <c r="AB1016" s="12" t="n">
        <v>2087</v>
      </c>
      <c r="AC1016" s="12" t="n">
        <v>4</v>
      </c>
      <c r="AD1016" s="12" t="n">
        <v>1</v>
      </c>
      <c r="AE1016" s="12">
        <f>AB1016+AC1016+AD1016</f>
        <v/>
      </c>
      <c r="AF1016" s="13" t="n">
        <v>295000</v>
      </c>
      <c r="AG1016" s="13" t="n">
        <v>0</v>
      </c>
      <c r="AH1016" s="13" t="n">
        <v>5000</v>
      </c>
      <c r="AI1016" s="13">
        <f>AF1016+AG1016+AH1016</f>
        <v/>
      </c>
      <c r="AJ1016" s="14" t="n">
        <v>30</v>
      </c>
      <c r="AK1016" s="14" t="n">
        <v>50</v>
      </c>
      <c r="AL1016" s="14" t="n">
        <v>0</v>
      </c>
      <c r="AM1016" s="14">
        <f>AJ1016+AK1016+AL1016</f>
        <v/>
      </c>
      <c r="AN1016" s="14">
        <f>AM1016</f>
        <v/>
      </c>
    </row>
    <row r="1017">
      <c r="A1017" s="8" t="n">
        <v>40</v>
      </c>
      <c r="B1017" s="8" t="n">
        <v>1</v>
      </c>
      <c r="C1017" s="8" t="n">
        <v>2</v>
      </c>
      <c r="D1017" s="8" t="inlineStr">
        <is>
          <t>月卡收益</t>
        </is>
      </c>
      <c r="E1017" s="9">
        <f>K1016</f>
        <v/>
      </c>
      <c r="F1017" s="9" t="n">
        <v>1540</v>
      </c>
      <c r="G1017" s="9" t="n">
        <v>0</v>
      </c>
      <c r="H1017" s="9" t="n">
        <v>0</v>
      </c>
      <c r="I1017" s="9" t="n">
        <v>0</v>
      </c>
      <c r="J1017" s="9" t="n">
        <v>3040</v>
      </c>
      <c r="K1017" s="9">
        <f>E1017+F1017+G1017+H1017+I1017-J1017</f>
        <v/>
      </c>
      <c r="L1017" s="10">
        <f>Q1016</f>
        <v/>
      </c>
      <c r="M1017" s="10" t="n">
        <v>0</v>
      </c>
      <c r="N1017" s="10" t="n">
        <v>1</v>
      </c>
      <c r="O1017" s="10">
        <f>J1017/160</f>
        <v/>
      </c>
      <c r="P1017" s="10" t="n">
        <v>20</v>
      </c>
      <c r="Q1017" s="10">
        <f>L1017+M1017+N1017+O1017-P1017</f>
        <v/>
      </c>
      <c r="R1017" s="11">
        <f>T1016</f>
        <v/>
      </c>
      <c r="S1017" s="11">
        <f>N(V1017) + N(X1017) + N(Z1017)</f>
        <v/>
      </c>
      <c r="T1017" s="11">
        <f>R1017+P1017-S1017</f>
        <v/>
      </c>
      <c r="U1017" s="11" t="inlineStr">
        <is>
          <t>是</t>
        </is>
      </c>
      <c r="V1017" s="11" t="n">
        <v>47</v>
      </c>
      <c r="W1017" s="11" t="inlineStr">
        <is>
          <t>否</t>
        </is>
      </c>
      <c r="X1017" s="11" t="inlineStr">
        <is>
          <t>-</t>
        </is>
      </c>
      <c r="Y1017" s="11" t="inlineStr">
        <is>
          <t>-</t>
        </is>
      </c>
      <c r="Z1017" s="11" t="n">
        <v>0</v>
      </c>
      <c r="AA1017" s="11" t="inlineStr">
        <is>
          <t>无</t>
        </is>
      </c>
      <c r="AB1017" s="12">
        <f>AE1016</f>
        <v/>
      </c>
      <c r="AC1017" s="12" t="n">
        <v>0</v>
      </c>
      <c r="AD1017" s="12" t="n">
        <v>0</v>
      </c>
      <c r="AE1017" s="12">
        <f>AB1017+AC1017+AD1017</f>
        <v/>
      </c>
      <c r="AF1017" s="13">
        <f>AI1016</f>
        <v/>
      </c>
      <c r="AG1017" s="13" t="n">
        <v>0</v>
      </c>
      <c r="AH1017" s="13" t="n">
        <v>0</v>
      </c>
      <c r="AI1017" s="13">
        <f>AF1017+AG1017+AH1017</f>
        <v/>
      </c>
      <c r="AJ1017" s="14" t="n">
        <v>0</v>
      </c>
      <c r="AK1017" s="14" t="n">
        <v>0</v>
      </c>
      <c r="AL1017" s="14" t="n">
        <v>0</v>
      </c>
      <c r="AM1017" s="14">
        <f>AJ1017+AK1017+AL1017</f>
        <v/>
      </c>
      <c r="AN1017" s="14">
        <f>AN1016+AM1017</f>
        <v/>
      </c>
    </row>
    <row r="1018">
      <c r="A1018" s="8" t="n">
        <v>40</v>
      </c>
      <c r="B1018" s="8" t="n">
        <v>2</v>
      </c>
      <c r="C1018" s="8" t="n">
        <v>1</v>
      </c>
      <c r="D1018" s="8" t="inlineStr">
        <is>
          <t>版本免费+义相逢 + 月卡收益 [月卡续费-30元]</t>
        </is>
      </c>
      <c r="E1018" s="9">
        <f>K1017</f>
        <v/>
      </c>
      <c r="F1018" s="9" t="n">
        <v>1540</v>
      </c>
      <c r="G1018" s="9" t="n">
        <v>4800</v>
      </c>
      <c r="H1018" s="9" t="n">
        <v>0</v>
      </c>
      <c r="I1018" s="9" t="n">
        <v>0</v>
      </c>
      <c r="J1018" s="9" t="n">
        <v>0</v>
      </c>
      <c r="K1018" s="9">
        <f>E1018+F1018+G1018+H1018+I1018-J1018</f>
        <v/>
      </c>
      <c r="L1018" s="10">
        <f>Q1017</f>
        <v/>
      </c>
      <c r="M1018" s="10" t="n">
        <v>85</v>
      </c>
      <c r="N1018" s="10" t="n">
        <v>6</v>
      </c>
      <c r="O1018" s="10">
        <f>J1018/160</f>
        <v/>
      </c>
      <c r="P1018" s="10" t="n">
        <v>60</v>
      </c>
      <c r="Q1018" s="10">
        <f>L1018+M1018+N1018+O1018-P1018</f>
        <v/>
      </c>
      <c r="R1018" s="11">
        <f>T1017</f>
        <v/>
      </c>
      <c r="S1018" s="11">
        <f>N(V1018) + N(X1018) + N(Z1018)</f>
        <v/>
      </c>
      <c r="T1018" s="11">
        <f>R1018+P1018-S1018</f>
        <v/>
      </c>
      <c r="U1018" s="11" t="inlineStr">
        <is>
          <t>是</t>
        </is>
      </c>
      <c r="V1018" s="11" t="n">
        <v>52</v>
      </c>
      <c r="W1018" s="11" t="inlineStr">
        <is>
          <t>否</t>
        </is>
      </c>
      <c r="X1018" s="11" t="inlineStr">
        <is>
          <t>-</t>
        </is>
      </c>
      <c r="Y1018" s="11" t="inlineStr">
        <is>
          <t>-</t>
        </is>
      </c>
      <c r="Z1018" s="11" t="n">
        <v>0</v>
      </c>
      <c r="AA1018" s="11" t="inlineStr">
        <is>
          <t>无</t>
        </is>
      </c>
      <c r="AB1018" s="12">
        <f>AE1017</f>
        <v/>
      </c>
      <c r="AC1018" s="12" t="n">
        <v>4</v>
      </c>
      <c r="AD1018" s="12" t="n">
        <v>0</v>
      </c>
      <c r="AE1018" s="12">
        <f>AB1018+AC1018+AD1018</f>
        <v/>
      </c>
      <c r="AF1018" s="13">
        <f>AI1017</f>
        <v/>
      </c>
      <c r="AG1018" s="13" t="n">
        <v>0</v>
      </c>
      <c r="AH1018" s="13" t="n">
        <v>0</v>
      </c>
      <c r="AI1018" s="13">
        <f>AF1018+AG1018+AH1018</f>
        <v/>
      </c>
      <c r="AJ1018" s="14" t="n">
        <v>30</v>
      </c>
      <c r="AK1018" s="14" t="n">
        <v>50</v>
      </c>
      <c r="AL1018" s="14" t="n">
        <v>0</v>
      </c>
      <c r="AM1018" s="14">
        <f>AJ1018+AK1018+AL1018</f>
        <v/>
      </c>
      <c r="AN1018" s="14">
        <f>AN1017+AM1018</f>
        <v/>
      </c>
    </row>
    <row r="1019">
      <c r="A1019" s="8" t="n">
        <v>40</v>
      </c>
      <c r="B1019" s="8" t="n">
        <v>2</v>
      </c>
      <c r="C1019" s="8" t="n">
        <v>2</v>
      </c>
      <c r="D1019" s="8" t="inlineStr">
        <is>
          <t>月卡收益</t>
        </is>
      </c>
      <c r="E1019" s="9">
        <f>K1018</f>
        <v/>
      </c>
      <c r="F1019" s="9" t="n">
        <v>1540</v>
      </c>
      <c r="G1019" s="9" t="n">
        <v>0</v>
      </c>
      <c r="H1019" s="9" t="n">
        <v>0</v>
      </c>
      <c r="I1019" s="9" t="n">
        <v>0</v>
      </c>
      <c r="J1019" s="9" t="n">
        <v>960</v>
      </c>
      <c r="K1019" s="9">
        <f>E1019+F1019+G1019+H1019+I1019-J1019</f>
        <v/>
      </c>
      <c r="L1019" s="10">
        <f>Q1018</f>
        <v/>
      </c>
      <c r="M1019" s="10" t="n">
        <v>0</v>
      </c>
      <c r="N1019" s="10" t="n">
        <v>3</v>
      </c>
      <c r="O1019" s="10">
        <f>J1019/160</f>
        <v/>
      </c>
      <c r="P1019" s="10" t="n">
        <v>40</v>
      </c>
      <c r="Q1019" s="10">
        <f>L1019+M1019+N1019+O1019-P1019</f>
        <v/>
      </c>
      <c r="R1019" s="11">
        <f>T1018</f>
        <v/>
      </c>
      <c r="S1019" s="11">
        <f>N(V1019) + N(X1019) + N(Z1019)</f>
        <v/>
      </c>
      <c r="T1019" s="11">
        <f>R1019+P1019-S1019</f>
        <v/>
      </c>
      <c r="U1019" s="11" t="inlineStr">
        <is>
          <t>是</t>
        </is>
      </c>
      <c r="V1019" s="11" t="n">
        <v>48</v>
      </c>
      <c r="W1019" s="11" t="inlineStr">
        <is>
          <t>否</t>
        </is>
      </c>
      <c r="X1019" s="11" t="inlineStr">
        <is>
          <t>-</t>
        </is>
      </c>
      <c r="Y1019" s="11" t="inlineStr">
        <is>
          <t>-</t>
        </is>
      </c>
      <c r="Z1019" s="11" t="n">
        <v>0</v>
      </c>
      <c r="AA1019" s="11" t="inlineStr">
        <is>
          <t>无</t>
        </is>
      </c>
      <c r="AB1019" s="12">
        <f>AE1018</f>
        <v/>
      </c>
      <c r="AC1019" s="12" t="n">
        <v>0</v>
      </c>
      <c r="AD1019" s="12" t="n">
        <v>0</v>
      </c>
      <c r="AE1019" s="12">
        <f>AB1019+AC1019+AD1019</f>
        <v/>
      </c>
      <c r="AF1019" s="13">
        <f>AI1018</f>
        <v/>
      </c>
      <c r="AG1019" s="13" t="n">
        <v>0</v>
      </c>
      <c r="AH1019" s="13" t="n">
        <v>0</v>
      </c>
      <c r="AI1019" s="13">
        <f>AF1019+AG1019+AH1019</f>
        <v/>
      </c>
      <c r="AJ1019" s="14" t="n">
        <v>0</v>
      </c>
      <c r="AK1019" s="14" t="n">
        <v>0</v>
      </c>
      <c r="AL1019" s="14" t="n">
        <v>0</v>
      </c>
      <c r="AM1019" s="14">
        <f>AJ1019+AK1019+AL1019</f>
        <v/>
      </c>
      <c r="AN1019" s="14">
        <f>AN1018+AM1019</f>
        <v/>
      </c>
    </row>
    <row r="1020">
      <c r="A1020" s="8" t="n">
        <v>40</v>
      </c>
      <c r="B1020" s="8" t="n">
        <v>3</v>
      </c>
      <c r="C1020" s="8" t="n">
        <v>1</v>
      </c>
      <c r="D1020" s="8" t="inlineStr">
        <is>
          <t>版本免费+义相逢 + 月卡收益 [月卡续费-30元]</t>
        </is>
      </c>
      <c r="E1020" s="9">
        <f>K1019</f>
        <v/>
      </c>
      <c r="F1020" s="9" t="n">
        <v>1540</v>
      </c>
      <c r="G1020" s="9" t="n">
        <v>4800</v>
      </c>
      <c r="H1020" s="9" t="n">
        <v>0</v>
      </c>
      <c r="I1020" s="9" t="n">
        <v>0</v>
      </c>
      <c r="J1020" s="9" t="n">
        <v>15040</v>
      </c>
      <c r="K1020" s="9">
        <f>E1020+F1020+G1020+H1020+I1020-J1020</f>
        <v/>
      </c>
      <c r="L1020" s="10">
        <f>Q1019</f>
        <v/>
      </c>
      <c r="M1020" s="10" t="n">
        <v>85</v>
      </c>
      <c r="N1020" s="10" t="n">
        <v>21</v>
      </c>
      <c r="O1020" s="10">
        <f>J1020/160</f>
        <v/>
      </c>
      <c r="P1020" s="10" t="n">
        <v>200</v>
      </c>
      <c r="Q1020" s="10">
        <f>L1020+M1020+N1020+O1020-P1020</f>
        <v/>
      </c>
      <c r="R1020" s="11">
        <f>T1019</f>
        <v/>
      </c>
      <c r="S1020" s="11">
        <f>N(V1020) + N(X1020) + N(Z1020)</f>
        <v/>
      </c>
      <c r="T1020" s="11">
        <f>R1020+P1020-S1020</f>
        <v/>
      </c>
      <c r="U1020" s="11" t="inlineStr">
        <is>
          <t>是</t>
        </is>
      </c>
      <c r="V1020" s="11" t="n">
        <v>49</v>
      </c>
      <c r="W1020" s="11" t="inlineStr">
        <is>
          <t>是</t>
        </is>
      </c>
      <c r="X1020" s="11" t="n">
        <v>53</v>
      </c>
      <c r="Y1020" s="11" t="inlineStr">
        <is>
          <t>UP(47), UP(41)</t>
        </is>
      </c>
      <c r="Z1020" s="11" t="n">
        <v>88</v>
      </c>
      <c r="AA1020" s="11" t="inlineStr">
        <is>
          <t>冲刺200(动态100)</t>
        </is>
      </c>
      <c r="AB1020" s="12">
        <f>AE1019</f>
        <v/>
      </c>
      <c r="AC1020" s="12" t="n">
        <v>4</v>
      </c>
      <c r="AD1020" s="12" t="n">
        <v>1</v>
      </c>
      <c r="AE1020" s="12">
        <f>AB1020+AC1020+AD1020</f>
        <v/>
      </c>
      <c r="AF1020" s="13">
        <f>AI1019</f>
        <v/>
      </c>
      <c r="AG1020" s="13" t="n">
        <v>0</v>
      </c>
      <c r="AH1020" s="13" t="n">
        <v>5000</v>
      </c>
      <c r="AI1020" s="13">
        <f>AF1020+AG1020+AH1020</f>
        <v/>
      </c>
      <c r="AJ1020" s="14" t="n">
        <v>30</v>
      </c>
      <c r="AK1020" s="14" t="n">
        <v>50</v>
      </c>
      <c r="AL1020" s="14" t="n">
        <v>0</v>
      </c>
      <c r="AM1020" s="14">
        <f>AJ1020+AK1020+AL1020</f>
        <v/>
      </c>
      <c r="AN1020" s="14">
        <f>AN1019+AM1020</f>
        <v/>
      </c>
    </row>
    <row r="1021">
      <c r="A1021" s="8" t="n">
        <v>40</v>
      </c>
      <c r="B1021" s="8" t="n">
        <v>3</v>
      </c>
      <c r="C1021" s="8" t="n">
        <v>2</v>
      </c>
      <c r="D1021" s="8" t="inlineStr">
        <is>
          <t>月卡收益</t>
        </is>
      </c>
      <c r="E1021" s="9">
        <f>K1020</f>
        <v/>
      </c>
      <c r="F1021" s="9" t="n">
        <v>1540</v>
      </c>
      <c r="G1021" s="9" t="n">
        <v>0</v>
      </c>
      <c r="H1021" s="9" t="n">
        <v>0</v>
      </c>
      <c r="I1021" s="9" t="n">
        <v>0</v>
      </c>
      <c r="J1021" s="9" t="n">
        <v>14240</v>
      </c>
      <c r="K1021" s="9">
        <f>E1021+F1021+G1021+H1021+I1021-J1021</f>
        <v/>
      </c>
      <c r="L1021" s="10">
        <f>Q1020</f>
        <v/>
      </c>
      <c r="M1021" s="10" t="n">
        <v>0</v>
      </c>
      <c r="N1021" s="10" t="n">
        <v>11</v>
      </c>
      <c r="O1021" s="10">
        <f>J1021/160</f>
        <v/>
      </c>
      <c r="P1021" s="10" t="n">
        <v>100</v>
      </c>
      <c r="Q1021" s="10">
        <f>L1021+M1021+N1021+O1021-P1021</f>
        <v/>
      </c>
      <c r="R1021" s="11">
        <f>T1020</f>
        <v/>
      </c>
      <c r="S1021" s="11">
        <f>N(V1021) + N(X1021) + N(Z1021)</f>
        <v/>
      </c>
      <c r="T1021" s="11">
        <f>R1021+P1021-S1021</f>
        <v/>
      </c>
      <c r="U1021" s="11" t="inlineStr">
        <is>
          <t>是</t>
        </is>
      </c>
      <c r="V1021" s="11" t="n">
        <v>52</v>
      </c>
      <c r="W1021" s="11" t="inlineStr">
        <is>
          <t>是</t>
        </is>
      </c>
      <c r="X1021" s="11" t="n">
        <v>50</v>
      </c>
      <c r="Y1021" s="11" t="inlineStr">
        <is>
          <t>-</t>
        </is>
      </c>
      <c r="Z1021" s="11" t="n">
        <v>0</v>
      </c>
      <c r="AA1021" s="11" t="inlineStr">
        <is>
          <t>无</t>
        </is>
      </c>
      <c r="AB1021" s="12">
        <f>AE1020</f>
        <v/>
      </c>
      <c r="AC1021" s="12" t="n">
        <v>0</v>
      </c>
      <c r="AD1021" s="12" t="n">
        <v>0</v>
      </c>
      <c r="AE1021" s="12">
        <f>AB1021+AC1021+AD1021</f>
        <v/>
      </c>
      <c r="AF1021" s="13">
        <f>AI1020</f>
        <v/>
      </c>
      <c r="AG1021" s="13" t="n">
        <v>0</v>
      </c>
      <c r="AH1021" s="13" t="n">
        <v>0</v>
      </c>
      <c r="AI1021" s="13">
        <f>AF1021+AG1021+AH1021</f>
        <v/>
      </c>
      <c r="AJ1021" s="14" t="n">
        <v>0</v>
      </c>
      <c r="AK1021" s="14" t="n">
        <v>0</v>
      </c>
      <c r="AL1021" s="14" t="n">
        <v>0</v>
      </c>
      <c r="AM1021" s="14">
        <f>AJ1021+AK1021+AL1021</f>
        <v/>
      </c>
      <c r="AN1021" s="14">
        <f>AN1020+AM1021</f>
        <v/>
      </c>
    </row>
    <row r="1022">
      <c r="A1022" s="8" t="n">
        <v>40</v>
      </c>
      <c r="B1022" s="8" t="n">
        <v>4</v>
      </c>
      <c r="C1022" s="8" t="n">
        <v>1</v>
      </c>
      <c r="D1022" s="8" t="inlineStr">
        <is>
          <t>版本免费+义相逢 + 月卡收益</t>
        </is>
      </c>
      <c r="E1022" s="9">
        <f>K1021</f>
        <v/>
      </c>
      <c r="F1022" s="9" t="n">
        <v>1540</v>
      </c>
      <c r="G1022" s="9" t="n">
        <v>4800</v>
      </c>
      <c r="H1022" s="9" t="n">
        <v>0</v>
      </c>
      <c r="I1022" s="9" t="n">
        <v>0</v>
      </c>
      <c r="J1022" s="9" t="n">
        <v>0</v>
      </c>
      <c r="K1022" s="9">
        <f>E1022+F1022+G1022+H1022+I1022-J1022</f>
        <v/>
      </c>
      <c r="L1022" s="10">
        <f>Q1021</f>
        <v/>
      </c>
      <c r="M1022" s="10" t="n">
        <v>85</v>
      </c>
      <c r="N1022" s="10" t="n">
        <v>6</v>
      </c>
      <c r="O1022" s="10">
        <f>J1022/160</f>
        <v/>
      </c>
      <c r="P1022" s="10" t="n">
        <v>60</v>
      </c>
      <c r="Q1022" s="10">
        <f>L1022+M1022+N1022+O1022-P1022</f>
        <v/>
      </c>
      <c r="R1022" s="11">
        <f>T1021</f>
        <v/>
      </c>
      <c r="S1022" s="11">
        <f>N(V1022) + N(X1022) + N(Z1022)</f>
        <v/>
      </c>
      <c r="T1022" s="11">
        <f>R1022+P1022-S1022</f>
        <v/>
      </c>
      <c r="U1022" s="11" t="inlineStr">
        <is>
          <t>是</t>
        </is>
      </c>
      <c r="V1022" s="11" t="n">
        <v>50</v>
      </c>
      <c r="W1022" s="11" t="inlineStr">
        <is>
          <t>否</t>
        </is>
      </c>
      <c r="X1022" s="11" t="inlineStr">
        <is>
          <t>-</t>
        </is>
      </c>
      <c r="Y1022" s="11" t="inlineStr">
        <is>
          <t>-</t>
        </is>
      </c>
      <c r="Z1022" s="11" t="n">
        <v>0</v>
      </c>
      <c r="AA1022" s="11" t="inlineStr">
        <is>
          <t>垫到60抽</t>
        </is>
      </c>
      <c r="AB1022" s="12">
        <f>AE1021</f>
        <v/>
      </c>
      <c r="AC1022" s="12" t="n">
        <v>4</v>
      </c>
      <c r="AD1022" s="12" t="n">
        <v>0</v>
      </c>
      <c r="AE1022" s="12">
        <f>AB1022+AC1022+AD1022</f>
        <v/>
      </c>
      <c r="AF1022" s="13">
        <f>AI1021</f>
        <v/>
      </c>
      <c r="AG1022" s="13" t="n">
        <v>0</v>
      </c>
      <c r="AH1022" s="13" t="n">
        <v>0</v>
      </c>
      <c r="AI1022" s="13">
        <f>AF1022+AG1022+AH1022</f>
        <v/>
      </c>
      <c r="AJ1022" s="14" t="n">
        <v>0</v>
      </c>
      <c r="AK1022" s="14" t="n">
        <v>50</v>
      </c>
      <c r="AL1022" s="14" t="n">
        <v>0</v>
      </c>
      <c r="AM1022" s="14">
        <f>AJ1022+AK1022+AL1022</f>
        <v/>
      </c>
      <c r="AN1022" s="14">
        <f>AN1021+AM1022</f>
        <v/>
      </c>
    </row>
    <row r="1023">
      <c r="A1023" s="8" t="n">
        <v>40</v>
      </c>
      <c r="B1023" s="8" t="n">
        <v>4</v>
      </c>
      <c r="C1023" s="8" t="n">
        <v>2</v>
      </c>
      <c r="D1023" s="8" t="inlineStr">
        <is>
          <t>月卡收益 [月卡续费-30元]</t>
        </is>
      </c>
      <c r="E1023" s="9">
        <f>K1022</f>
        <v/>
      </c>
      <c r="F1023" s="9" t="n">
        <v>1540</v>
      </c>
      <c r="G1023" s="9" t="n">
        <v>0</v>
      </c>
      <c r="H1023" s="9" t="n">
        <v>0</v>
      </c>
      <c r="I1023" s="9" t="n">
        <v>0</v>
      </c>
      <c r="J1023" s="9" t="n">
        <v>960</v>
      </c>
      <c r="K1023" s="9">
        <f>E1023+F1023+G1023+H1023+I1023-J1023</f>
        <v/>
      </c>
      <c r="L1023" s="10">
        <f>Q1022</f>
        <v/>
      </c>
      <c r="M1023" s="10" t="n">
        <v>0</v>
      </c>
      <c r="N1023" s="10" t="n">
        <v>3</v>
      </c>
      <c r="O1023" s="10">
        <f>J1023/160</f>
        <v/>
      </c>
      <c r="P1023" s="10" t="n">
        <v>40</v>
      </c>
      <c r="Q1023" s="10">
        <f>L1023+M1023+N1023+O1023-P1023</f>
        <v/>
      </c>
      <c r="R1023" s="11">
        <f>T1022</f>
        <v/>
      </c>
      <c r="S1023" s="11">
        <f>N(V1023) + N(X1023) + N(Z1023)</f>
        <v/>
      </c>
      <c r="T1023" s="11">
        <f>R1023+P1023-S1023</f>
        <v/>
      </c>
      <c r="U1023" s="11" t="inlineStr">
        <is>
          <t>是</t>
        </is>
      </c>
      <c r="V1023" s="11" t="n">
        <v>50</v>
      </c>
      <c r="W1023" s="11" t="inlineStr">
        <is>
          <t>否</t>
        </is>
      </c>
      <c r="X1023" s="11" t="inlineStr">
        <is>
          <t>-</t>
        </is>
      </c>
      <c r="Y1023" s="11" t="inlineStr">
        <is>
          <t>-</t>
        </is>
      </c>
      <c r="Z1023" s="11" t="n">
        <v>0</v>
      </c>
      <c r="AA1023" s="11" t="inlineStr">
        <is>
          <t>无</t>
        </is>
      </c>
      <c r="AB1023" s="12">
        <f>AE1022</f>
        <v/>
      </c>
      <c r="AC1023" s="12" t="n">
        <v>0</v>
      </c>
      <c r="AD1023" s="12" t="n">
        <v>0</v>
      </c>
      <c r="AE1023" s="12">
        <f>AB1023+AC1023+AD1023</f>
        <v/>
      </c>
      <c r="AF1023" s="13">
        <f>AI1022</f>
        <v/>
      </c>
      <c r="AG1023" s="13" t="n">
        <v>0</v>
      </c>
      <c r="AH1023" s="13" t="n">
        <v>0</v>
      </c>
      <c r="AI1023" s="13">
        <f>AF1023+AG1023+AH1023</f>
        <v/>
      </c>
      <c r="AJ1023" s="14" t="n">
        <v>30</v>
      </c>
      <c r="AK1023" s="14" t="n">
        <v>0</v>
      </c>
      <c r="AL1023" s="14" t="n">
        <v>0</v>
      </c>
      <c r="AM1023" s="14">
        <f>AJ1023+AK1023+AL1023</f>
        <v/>
      </c>
      <c r="AN1023" s="14">
        <f>AN1022+AM1023</f>
        <v/>
      </c>
    </row>
    <row r="1024">
      <c r="A1024" s="8" t="n">
        <v>40</v>
      </c>
      <c r="B1024" s="8" t="n">
        <v>5</v>
      </c>
      <c r="C1024" s="8" t="n">
        <v>1</v>
      </c>
      <c r="D1024" s="8" t="inlineStr">
        <is>
          <t>版本免费+义相逢 + 月卡收益</t>
        </is>
      </c>
      <c r="E1024" s="9">
        <f>K1023</f>
        <v/>
      </c>
      <c r="F1024" s="9" t="n">
        <v>1540</v>
      </c>
      <c r="G1024" s="9" t="n">
        <v>4800</v>
      </c>
      <c r="H1024" s="9" t="n">
        <v>0</v>
      </c>
      <c r="I1024" s="9" t="n">
        <v>0</v>
      </c>
      <c r="J1024" s="9" t="n">
        <v>640</v>
      </c>
      <c r="K1024" s="9">
        <f>E1024+F1024+G1024+H1024+I1024-J1024</f>
        <v/>
      </c>
      <c r="L1024" s="10">
        <f>Q1023</f>
        <v/>
      </c>
      <c r="M1024" s="10" t="n">
        <v>85</v>
      </c>
      <c r="N1024" s="10" t="n">
        <v>11</v>
      </c>
      <c r="O1024" s="10">
        <f>J1024/160</f>
        <v/>
      </c>
      <c r="P1024" s="10" t="n">
        <v>100</v>
      </c>
      <c r="Q1024" s="10">
        <f>L1024+M1024+N1024+O1024-P1024</f>
        <v/>
      </c>
      <c r="R1024" s="11">
        <f>T1023</f>
        <v/>
      </c>
      <c r="S1024" s="11">
        <f>N(V1024) + N(X1024) + N(Z1024)</f>
        <v/>
      </c>
      <c r="T1024" s="11">
        <f>R1024+P1024-S1024</f>
        <v/>
      </c>
      <c r="U1024" s="11" t="inlineStr">
        <is>
          <t>是</t>
        </is>
      </c>
      <c r="V1024" s="11" t="n">
        <v>49</v>
      </c>
      <c r="W1024" s="11" t="inlineStr">
        <is>
          <t>是</t>
        </is>
      </c>
      <c r="X1024" s="11" t="n">
        <v>51</v>
      </c>
      <c r="Y1024" s="11" t="inlineStr">
        <is>
          <t>-</t>
        </is>
      </c>
      <c r="Z1024" s="11" t="n">
        <v>0</v>
      </c>
      <c r="AA1024" s="11" t="inlineStr">
        <is>
          <t>无</t>
        </is>
      </c>
      <c r="AB1024" s="12">
        <f>AE1023</f>
        <v/>
      </c>
      <c r="AC1024" s="12" t="n">
        <v>4</v>
      </c>
      <c r="AD1024" s="12" t="n">
        <v>0</v>
      </c>
      <c r="AE1024" s="12">
        <f>AB1024+AC1024+AD1024</f>
        <v/>
      </c>
      <c r="AF1024" s="13">
        <f>AI1023</f>
        <v/>
      </c>
      <c r="AG1024" s="13" t="n">
        <v>0</v>
      </c>
      <c r="AH1024" s="13" t="n">
        <v>0</v>
      </c>
      <c r="AI1024" s="13">
        <f>AF1024+AG1024+AH1024</f>
        <v/>
      </c>
      <c r="AJ1024" s="14" t="n">
        <v>0</v>
      </c>
      <c r="AK1024" s="14" t="n">
        <v>50</v>
      </c>
      <c r="AL1024" s="14" t="n">
        <v>0</v>
      </c>
      <c r="AM1024" s="14">
        <f>AJ1024+AK1024+AL1024</f>
        <v/>
      </c>
      <c r="AN1024" s="14">
        <f>AN1023+AM1024</f>
        <v/>
      </c>
    </row>
    <row r="1025">
      <c r="A1025" s="8" t="n">
        <v>40</v>
      </c>
      <c r="B1025" s="8" t="n">
        <v>5</v>
      </c>
      <c r="C1025" s="8" t="n">
        <v>2</v>
      </c>
      <c r="D1025" s="8" t="inlineStr">
        <is>
          <t>月卡收益 [月卡续费-30元]</t>
        </is>
      </c>
      <c r="E1025" s="9">
        <f>K1024</f>
        <v/>
      </c>
      <c r="F1025" s="9" t="n">
        <v>1540</v>
      </c>
      <c r="G1025" s="9" t="n">
        <v>0</v>
      </c>
      <c r="H1025" s="9" t="n">
        <v>0</v>
      </c>
      <c r="I1025" s="9" t="n">
        <v>0</v>
      </c>
      <c r="J1025" s="9" t="n">
        <v>5920</v>
      </c>
      <c r="K1025" s="9">
        <f>E1025+F1025+G1025+H1025+I1025-J1025</f>
        <v/>
      </c>
      <c r="L1025" s="10">
        <f>Q1024</f>
        <v/>
      </c>
      <c r="M1025" s="10" t="n">
        <v>0</v>
      </c>
      <c r="N1025" s="10" t="n">
        <v>3</v>
      </c>
      <c r="O1025" s="10">
        <f>J1025/160</f>
        <v/>
      </c>
      <c r="P1025" s="10" t="n">
        <v>40</v>
      </c>
      <c r="Q1025" s="10">
        <f>L1025+M1025+N1025+O1025-P1025</f>
        <v/>
      </c>
      <c r="R1025" s="11">
        <f>T1024</f>
        <v/>
      </c>
      <c r="S1025" s="11">
        <f>N(V1025) + N(X1025) + N(Z1025)</f>
        <v/>
      </c>
      <c r="T1025" s="11">
        <f>R1025+P1025-S1025</f>
        <v/>
      </c>
      <c r="U1025" s="11" t="inlineStr">
        <is>
          <t>是</t>
        </is>
      </c>
      <c r="V1025" s="11" t="n">
        <v>48</v>
      </c>
      <c r="W1025" s="11" t="inlineStr">
        <is>
          <t>否</t>
        </is>
      </c>
      <c r="X1025" s="11" t="inlineStr">
        <is>
          <t>-</t>
        </is>
      </c>
      <c r="Y1025" s="11" t="inlineStr">
        <is>
          <t>-</t>
        </is>
      </c>
      <c r="Z1025" s="11" t="n">
        <v>0</v>
      </c>
      <c r="AA1025" s="11" t="inlineStr">
        <is>
          <t>无</t>
        </is>
      </c>
      <c r="AB1025" s="12">
        <f>AE1024</f>
        <v/>
      </c>
      <c r="AC1025" s="12" t="n">
        <v>0</v>
      </c>
      <c r="AD1025" s="12" t="n">
        <v>0</v>
      </c>
      <c r="AE1025" s="12">
        <f>AB1025+AC1025+AD1025</f>
        <v/>
      </c>
      <c r="AF1025" s="13">
        <f>AI1024</f>
        <v/>
      </c>
      <c r="AG1025" s="13" t="n">
        <v>0</v>
      </c>
      <c r="AH1025" s="13" t="n">
        <v>0</v>
      </c>
      <c r="AI1025" s="13">
        <f>AF1025+AG1025+AH1025</f>
        <v/>
      </c>
      <c r="AJ1025" s="14" t="n">
        <v>30</v>
      </c>
      <c r="AK1025" s="14" t="n">
        <v>0</v>
      </c>
      <c r="AL1025" s="14" t="n">
        <v>0</v>
      </c>
      <c r="AM1025" s="14">
        <f>AJ1025+AK1025+AL1025</f>
        <v/>
      </c>
      <c r="AN1025" s="14">
        <f>AN1024+AM1025</f>
        <v/>
      </c>
    </row>
    <row r="1026">
      <c r="A1026" s="8" t="n">
        <v>40</v>
      </c>
      <c r="B1026" s="8" t="n">
        <v>6</v>
      </c>
      <c r="C1026" s="8" t="n">
        <v>1</v>
      </c>
      <c r="D1026" s="8" t="inlineStr">
        <is>
          <t>版本免费+义相逢 + 月卡收益</t>
        </is>
      </c>
      <c r="E1026" s="9">
        <f>K1025</f>
        <v/>
      </c>
      <c r="F1026" s="9" t="n">
        <v>1540</v>
      </c>
      <c r="G1026" s="9" t="n">
        <v>4800</v>
      </c>
      <c r="H1026" s="9" t="n">
        <v>0</v>
      </c>
      <c r="I1026" s="9" t="n">
        <v>0</v>
      </c>
      <c r="J1026" s="9" t="n">
        <v>0</v>
      </c>
      <c r="K1026" s="9">
        <f>E1026+F1026+G1026+H1026+I1026-J1026</f>
        <v/>
      </c>
      <c r="L1026" s="10">
        <f>Q1025</f>
        <v/>
      </c>
      <c r="M1026" s="10" t="n">
        <v>85</v>
      </c>
      <c r="N1026" s="10" t="n">
        <v>1</v>
      </c>
      <c r="O1026" s="10">
        <f>J1026/160</f>
        <v/>
      </c>
      <c r="P1026" s="10" t="n">
        <v>10</v>
      </c>
      <c r="Q1026" s="10">
        <f>L1026+M1026+N1026+O1026-P1026</f>
        <v/>
      </c>
      <c r="R1026" s="11">
        <f>T1025</f>
        <v/>
      </c>
      <c r="S1026" s="11">
        <f>N(V1026) + N(X1026) + N(Z1026)</f>
        <v/>
      </c>
      <c r="T1026" s="11">
        <f>R1026+P1026-S1026</f>
        <v/>
      </c>
      <c r="U1026" s="11" t="inlineStr">
        <is>
          <t>是</t>
        </is>
      </c>
      <c r="V1026" s="11" t="n">
        <v>10</v>
      </c>
      <c r="W1026" s="11" t="inlineStr">
        <is>
          <t>否</t>
        </is>
      </c>
      <c r="X1026" s="11" t="inlineStr">
        <is>
          <t>-</t>
        </is>
      </c>
      <c r="Y1026" s="11" t="inlineStr">
        <is>
          <t>-</t>
        </is>
      </c>
      <c r="Z1026" s="11" t="n">
        <v>0</v>
      </c>
      <c r="AA1026" s="11" t="inlineStr">
        <is>
          <t>无</t>
        </is>
      </c>
      <c r="AB1026" s="12">
        <f>AE1025</f>
        <v/>
      </c>
      <c r="AC1026" s="12" t="n">
        <v>4</v>
      </c>
      <c r="AD1026" s="12" t="n">
        <v>0</v>
      </c>
      <c r="AE1026" s="12">
        <f>AB1026+AC1026+AD1026</f>
        <v/>
      </c>
      <c r="AF1026" s="13">
        <f>AI1025</f>
        <v/>
      </c>
      <c r="AG1026" s="13" t="n">
        <v>0</v>
      </c>
      <c r="AH1026" s="13" t="n">
        <v>0</v>
      </c>
      <c r="AI1026" s="13">
        <f>AF1026+AG1026+AH1026</f>
        <v/>
      </c>
      <c r="AJ1026" s="14" t="n">
        <v>0</v>
      </c>
      <c r="AK1026" s="14" t="n">
        <v>50</v>
      </c>
      <c r="AL1026" s="14" t="n">
        <v>0</v>
      </c>
      <c r="AM1026" s="14">
        <f>AJ1026+AK1026+AL1026</f>
        <v/>
      </c>
      <c r="AN1026" s="14">
        <f>AN1025+AM1026</f>
        <v/>
      </c>
    </row>
    <row r="1027">
      <c r="A1027" s="8" t="n">
        <v>40</v>
      </c>
      <c r="B1027" s="8" t="n">
        <v>6</v>
      </c>
      <c r="C1027" s="8" t="n">
        <v>2</v>
      </c>
      <c r="D1027" s="8" t="inlineStr">
        <is>
          <t>月卡收益 [月卡续费-30元]</t>
        </is>
      </c>
      <c r="E1027" s="9">
        <f>K1026</f>
        <v/>
      </c>
      <c r="F1027" s="9" t="n">
        <v>1540</v>
      </c>
      <c r="G1027" s="9" t="n">
        <v>0</v>
      </c>
      <c r="H1027" s="9" t="n">
        <v>0</v>
      </c>
      <c r="I1027" s="9" t="n">
        <v>0</v>
      </c>
      <c r="J1027" s="9" t="n">
        <v>2080</v>
      </c>
      <c r="K1027" s="9">
        <f>E1027+F1027+G1027+H1027+I1027-J1027</f>
        <v/>
      </c>
      <c r="L1027" s="10">
        <f>Q1026</f>
        <v/>
      </c>
      <c r="M1027" s="10" t="n">
        <v>0</v>
      </c>
      <c r="N1027" s="10" t="n">
        <v>11</v>
      </c>
      <c r="O1027" s="10">
        <f>J1027/160</f>
        <v/>
      </c>
      <c r="P1027" s="10" t="n">
        <v>100</v>
      </c>
      <c r="Q1027" s="10">
        <f>L1027+M1027+N1027+O1027-P1027</f>
        <v/>
      </c>
      <c r="R1027" s="11">
        <f>T1026</f>
        <v/>
      </c>
      <c r="S1027" s="11">
        <f>N(V1027) + N(X1027) + N(Z1027)</f>
        <v/>
      </c>
      <c r="T1027" s="11">
        <f>R1027+P1027-S1027</f>
        <v/>
      </c>
      <c r="U1027" s="11" t="inlineStr">
        <is>
          <t>是</t>
        </is>
      </c>
      <c r="V1027" s="11" t="n">
        <v>49</v>
      </c>
      <c r="W1027" s="11" t="inlineStr">
        <is>
          <t>是</t>
        </is>
      </c>
      <c r="X1027" s="11" t="n">
        <v>50</v>
      </c>
      <c r="Y1027" s="11" t="inlineStr">
        <is>
          <t>-</t>
        </is>
      </c>
      <c r="Z1027" s="11" t="n">
        <v>0</v>
      </c>
      <c r="AA1027" s="11" t="inlineStr">
        <is>
          <t>无</t>
        </is>
      </c>
      <c r="AB1027" s="12">
        <f>AE1026</f>
        <v/>
      </c>
      <c r="AC1027" s="12" t="n">
        <v>0</v>
      </c>
      <c r="AD1027" s="12" t="n">
        <v>0</v>
      </c>
      <c r="AE1027" s="12">
        <f>AB1027+AC1027+AD1027</f>
        <v/>
      </c>
      <c r="AF1027" s="13">
        <f>AI1026</f>
        <v/>
      </c>
      <c r="AG1027" s="13" t="n">
        <v>0</v>
      </c>
      <c r="AH1027" s="13" t="n">
        <v>0</v>
      </c>
      <c r="AI1027" s="13">
        <f>AF1027+AG1027+AH1027</f>
        <v/>
      </c>
      <c r="AJ1027" s="14" t="n">
        <v>30</v>
      </c>
      <c r="AK1027" s="14" t="n">
        <v>0</v>
      </c>
      <c r="AL1027" s="14" t="n">
        <v>0</v>
      </c>
      <c r="AM1027" s="14">
        <f>AJ1027+AK1027+AL1027</f>
        <v/>
      </c>
      <c r="AN1027" s="14">
        <f>AN1026+AM1027</f>
        <v/>
      </c>
    </row>
    <row r="1028">
      <c r="A1028" s="8" t="n">
        <v>40</v>
      </c>
      <c r="B1028" s="8" t="n">
        <v>7</v>
      </c>
      <c r="C1028" s="8" t="n">
        <v>1</v>
      </c>
      <c r="D1028" s="8" t="inlineStr">
        <is>
          <t>版本免费+义相逢 + 月卡收益</t>
        </is>
      </c>
      <c r="E1028" s="9">
        <f>K1027</f>
        <v/>
      </c>
      <c r="F1028" s="9" t="n">
        <v>1540</v>
      </c>
      <c r="G1028" s="9" t="n">
        <v>4800</v>
      </c>
      <c r="H1028" s="9" t="n">
        <v>0</v>
      </c>
      <c r="I1028" s="9" t="n">
        <v>0</v>
      </c>
      <c r="J1028" s="9" t="n">
        <v>0</v>
      </c>
      <c r="K1028" s="9">
        <f>E1028+F1028+G1028+H1028+I1028-J1028</f>
        <v/>
      </c>
      <c r="L1028" s="10">
        <f>Q1027</f>
        <v/>
      </c>
      <c r="M1028" s="10" t="n">
        <v>85</v>
      </c>
      <c r="N1028" s="10" t="n">
        <v>6</v>
      </c>
      <c r="O1028" s="10">
        <f>J1028/160</f>
        <v/>
      </c>
      <c r="P1028" s="10" t="n">
        <v>60</v>
      </c>
      <c r="Q1028" s="10">
        <f>L1028+M1028+N1028+O1028-P1028</f>
        <v/>
      </c>
      <c r="R1028" s="11">
        <f>T1027</f>
        <v/>
      </c>
      <c r="S1028" s="11">
        <f>N(V1028) + N(X1028) + N(Z1028)</f>
        <v/>
      </c>
      <c r="T1028" s="11">
        <f>R1028+P1028-S1028</f>
        <v/>
      </c>
      <c r="U1028" s="11" t="inlineStr">
        <is>
          <t>是</t>
        </is>
      </c>
      <c r="V1028" s="11" t="n">
        <v>49</v>
      </c>
      <c r="W1028" s="11" t="inlineStr">
        <is>
          <t>否</t>
        </is>
      </c>
      <c r="X1028" s="11" t="inlineStr">
        <is>
          <t>-</t>
        </is>
      </c>
      <c r="Y1028" s="11" t="inlineStr">
        <is>
          <t>-</t>
        </is>
      </c>
      <c r="Z1028" s="11" t="n">
        <v>0</v>
      </c>
      <c r="AA1028" s="11" t="inlineStr">
        <is>
          <t>垫到60抽</t>
        </is>
      </c>
      <c r="AB1028" s="12">
        <f>AE1027</f>
        <v/>
      </c>
      <c r="AC1028" s="12" t="n">
        <v>4</v>
      </c>
      <c r="AD1028" s="12" t="n">
        <v>0</v>
      </c>
      <c r="AE1028" s="12">
        <f>AB1028+AC1028+AD1028</f>
        <v/>
      </c>
      <c r="AF1028" s="13">
        <f>AI1027</f>
        <v/>
      </c>
      <c r="AG1028" s="13" t="n">
        <v>0</v>
      </c>
      <c r="AH1028" s="13" t="n">
        <v>0</v>
      </c>
      <c r="AI1028" s="13">
        <f>AF1028+AG1028+AH1028</f>
        <v/>
      </c>
      <c r="AJ1028" s="14" t="n">
        <v>0</v>
      </c>
      <c r="AK1028" s="14" t="n">
        <v>50</v>
      </c>
      <c r="AL1028" s="14" t="n">
        <v>0</v>
      </c>
      <c r="AM1028" s="14">
        <f>AJ1028+AK1028+AL1028</f>
        <v/>
      </c>
      <c r="AN1028" s="14">
        <f>AN1027+AM1028</f>
        <v/>
      </c>
    </row>
    <row r="1029">
      <c r="A1029" s="8" t="n">
        <v>40</v>
      </c>
      <c r="B1029" s="8" t="n">
        <v>7</v>
      </c>
      <c r="C1029" s="8" t="n">
        <v>2</v>
      </c>
      <c r="D1029" s="8" t="inlineStr">
        <is>
          <t>月卡收益 [月卡续费-30元]</t>
        </is>
      </c>
      <c r="E1029" s="9">
        <f>K1028</f>
        <v/>
      </c>
      <c r="F1029" s="9" t="n">
        <v>1540</v>
      </c>
      <c r="G1029" s="9" t="n">
        <v>0</v>
      </c>
      <c r="H1029" s="9" t="n">
        <v>0</v>
      </c>
      <c r="I1029" s="9" t="n">
        <v>0</v>
      </c>
      <c r="J1029" s="9" t="n">
        <v>8480</v>
      </c>
      <c r="K1029" s="9">
        <f>E1029+F1029+G1029+H1029+I1029-J1029</f>
        <v/>
      </c>
      <c r="L1029" s="10">
        <f>Q1028</f>
        <v/>
      </c>
      <c r="M1029" s="10" t="n">
        <v>0</v>
      </c>
      <c r="N1029" s="10" t="n">
        <v>11</v>
      </c>
      <c r="O1029" s="10">
        <f>J1029/160</f>
        <v/>
      </c>
      <c r="P1029" s="10" t="n">
        <v>90</v>
      </c>
      <c r="Q1029" s="10">
        <f>L1029+M1029+N1029+O1029-P1029</f>
        <v/>
      </c>
      <c r="R1029" s="11">
        <f>T1028</f>
        <v/>
      </c>
      <c r="S1029" s="11">
        <f>N(V1029) + N(X1029) + N(Z1029)</f>
        <v/>
      </c>
      <c r="T1029" s="11">
        <f>R1029+P1029-S1029</f>
        <v/>
      </c>
      <c r="U1029" s="11" t="inlineStr">
        <is>
          <t>是</t>
        </is>
      </c>
      <c r="V1029" s="11" t="n">
        <v>50</v>
      </c>
      <c r="W1029" s="11" t="inlineStr">
        <is>
          <t>是</t>
        </is>
      </c>
      <c r="X1029" s="11" t="n">
        <v>48</v>
      </c>
      <c r="Y1029" s="11" t="inlineStr">
        <is>
          <t>-</t>
        </is>
      </c>
      <c r="Z1029" s="11" t="n">
        <v>0</v>
      </c>
      <c r="AA1029" s="11" t="inlineStr">
        <is>
          <t>无</t>
        </is>
      </c>
      <c r="AB1029" s="12">
        <f>AE1028</f>
        <v/>
      </c>
      <c r="AC1029" s="12" t="n">
        <v>0</v>
      </c>
      <c r="AD1029" s="12" t="n">
        <v>0</v>
      </c>
      <c r="AE1029" s="12">
        <f>AB1029+AC1029+AD1029</f>
        <v/>
      </c>
      <c r="AF1029" s="13">
        <f>AI1028</f>
        <v/>
      </c>
      <c r="AG1029" s="13" t="n">
        <v>0</v>
      </c>
      <c r="AH1029" s="13" t="n">
        <v>0</v>
      </c>
      <c r="AI1029" s="13">
        <f>AF1029+AG1029+AH1029</f>
        <v/>
      </c>
      <c r="AJ1029" s="14" t="n">
        <v>30</v>
      </c>
      <c r="AK1029" s="14" t="n">
        <v>0</v>
      </c>
      <c r="AL1029" s="14" t="n">
        <v>0</v>
      </c>
      <c r="AM1029" s="14">
        <f>AJ1029+AK1029+AL1029</f>
        <v/>
      </c>
      <c r="AN1029" s="14">
        <f>AN1028+AM1029</f>
        <v/>
      </c>
    </row>
    <row r="1030">
      <c r="A1030" s="8" t="n">
        <v>40</v>
      </c>
      <c r="B1030" s="8" t="n">
        <v>8</v>
      </c>
      <c r="C1030" s="8" t="n">
        <v>1</v>
      </c>
      <c r="D1030" s="8" t="inlineStr">
        <is>
          <t>版本免费+义相逢 + 月卡收益</t>
        </is>
      </c>
      <c r="E1030" s="9">
        <f>K1029</f>
        <v/>
      </c>
      <c r="F1030" s="9" t="n">
        <v>1540</v>
      </c>
      <c r="G1030" s="9" t="n">
        <v>4800</v>
      </c>
      <c r="H1030" s="9" t="n">
        <v>0</v>
      </c>
      <c r="I1030" s="9" t="n">
        <v>0</v>
      </c>
      <c r="J1030" s="9" t="n">
        <v>14240</v>
      </c>
      <c r="K1030" s="9">
        <f>E1030+F1030+G1030+H1030+I1030-J1030</f>
        <v/>
      </c>
      <c r="L1030" s="10">
        <f>Q1029</f>
        <v/>
      </c>
      <c r="M1030" s="10" t="n">
        <v>85</v>
      </c>
      <c r="N1030" s="10" t="n">
        <v>21</v>
      </c>
      <c r="O1030" s="10">
        <f>J1030/160</f>
        <v/>
      </c>
      <c r="P1030" s="10" t="n">
        <v>200</v>
      </c>
      <c r="Q1030" s="10">
        <f>L1030+M1030+N1030+O1030-P1030</f>
        <v/>
      </c>
      <c r="R1030" s="11">
        <f>T1029</f>
        <v/>
      </c>
      <c r="S1030" s="11">
        <f>N(V1030) + N(X1030) + N(Z1030)</f>
        <v/>
      </c>
      <c r="T1030" s="11">
        <f>R1030+P1030-S1030</f>
        <v/>
      </c>
      <c r="U1030" s="11" t="inlineStr">
        <is>
          <t>是</t>
        </is>
      </c>
      <c r="V1030" s="11" t="n">
        <v>53</v>
      </c>
      <c r="W1030" s="11" t="inlineStr">
        <is>
          <t>是</t>
        </is>
      </c>
      <c r="X1030" s="11" t="n">
        <v>48</v>
      </c>
      <c r="Y1030" s="11" t="inlineStr">
        <is>
          <t>UP(50), UP(48)</t>
        </is>
      </c>
      <c r="Z1030" s="11" t="n">
        <v>98</v>
      </c>
      <c r="AA1030" s="11" t="inlineStr">
        <is>
          <t>冲刺200(动态100)</t>
        </is>
      </c>
      <c r="AB1030" s="12">
        <f>AE1029</f>
        <v/>
      </c>
      <c r="AC1030" s="12" t="n">
        <v>4</v>
      </c>
      <c r="AD1030" s="12" t="n">
        <v>1</v>
      </c>
      <c r="AE1030" s="12">
        <f>AB1030+AC1030+AD1030</f>
        <v/>
      </c>
      <c r="AF1030" s="13">
        <f>AI1029</f>
        <v/>
      </c>
      <c r="AG1030" s="13" t="n">
        <v>0</v>
      </c>
      <c r="AH1030" s="13" t="n">
        <v>5000</v>
      </c>
      <c r="AI1030" s="13">
        <f>AF1030+AG1030+AH1030</f>
        <v/>
      </c>
      <c r="AJ1030" s="14" t="n">
        <v>0</v>
      </c>
      <c r="AK1030" s="14" t="n">
        <v>50</v>
      </c>
      <c r="AL1030" s="14" t="n">
        <v>0</v>
      </c>
      <c r="AM1030" s="14">
        <f>AJ1030+AK1030+AL1030</f>
        <v/>
      </c>
      <c r="AN1030" s="14">
        <f>AN1029+AM1030</f>
        <v/>
      </c>
    </row>
    <row r="1031">
      <c r="A1031" s="8" t="n">
        <v>40</v>
      </c>
      <c r="B1031" s="8" t="n">
        <v>8</v>
      </c>
      <c r="C1031" s="8" t="n">
        <v>2</v>
      </c>
      <c r="D1031" s="8" t="inlineStr">
        <is>
          <t>月卡收益 [月卡续费-30元]</t>
        </is>
      </c>
      <c r="E1031" s="9">
        <f>K1030</f>
        <v/>
      </c>
      <c r="F1031" s="9" t="n">
        <v>1540</v>
      </c>
      <c r="G1031" s="9" t="n">
        <v>0</v>
      </c>
      <c r="H1031" s="9" t="n">
        <v>0</v>
      </c>
      <c r="I1031" s="9" t="n">
        <v>0</v>
      </c>
      <c r="J1031" s="9" t="n">
        <v>9120</v>
      </c>
      <c r="K1031" s="9">
        <f>E1031+F1031+G1031+H1031+I1031-J1031</f>
        <v/>
      </c>
      <c r="L1031" s="10">
        <f>Q1030</f>
        <v/>
      </c>
      <c r="M1031" s="10" t="n">
        <v>0</v>
      </c>
      <c r="N1031" s="10" t="n">
        <v>6</v>
      </c>
      <c r="O1031" s="10">
        <f>J1031/160</f>
        <v/>
      </c>
      <c r="P1031" s="10" t="n">
        <v>60</v>
      </c>
      <c r="Q1031" s="10">
        <f>L1031+M1031+N1031+O1031-P1031</f>
        <v/>
      </c>
      <c r="R1031" s="11">
        <f>T1030</f>
        <v/>
      </c>
      <c r="S1031" s="11">
        <f>N(V1031) + N(X1031) + N(Z1031)</f>
        <v/>
      </c>
      <c r="T1031" s="11">
        <f>R1031+P1031-S1031</f>
        <v/>
      </c>
      <c r="U1031" s="11" t="inlineStr">
        <is>
          <t>是</t>
        </is>
      </c>
      <c r="V1031" s="11" t="n">
        <v>47</v>
      </c>
      <c r="W1031" s="11" t="inlineStr">
        <is>
          <t>否</t>
        </is>
      </c>
      <c r="X1031" s="11" t="inlineStr">
        <is>
          <t>-</t>
        </is>
      </c>
      <c r="Y1031" s="11" t="inlineStr">
        <is>
          <t>-</t>
        </is>
      </c>
      <c r="Z1031" s="11" t="n">
        <v>0</v>
      </c>
      <c r="AA1031" s="11" t="inlineStr">
        <is>
          <t>垫到60抽</t>
        </is>
      </c>
      <c r="AB1031" s="12">
        <f>AE1030</f>
        <v/>
      </c>
      <c r="AC1031" s="12" t="n">
        <v>0</v>
      </c>
      <c r="AD1031" s="12" t="n">
        <v>0</v>
      </c>
      <c r="AE1031" s="12">
        <f>AB1031+AC1031+AD1031</f>
        <v/>
      </c>
      <c r="AF1031" s="13">
        <f>AI1030</f>
        <v/>
      </c>
      <c r="AG1031" s="13" t="n">
        <v>0</v>
      </c>
      <c r="AH1031" s="13" t="n">
        <v>0</v>
      </c>
      <c r="AI1031" s="13">
        <f>AF1031+AG1031+AH1031</f>
        <v/>
      </c>
      <c r="AJ1031" s="14" t="n">
        <v>30</v>
      </c>
      <c r="AK1031" s="14" t="n">
        <v>0</v>
      </c>
      <c r="AL1031" s="14" t="n">
        <v>0</v>
      </c>
      <c r="AM1031" s="14">
        <f>AJ1031+AK1031+AL1031</f>
        <v/>
      </c>
      <c r="AN1031" s="14">
        <f>AN1030+AM1031</f>
        <v/>
      </c>
    </row>
    <row r="1032">
      <c r="A1032" s="8" t="n">
        <v>40</v>
      </c>
      <c r="B1032" s="8" t="n">
        <v>9</v>
      </c>
      <c r="C1032" s="8" t="n">
        <v>1</v>
      </c>
      <c r="D1032" s="8" t="inlineStr">
        <is>
          <t>版本免费+义相逢 + 月卡收益</t>
        </is>
      </c>
      <c r="E1032" s="9">
        <f>K1031</f>
        <v/>
      </c>
      <c r="F1032" s="9" t="n">
        <v>1540</v>
      </c>
      <c r="G1032" s="9" t="n">
        <v>4800</v>
      </c>
      <c r="H1032" s="9" t="n">
        <v>0</v>
      </c>
      <c r="I1032" s="9" t="n">
        <v>0</v>
      </c>
      <c r="J1032" s="9" t="n">
        <v>0</v>
      </c>
      <c r="K1032" s="9">
        <f>E1032+F1032+G1032+H1032+I1032-J1032</f>
        <v/>
      </c>
      <c r="L1032" s="10">
        <f>Q1031</f>
        <v/>
      </c>
      <c r="M1032" s="10" t="n">
        <v>85</v>
      </c>
      <c r="N1032" s="10" t="n">
        <v>3</v>
      </c>
      <c r="O1032" s="10">
        <f>J1032/160</f>
        <v/>
      </c>
      <c r="P1032" s="10" t="n">
        <v>30</v>
      </c>
      <c r="Q1032" s="10">
        <f>L1032+M1032+N1032+O1032-P1032</f>
        <v/>
      </c>
      <c r="R1032" s="11">
        <f>T1031</f>
        <v/>
      </c>
      <c r="S1032" s="11">
        <f>N(V1032) + N(X1032) + N(Z1032)</f>
        <v/>
      </c>
      <c r="T1032" s="11">
        <f>R1032+P1032-S1032</f>
        <v/>
      </c>
      <c r="U1032" s="11" t="inlineStr">
        <is>
          <t>是</t>
        </is>
      </c>
      <c r="V1032" s="11" t="n">
        <v>47</v>
      </c>
      <c r="W1032" s="11" t="inlineStr">
        <is>
          <t>否</t>
        </is>
      </c>
      <c r="X1032" s="11" t="inlineStr">
        <is>
          <t>-</t>
        </is>
      </c>
      <c r="Y1032" s="11" t="inlineStr">
        <is>
          <t>-</t>
        </is>
      </c>
      <c r="Z1032" s="11" t="n">
        <v>0</v>
      </c>
      <c r="AA1032" s="11" t="inlineStr">
        <is>
          <t>无</t>
        </is>
      </c>
      <c r="AB1032" s="12">
        <f>AE1031</f>
        <v/>
      </c>
      <c r="AC1032" s="12" t="n">
        <v>4</v>
      </c>
      <c r="AD1032" s="12" t="n">
        <v>0</v>
      </c>
      <c r="AE1032" s="12">
        <f>AB1032+AC1032+AD1032</f>
        <v/>
      </c>
      <c r="AF1032" s="13">
        <f>AI1031</f>
        <v/>
      </c>
      <c r="AG1032" s="13" t="n">
        <v>0</v>
      </c>
      <c r="AH1032" s="13" t="n">
        <v>0</v>
      </c>
      <c r="AI1032" s="13">
        <f>AF1032+AG1032+AH1032</f>
        <v/>
      </c>
      <c r="AJ1032" s="14" t="n">
        <v>0</v>
      </c>
      <c r="AK1032" s="14" t="n">
        <v>50</v>
      </c>
      <c r="AL1032" s="14" t="n">
        <v>0</v>
      </c>
      <c r="AM1032" s="14">
        <f>AJ1032+AK1032+AL1032</f>
        <v/>
      </c>
      <c r="AN1032" s="14">
        <f>AN1031+AM1032</f>
        <v/>
      </c>
    </row>
    <row r="1033">
      <c r="A1033" s="8" t="n">
        <v>40</v>
      </c>
      <c r="B1033" s="8" t="n">
        <v>9</v>
      </c>
      <c r="C1033" s="8" t="n">
        <v>2</v>
      </c>
      <c r="D1033" s="8" t="inlineStr">
        <is>
          <t>月卡收益 [月卡续费-30元]</t>
        </is>
      </c>
      <c r="E1033" s="9">
        <f>K1032</f>
        <v/>
      </c>
      <c r="F1033" s="9" t="n">
        <v>1540</v>
      </c>
      <c r="G1033" s="9" t="n">
        <v>0</v>
      </c>
      <c r="H1033" s="9" t="n">
        <v>0</v>
      </c>
      <c r="I1033" s="9" t="n">
        <v>0</v>
      </c>
      <c r="J1033" s="9" t="n">
        <v>0</v>
      </c>
      <c r="K1033" s="9">
        <f>E1033+F1033+G1033+H1033+I1033-J1033</f>
        <v/>
      </c>
      <c r="L1033" s="10">
        <f>Q1032</f>
        <v/>
      </c>
      <c r="M1033" s="10" t="n">
        <v>0</v>
      </c>
      <c r="N1033" s="10" t="n">
        <v>6</v>
      </c>
      <c r="O1033" s="10">
        <f>J1033/160</f>
        <v/>
      </c>
      <c r="P1033" s="10" t="n">
        <v>60</v>
      </c>
      <c r="Q1033" s="10">
        <f>L1033+M1033+N1033+O1033-P1033</f>
        <v/>
      </c>
      <c r="R1033" s="11">
        <f>T1032</f>
        <v/>
      </c>
      <c r="S1033" s="11">
        <f>N(V1033) + N(X1033) + N(Z1033)</f>
        <v/>
      </c>
      <c r="T1033" s="11">
        <f>R1033+P1033-S1033</f>
        <v/>
      </c>
      <c r="U1033" s="11" t="inlineStr">
        <is>
          <t>是</t>
        </is>
      </c>
      <c r="V1033" s="11" t="n">
        <v>49</v>
      </c>
      <c r="W1033" s="11" t="inlineStr">
        <is>
          <t>否</t>
        </is>
      </c>
      <c r="X1033" s="11" t="inlineStr">
        <is>
          <t>-</t>
        </is>
      </c>
      <c r="Y1033" s="11" t="inlineStr">
        <is>
          <t>-</t>
        </is>
      </c>
      <c r="Z1033" s="11" t="n">
        <v>0</v>
      </c>
      <c r="AA1033" s="11" t="inlineStr">
        <is>
          <t>垫到60抽</t>
        </is>
      </c>
      <c r="AB1033" s="12">
        <f>AE1032</f>
        <v/>
      </c>
      <c r="AC1033" s="12" t="n">
        <v>0</v>
      </c>
      <c r="AD1033" s="12" t="n">
        <v>0</v>
      </c>
      <c r="AE1033" s="12">
        <f>AB1033+AC1033+AD1033</f>
        <v/>
      </c>
      <c r="AF1033" s="13">
        <f>AI1032</f>
        <v/>
      </c>
      <c r="AG1033" s="13" t="n">
        <v>0</v>
      </c>
      <c r="AH1033" s="13" t="n">
        <v>0</v>
      </c>
      <c r="AI1033" s="13">
        <f>AF1033+AG1033+AH1033</f>
        <v/>
      </c>
      <c r="AJ1033" s="14" t="n">
        <v>30</v>
      </c>
      <c r="AK1033" s="14" t="n">
        <v>0</v>
      </c>
      <c r="AL1033" s="14" t="n">
        <v>0</v>
      </c>
      <c r="AM1033" s="14">
        <f>AJ1033+AK1033+AL1033</f>
        <v/>
      </c>
      <c r="AN1033" s="14">
        <f>AN1032+AM1033</f>
        <v/>
      </c>
    </row>
    <row r="1034">
      <c r="A1034" s="8" t="n">
        <v>40</v>
      </c>
      <c r="B1034" s="8" t="n">
        <v>10</v>
      </c>
      <c r="C1034" s="8" t="n">
        <v>1</v>
      </c>
      <c r="D1034" s="8" t="inlineStr">
        <is>
          <t>版本免费+义相逢 + 月卡收益</t>
        </is>
      </c>
      <c r="E1034" s="9">
        <f>K1033</f>
        <v/>
      </c>
      <c r="F1034" s="9" t="n">
        <v>1540</v>
      </c>
      <c r="G1034" s="9" t="n">
        <v>4800</v>
      </c>
      <c r="H1034" s="9" t="n">
        <v>0</v>
      </c>
      <c r="I1034" s="9" t="n">
        <v>0</v>
      </c>
      <c r="J1034" s="9" t="n">
        <v>0</v>
      </c>
      <c r="K1034" s="9">
        <f>E1034+F1034+G1034+H1034+I1034-J1034</f>
        <v/>
      </c>
      <c r="L1034" s="10">
        <f>Q1033</f>
        <v/>
      </c>
      <c r="M1034" s="10" t="n">
        <v>85</v>
      </c>
      <c r="N1034" s="10" t="n">
        <v>11</v>
      </c>
      <c r="O1034" s="10">
        <f>J1034/160</f>
        <v/>
      </c>
      <c r="P1034" s="10" t="n">
        <v>100</v>
      </c>
      <c r="Q1034" s="10">
        <f>L1034+M1034+N1034+O1034-P1034</f>
        <v/>
      </c>
      <c r="R1034" s="11">
        <f>T1033</f>
        <v/>
      </c>
      <c r="S1034" s="11">
        <f>N(V1034) + N(X1034) + N(Z1034)</f>
        <v/>
      </c>
      <c r="T1034" s="11">
        <f>R1034+P1034-S1034</f>
        <v/>
      </c>
      <c r="U1034" s="11" t="inlineStr">
        <is>
          <t>是</t>
        </is>
      </c>
      <c r="V1034" s="11" t="n">
        <v>53</v>
      </c>
      <c r="W1034" s="11" t="inlineStr">
        <is>
          <t>是</t>
        </is>
      </c>
      <c r="X1034" s="11" t="n">
        <v>51</v>
      </c>
      <c r="Y1034" s="11" t="inlineStr">
        <is>
          <t>-</t>
        </is>
      </c>
      <c r="Z1034" s="11" t="n">
        <v>0</v>
      </c>
      <c r="AA1034" s="11" t="inlineStr">
        <is>
          <t>无</t>
        </is>
      </c>
      <c r="AB1034" s="12">
        <f>AE1033</f>
        <v/>
      </c>
      <c r="AC1034" s="12" t="n">
        <v>4</v>
      </c>
      <c r="AD1034" s="12" t="n">
        <v>0</v>
      </c>
      <c r="AE1034" s="12">
        <f>AB1034+AC1034+AD1034</f>
        <v/>
      </c>
      <c r="AF1034" s="13">
        <f>AI1033</f>
        <v/>
      </c>
      <c r="AG1034" s="13" t="n">
        <v>0</v>
      </c>
      <c r="AH1034" s="13" t="n">
        <v>0</v>
      </c>
      <c r="AI1034" s="13">
        <f>AF1034+AG1034+AH1034</f>
        <v/>
      </c>
      <c r="AJ1034" s="14" t="n">
        <v>0</v>
      </c>
      <c r="AK1034" s="14" t="n">
        <v>50</v>
      </c>
      <c r="AL1034" s="14" t="n">
        <v>0</v>
      </c>
      <c r="AM1034" s="14">
        <f>AJ1034+AK1034+AL1034</f>
        <v/>
      </c>
      <c r="AN1034" s="14">
        <f>AN1033+AM1034</f>
        <v/>
      </c>
    </row>
    <row r="1035">
      <c r="A1035" s="8" t="n">
        <v>40</v>
      </c>
      <c r="B1035" s="8" t="n">
        <v>10</v>
      </c>
      <c r="C1035" s="8" t="n">
        <v>2</v>
      </c>
      <c r="D1035" s="8" t="inlineStr">
        <is>
          <t>月卡收益 [月卡续费-30元]</t>
        </is>
      </c>
      <c r="E1035" s="9">
        <f>K1034</f>
        <v/>
      </c>
      <c r="F1035" s="9" t="n">
        <v>1540</v>
      </c>
      <c r="G1035" s="9" t="n">
        <v>0</v>
      </c>
      <c r="H1035" s="9" t="n">
        <v>0</v>
      </c>
      <c r="I1035" s="9" t="n">
        <v>0</v>
      </c>
      <c r="J1035" s="9" t="n">
        <v>13760</v>
      </c>
      <c r="K1035" s="9">
        <f>E1035+F1035+G1035+H1035+I1035-J1035</f>
        <v/>
      </c>
      <c r="L1035" s="10">
        <f>Q1034</f>
        <v/>
      </c>
      <c r="M1035" s="10" t="n">
        <v>0</v>
      </c>
      <c r="N1035" s="10" t="n">
        <v>11</v>
      </c>
      <c r="O1035" s="10">
        <f>J1035/160</f>
        <v/>
      </c>
      <c r="P1035" s="10" t="n">
        <v>100</v>
      </c>
      <c r="Q1035" s="10">
        <f>L1035+M1035+N1035+O1035-P1035</f>
        <v/>
      </c>
      <c r="R1035" s="11">
        <f>T1034</f>
        <v/>
      </c>
      <c r="S1035" s="11">
        <f>N(V1035) + N(X1035) + N(Z1035)</f>
        <v/>
      </c>
      <c r="T1035" s="11">
        <f>R1035+P1035-S1035</f>
        <v/>
      </c>
      <c r="U1035" s="11" t="inlineStr">
        <is>
          <t>是</t>
        </is>
      </c>
      <c r="V1035" s="11" t="n">
        <v>56</v>
      </c>
      <c r="W1035" s="11" t="inlineStr">
        <is>
          <t>是</t>
        </is>
      </c>
      <c r="X1035" s="11" t="n">
        <v>48</v>
      </c>
      <c r="Y1035" s="11" t="inlineStr">
        <is>
          <t>-</t>
        </is>
      </c>
      <c r="Z1035" s="11" t="n">
        <v>0</v>
      </c>
      <c r="AA1035" s="11" t="inlineStr">
        <is>
          <t>无</t>
        </is>
      </c>
      <c r="AB1035" s="12">
        <f>AE1034</f>
        <v/>
      </c>
      <c r="AC1035" s="12" t="n">
        <v>0</v>
      </c>
      <c r="AD1035" s="12" t="n">
        <v>0</v>
      </c>
      <c r="AE1035" s="12">
        <f>AB1035+AC1035+AD1035</f>
        <v/>
      </c>
      <c r="AF1035" s="13">
        <f>AI1034</f>
        <v/>
      </c>
      <c r="AG1035" s="13" t="n">
        <v>0</v>
      </c>
      <c r="AH1035" s="13" t="n">
        <v>0</v>
      </c>
      <c r="AI1035" s="13">
        <f>AF1035+AG1035+AH1035</f>
        <v/>
      </c>
      <c r="AJ1035" s="14" t="n">
        <v>30</v>
      </c>
      <c r="AK1035" s="14" t="n">
        <v>0</v>
      </c>
      <c r="AL1035" s="14" t="n">
        <v>0</v>
      </c>
      <c r="AM1035" s="14">
        <f>AJ1035+AK1035+AL1035</f>
        <v/>
      </c>
      <c r="AN1035" s="14">
        <f>AN1034+AM1035</f>
        <v/>
      </c>
    </row>
    <row r="1036">
      <c r="A1036" s="8" t="n">
        <v>40</v>
      </c>
      <c r="B1036" s="8" t="n">
        <v>11</v>
      </c>
      <c r="C1036" s="8" t="n">
        <v>1</v>
      </c>
      <c r="D1036" s="8" t="inlineStr">
        <is>
          <t>版本免费+义相逢 + 月卡收益</t>
        </is>
      </c>
      <c r="E1036" s="9">
        <f>K1035</f>
        <v/>
      </c>
      <c r="F1036" s="9" t="n">
        <v>1540</v>
      </c>
      <c r="G1036" s="9" t="n">
        <v>4800</v>
      </c>
      <c r="H1036" s="9" t="n">
        <v>0</v>
      </c>
      <c r="I1036" s="9" t="n">
        <v>0</v>
      </c>
      <c r="J1036" s="9" t="n">
        <v>0</v>
      </c>
      <c r="K1036" s="9">
        <f>E1036+F1036+G1036+H1036+I1036-J1036</f>
        <v/>
      </c>
      <c r="L1036" s="10">
        <f>Q1035</f>
        <v/>
      </c>
      <c r="M1036" s="10" t="n">
        <v>85</v>
      </c>
      <c r="N1036" s="10" t="n">
        <v>6</v>
      </c>
      <c r="O1036" s="10">
        <f>J1036/160</f>
        <v/>
      </c>
      <c r="P1036" s="10" t="n">
        <v>60</v>
      </c>
      <c r="Q1036" s="10">
        <f>L1036+M1036+N1036+O1036-P1036</f>
        <v/>
      </c>
      <c r="R1036" s="11">
        <f>T1035</f>
        <v/>
      </c>
      <c r="S1036" s="11">
        <f>N(V1036) + N(X1036) + N(Z1036)</f>
        <v/>
      </c>
      <c r="T1036" s="11">
        <f>R1036+P1036-S1036</f>
        <v/>
      </c>
      <c r="U1036" s="11" t="inlineStr">
        <is>
          <t>是</t>
        </is>
      </c>
      <c r="V1036" s="11" t="n">
        <v>51</v>
      </c>
      <c r="W1036" s="11" t="inlineStr">
        <is>
          <t>否</t>
        </is>
      </c>
      <c r="X1036" s="11" t="inlineStr">
        <is>
          <t>-</t>
        </is>
      </c>
      <c r="Y1036" s="11" t="inlineStr">
        <is>
          <t>-</t>
        </is>
      </c>
      <c r="Z1036" s="11" t="n">
        <v>0</v>
      </c>
      <c r="AA1036" s="11" t="inlineStr">
        <is>
          <t>垫到60抽</t>
        </is>
      </c>
      <c r="AB1036" s="12">
        <f>AE1035</f>
        <v/>
      </c>
      <c r="AC1036" s="12" t="n">
        <v>4</v>
      </c>
      <c r="AD1036" s="12" t="n">
        <v>0</v>
      </c>
      <c r="AE1036" s="12">
        <f>AB1036+AC1036+AD1036</f>
        <v/>
      </c>
      <c r="AF1036" s="13">
        <f>AI1035</f>
        <v/>
      </c>
      <c r="AG1036" s="13" t="n">
        <v>0</v>
      </c>
      <c r="AH1036" s="13" t="n">
        <v>0</v>
      </c>
      <c r="AI1036" s="13">
        <f>AF1036+AG1036+AH1036</f>
        <v/>
      </c>
      <c r="AJ1036" s="14" t="n">
        <v>0</v>
      </c>
      <c r="AK1036" s="14" t="n">
        <v>50</v>
      </c>
      <c r="AL1036" s="14" t="n">
        <v>0</v>
      </c>
      <c r="AM1036" s="14">
        <f>AJ1036+AK1036+AL1036</f>
        <v/>
      </c>
      <c r="AN1036" s="14">
        <f>AN1035+AM1036</f>
        <v/>
      </c>
    </row>
    <row r="1037">
      <c r="A1037" s="8" t="n">
        <v>40</v>
      </c>
      <c r="B1037" s="8" t="n">
        <v>11</v>
      </c>
      <c r="C1037" s="8" t="n">
        <v>2</v>
      </c>
      <c r="D1037" s="8" t="inlineStr">
        <is>
          <t>月卡收益</t>
        </is>
      </c>
      <c r="E1037" s="9">
        <f>K1036</f>
        <v/>
      </c>
      <c r="F1037" s="9" t="n">
        <v>1540</v>
      </c>
      <c r="G1037" s="9" t="n">
        <v>0</v>
      </c>
      <c r="H1037" s="9" t="n">
        <v>0</v>
      </c>
      <c r="I1037" s="9" t="n">
        <v>0</v>
      </c>
      <c r="J1037" s="9" t="n">
        <v>8480</v>
      </c>
      <c r="K1037" s="9">
        <f>E1037+F1037+G1037+H1037+I1037-J1037</f>
        <v/>
      </c>
      <c r="L1037" s="10">
        <f>Q1036</f>
        <v/>
      </c>
      <c r="M1037" s="10" t="n">
        <v>0</v>
      </c>
      <c r="N1037" s="10" t="n">
        <v>11</v>
      </c>
      <c r="O1037" s="10">
        <f>J1037/160</f>
        <v/>
      </c>
      <c r="P1037" s="10" t="n">
        <v>90</v>
      </c>
      <c r="Q1037" s="10">
        <f>L1037+M1037+N1037+O1037-P1037</f>
        <v/>
      </c>
      <c r="R1037" s="11">
        <f>T1036</f>
        <v/>
      </c>
      <c r="S1037" s="11">
        <f>N(V1037) + N(X1037) + N(Z1037)</f>
        <v/>
      </c>
      <c r="T1037" s="11">
        <f>R1037+P1037-S1037</f>
        <v/>
      </c>
      <c r="U1037" s="11" t="inlineStr">
        <is>
          <t>是</t>
        </is>
      </c>
      <c r="V1037" s="11" t="n">
        <v>46</v>
      </c>
      <c r="W1037" s="11" t="inlineStr">
        <is>
          <t>是</t>
        </is>
      </c>
      <c r="X1037" s="11" t="n">
        <v>46</v>
      </c>
      <c r="Y1037" s="11" t="inlineStr">
        <is>
          <t>-</t>
        </is>
      </c>
      <c r="Z1037" s="11" t="n">
        <v>0</v>
      </c>
      <c r="AA1037" s="11" t="inlineStr">
        <is>
          <t>垫到90抽</t>
        </is>
      </c>
      <c r="AB1037" s="12">
        <f>AE1036</f>
        <v/>
      </c>
      <c r="AC1037" s="12" t="n">
        <v>0</v>
      </c>
      <c r="AD1037" s="12" t="n">
        <v>0</v>
      </c>
      <c r="AE1037" s="12">
        <f>AB1037+AC1037+AD1037</f>
        <v/>
      </c>
      <c r="AF1037" s="13">
        <f>AI1036</f>
        <v/>
      </c>
      <c r="AG1037" s="13" t="n">
        <v>0</v>
      </c>
      <c r="AH1037" s="13" t="n">
        <v>0</v>
      </c>
      <c r="AI1037" s="13">
        <f>AF1037+AG1037+AH1037</f>
        <v/>
      </c>
      <c r="AJ1037" s="14" t="n">
        <v>0</v>
      </c>
      <c r="AK1037" s="14" t="n">
        <v>0</v>
      </c>
      <c r="AL1037" s="14" t="n">
        <v>0</v>
      </c>
      <c r="AM1037" s="14">
        <f>AJ1037+AK1037+AL1037</f>
        <v/>
      </c>
      <c r="AN1037" s="14">
        <f>AN1036+AM1037</f>
        <v/>
      </c>
    </row>
    <row r="1038">
      <c r="A1038" s="8" t="n">
        <v>40</v>
      </c>
      <c r="B1038" s="8" t="n">
        <v>12</v>
      </c>
      <c r="C1038" s="8" t="n">
        <v>1</v>
      </c>
      <c r="D1038" s="8" t="inlineStr">
        <is>
          <t>版本免费+义相逢 + 月卡收益 [月卡续费-30元]</t>
        </is>
      </c>
      <c r="E1038" s="9">
        <f>K1037</f>
        <v/>
      </c>
      <c r="F1038" s="9" t="n">
        <v>1540</v>
      </c>
      <c r="G1038" s="9" t="n">
        <v>4800</v>
      </c>
      <c r="H1038" s="9" t="n">
        <v>0</v>
      </c>
      <c r="I1038" s="9" t="n">
        <v>0</v>
      </c>
      <c r="J1038" s="9" t="n">
        <v>0</v>
      </c>
      <c r="K1038" s="9">
        <f>E1038+F1038+G1038+H1038+I1038-J1038</f>
        <v/>
      </c>
      <c r="L1038" s="10">
        <f>Q1037</f>
        <v/>
      </c>
      <c r="M1038" s="10" t="n">
        <v>85</v>
      </c>
      <c r="N1038" s="10" t="n">
        <v>11</v>
      </c>
      <c r="O1038" s="10">
        <f>J1038/160</f>
        <v/>
      </c>
      <c r="P1038" s="10" t="n">
        <v>90</v>
      </c>
      <c r="Q1038" s="10">
        <f>L1038+M1038+N1038+O1038-P1038</f>
        <v/>
      </c>
      <c r="R1038" s="11">
        <f>T1037</f>
        <v/>
      </c>
      <c r="S1038" s="11">
        <f>N(V1038) + N(X1038) + N(Z1038)</f>
        <v/>
      </c>
      <c r="T1038" s="11">
        <f>R1038+P1038-S1038</f>
        <v/>
      </c>
      <c r="U1038" s="11" t="inlineStr">
        <is>
          <t>是</t>
        </is>
      </c>
      <c r="V1038" s="11" t="n">
        <v>48</v>
      </c>
      <c r="W1038" s="11" t="inlineStr">
        <is>
          <t>是</t>
        </is>
      </c>
      <c r="X1038" s="11" t="n">
        <v>49</v>
      </c>
      <c r="Y1038" s="11" t="inlineStr">
        <is>
          <t>-</t>
        </is>
      </c>
      <c r="Z1038" s="11" t="n">
        <v>0</v>
      </c>
      <c r="AA1038" s="11" t="inlineStr">
        <is>
          <t>无</t>
        </is>
      </c>
      <c r="AB1038" s="12">
        <f>AE1037</f>
        <v/>
      </c>
      <c r="AC1038" s="12" t="n">
        <v>4</v>
      </c>
      <c r="AD1038" s="12" t="n">
        <v>0</v>
      </c>
      <c r="AE1038" s="12">
        <f>AB1038+AC1038+AD1038</f>
        <v/>
      </c>
      <c r="AF1038" s="13">
        <f>AI1037</f>
        <v/>
      </c>
      <c r="AG1038" s="13" t="n">
        <v>0</v>
      </c>
      <c r="AH1038" s="13" t="n">
        <v>0</v>
      </c>
      <c r="AI1038" s="13">
        <f>AF1038+AG1038+AH1038</f>
        <v/>
      </c>
      <c r="AJ1038" s="14" t="n">
        <v>30</v>
      </c>
      <c r="AK1038" s="14" t="n">
        <v>50</v>
      </c>
      <c r="AL1038" s="14" t="n">
        <v>0</v>
      </c>
      <c r="AM1038" s="14">
        <f>AJ1038+AK1038+AL1038</f>
        <v/>
      </c>
      <c r="AN1038" s="14">
        <f>AN1037+AM1038</f>
        <v/>
      </c>
    </row>
    <row r="1039">
      <c r="A1039" s="8" t="n">
        <v>40</v>
      </c>
      <c r="B1039" s="8" t="n">
        <v>12</v>
      </c>
      <c r="C1039" s="8" t="n">
        <v>2</v>
      </c>
      <c r="D1039" s="8" t="inlineStr">
        <is>
          <t>月卡收益</t>
        </is>
      </c>
      <c r="E1039" s="9">
        <f>K1038</f>
        <v/>
      </c>
      <c r="F1039" s="9" t="n">
        <v>1540</v>
      </c>
      <c r="G1039" s="9" t="n">
        <v>0</v>
      </c>
      <c r="H1039" s="9" t="n">
        <v>0</v>
      </c>
      <c r="I1039" s="9" t="n">
        <v>0</v>
      </c>
      <c r="J1039" s="9" t="n">
        <v>7360</v>
      </c>
      <c r="K1039" s="9">
        <f>E1039+F1039+G1039+H1039+I1039-J1039</f>
        <v/>
      </c>
      <c r="L1039" s="10">
        <f>Q1038</f>
        <v/>
      </c>
      <c r="M1039" s="10" t="n">
        <v>0</v>
      </c>
      <c r="N1039" s="10" t="n">
        <v>6</v>
      </c>
      <c r="O1039" s="10">
        <f>J1039/160</f>
        <v/>
      </c>
      <c r="P1039" s="10" t="n">
        <v>60</v>
      </c>
      <c r="Q1039" s="10">
        <f>L1039+M1039+N1039+O1039-P1039</f>
        <v/>
      </c>
      <c r="R1039" s="11">
        <f>T1038</f>
        <v/>
      </c>
      <c r="S1039" s="11">
        <f>N(V1039) + N(X1039) + N(Z1039)</f>
        <v/>
      </c>
      <c r="T1039" s="11">
        <f>R1039+P1039-S1039</f>
        <v/>
      </c>
      <c r="U1039" s="11" t="inlineStr">
        <is>
          <t>是</t>
        </is>
      </c>
      <c r="V1039" s="11" t="n">
        <v>46</v>
      </c>
      <c r="W1039" s="11" t="inlineStr">
        <is>
          <t>否</t>
        </is>
      </c>
      <c r="X1039" s="11" t="inlineStr">
        <is>
          <t>-</t>
        </is>
      </c>
      <c r="Y1039" s="11" t="inlineStr">
        <is>
          <t>-</t>
        </is>
      </c>
      <c r="Z1039" s="11" t="n">
        <v>0</v>
      </c>
      <c r="AA1039" s="11" t="inlineStr">
        <is>
          <t>垫到60抽</t>
        </is>
      </c>
      <c r="AB1039" s="12">
        <f>AE1038</f>
        <v/>
      </c>
      <c r="AC1039" s="12" t="n">
        <v>0</v>
      </c>
      <c r="AD1039" s="12" t="n">
        <v>0</v>
      </c>
      <c r="AE1039" s="12">
        <f>AB1039+AC1039+AD1039</f>
        <v/>
      </c>
      <c r="AF1039" s="13">
        <f>AI1038</f>
        <v/>
      </c>
      <c r="AG1039" s="13" t="n">
        <v>0</v>
      </c>
      <c r="AH1039" s="13" t="n">
        <v>0</v>
      </c>
      <c r="AI1039" s="13">
        <f>AF1039+AG1039+AH1039</f>
        <v/>
      </c>
      <c r="AJ1039" s="14" t="n">
        <v>0</v>
      </c>
      <c r="AK1039" s="14" t="n">
        <v>0</v>
      </c>
      <c r="AL1039" s="14" t="n">
        <v>0</v>
      </c>
      <c r="AM1039" s="14">
        <f>AJ1039+AK1039+AL1039</f>
        <v/>
      </c>
      <c r="AN1039" s="14">
        <f>AN1038+AM1039</f>
        <v/>
      </c>
    </row>
    <row r="1040">
      <c r="A1040" s="8" t="n">
        <v>40</v>
      </c>
      <c r="B1040" s="8" t="n">
        <v>13</v>
      </c>
      <c r="C1040" s="8" t="n">
        <v>1</v>
      </c>
      <c r="D1040" s="8" t="inlineStr">
        <is>
          <t>版本免费+义相逢 + 月卡收益 [月卡续费-30元]</t>
        </is>
      </c>
      <c r="E1040" s="9">
        <f>K1039</f>
        <v/>
      </c>
      <c r="F1040" s="9" t="n">
        <v>1540</v>
      </c>
      <c r="G1040" s="9" t="n">
        <v>4800</v>
      </c>
      <c r="H1040" s="9" t="n">
        <v>0</v>
      </c>
      <c r="I1040" s="9" t="n">
        <v>0</v>
      </c>
      <c r="J1040" s="9" t="n">
        <v>0</v>
      </c>
      <c r="K1040" s="9">
        <f>E1040+F1040+G1040+H1040+I1040-J1040</f>
        <v/>
      </c>
      <c r="L1040" s="10">
        <f>Q1039</f>
        <v/>
      </c>
      <c r="M1040" s="10" t="n">
        <v>85</v>
      </c>
      <c r="N1040" s="10" t="n">
        <v>3</v>
      </c>
      <c r="O1040" s="10">
        <f>J1040/160</f>
        <v/>
      </c>
      <c r="P1040" s="10" t="n">
        <v>30</v>
      </c>
      <c r="Q1040" s="10">
        <f>L1040+M1040+N1040+O1040-P1040</f>
        <v/>
      </c>
      <c r="R1040" s="11">
        <f>T1039</f>
        <v/>
      </c>
      <c r="S1040" s="11">
        <f>N(V1040) + N(X1040) + N(Z1040)</f>
        <v/>
      </c>
      <c r="T1040" s="11">
        <f>R1040+P1040-S1040</f>
        <v/>
      </c>
      <c r="U1040" s="11" t="inlineStr">
        <is>
          <t>是</t>
        </is>
      </c>
      <c r="V1040" s="11" t="n">
        <v>47</v>
      </c>
      <c r="W1040" s="11" t="inlineStr">
        <is>
          <t>否</t>
        </is>
      </c>
      <c r="X1040" s="11" t="inlineStr">
        <is>
          <t>-</t>
        </is>
      </c>
      <c r="Y1040" s="11" t="inlineStr">
        <is>
          <t>-</t>
        </is>
      </c>
      <c r="Z1040" s="11" t="n">
        <v>0</v>
      </c>
      <c r="AA1040" s="11" t="inlineStr">
        <is>
          <t>无</t>
        </is>
      </c>
      <c r="AB1040" s="12">
        <f>AE1039</f>
        <v/>
      </c>
      <c r="AC1040" s="12" t="n">
        <v>4</v>
      </c>
      <c r="AD1040" s="12" t="n">
        <v>0</v>
      </c>
      <c r="AE1040" s="12">
        <f>AB1040+AC1040+AD1040</f>
        <v/>
      </c>
      <c r="AF1040" s="13">
        <f>AI1039</f>
        <v/>
      </c>
      <c r="AG1040" s="13" t="n">
        <v>0</v>
      </c>
      <c r="AH1040" s="13" t="n">
        <v>0</v>
      </c>
      <c r="AI1040" s="13">
        <f>AF1040+AG1040+AH1040</f>
        <v/>
      </c>
      <c r="AJ1040" s="14" t="n">
        <v>30</v>
      </c>
      <c r="AK1040" s="14" t="n">
        <v>50</v>
      </c>
      <c r="AL1040" s="14" t="n">
        <v>0</v>
      </c>
      <c r="AM1040" s="14">
        <f>AJ1040+AK1040+AL1040</f>
        <v/>
      </c>
      <c r="AN1040" s="14">
        <f>AN1039+AM1040</f>
        <v/>
      </c>
    </row>
    <row r="1041">
      <c r="A1041" s="8" t="n">
        <v>40</v>
      </c>
      <c r="B1041" s="8" t="n">
        <v>13</v>
      </c>
      <c r="C1041" s="8" t="n">
        <v>2</v>
      </c>
      <c r="D1041" s="8" t="inlineStr">
        <is>
          <t>月卡收益</t>
        </is>
      </c>
      <c r="E1041" s="9">
        <f>K1040</f>
        <v/>
      </c>
      <c r="F1041" s="9" t="n">
        <v>1540</v>
      </c>
      <c r="G1041" s="9" t="n">
        <v>0</v>
      </c>
      <c r="H1041" s="9" t="n">
        <v>0</v>
      </c>
      <c r="I1041" s="9" t="n">
        <v>0</v>
      </c>
      <c r="J1041" s="9" t="n">
        <v>4480</v>
      </c>
      <c r="K1041" s="9">
        <f>E1041+F1041+G1041+H1041+I1041-J1041</f>
        <v/>
      </c>
      <c r="L1041" s="10">
        <f>Q1040</f>
        <v/>
      </c>
      <c r="M1041" s="10" t="n">
        <v>0</v>
      </c>
      <c r="N1041" s="10" t="n">
        <v>11</v>
      </c>
      <c r="O1041" s="10">
        <f>J1041/160</f>
        <v/>
      </c>
      <c r="P1041" s="10" t="n">
        <v>100</v>
      </c>
      <c r="Q1041" s="10">
        <f>L1041+M1041+N1041+O1041-P1041</f>
        <v/>
      </c>
      <c r="R1041" s="11">
        <f>T1040</f>
        <v/>
      </c>
      <c r="S1041" s="11">
        <f>N(V1041) + N(X1041) + N(Z1041)</f>
        <v/>
      </c>
      <c r="T1041" s="11">
        <f>R1041+P1041-S1041</f>
        <v/>
      </c>
      <c r="U1041" s="11" t="inlineStr">
        <is>
          <t>是</t>
        </is>
      </c>
      <c r="V1041" s="11" t="n">
        <v>48</v>
      </c>
      <c r="W1041" s="11" t="inlineStr">
        <is>
          <t>是</t>
        </is>
      </c>
      <c r="X1041" s="11" t="n">
        <v>47</v>
      </c>
      <c r="Y1041" s="11" t="inlineStr">
        <is>
          <t>-</t>
        </is>
      </c>
      <c r="Z1041" s="11" t="n">
        <v>0</v>
      </c>
      <c r="AA1041" s="11" t="inlineStr">
        <is>
          <t>无</t>
        </is>
      </c>
      <c r="AB1041" s="12">
        <f>AE1040</f>
        <v/>
      </c>
      <c r="AC1041" s="12" t="n">
        <v>0</v>
      </c>
      <c r="AD1041" s="12" t="n">
        <v>0</v>
      </c>
      <c r="AE1041" s="12">
        <f>AB1041+AC1041+AD1041</f>
        <v/>
      </c>
      <c r="AF1041" s="13">
        <f>AI1040</f>
        <v/>
      </c>
      <c r="AG1041" s="13" t="n">
        <v>0</v>
      </c>
      <c r="AH1041" s="13" t="n">
        <v>0</v>
      </c>
      <c r="AI1041" s="13">
        <f>AF1041+AG1041+AH1041</f>
        <v/>
      </c>
      <c r="AJ1041" s="14" t="n">
        <v>0</v>
      </c>
      <c r="AK1041" s="14" t="n">
        <v>0</v>
      </c>
      <c r="AL1041" s="14" t="n">
        <v>0</v>
      </c>
      <c r="AM1041" s="14">
        <f>AJ1041+AK1041+AL1041</f>
        <v/>
      </c>
      <c r="AN1041" s="14">
        <f>AN1040+AM1041</f>
        <v/>
      </c>
    </row>
    <row r="1042">
      <c r="A1042" s="8" t="n">
        <v>41</v>
      </c>
      <c r="B1042" s="8" t="n">
        <v>1</v>
      </c>
      <c r="C1042" s="8" t="n">
        <v>1</v>
      </c>
      <c r="D1042" s="8" t="inlineStr">
        <is>
          <t>版本免费+义相逢 + 月卡收益 [月卡续费-30元]</t>
        </is>
      </c>
      <c r="E1042" s="9" t="n">
        <v>13600</v>
      </c>
      <c r="F1042" s="9" t="n">
        <v>1540</v>
      </c>
      <c r="G1042" s="9" t="n">
        <v>4800</v>
      </c>
      <c r="H1042" s="9" t="n">
        <v>0</v>
      </c>
      <c r="I1042" s="9" t="n">
        <v>0</v>
      </c>
      <c r="J1042" s="9" t="n">
        <v>0</v>
      </c>
      <c r="K1042" s="9">
        <f>E1042+F1042+G1042+H1042+I1042-J1042</f>
        <v/>
      </c>
      <c r="L1042" s="10" t="n">
        <v>0</v>
      </c>
      <c r="M1042" s="10" t="n">
        <v>85</v>
      </c>
      <c r="N1042" s="10" t="n">
        <v>6</v>
      </c>
      <c r="O1042" s="10">
        <f>J1042/160</f>
        <v/>
      </c>
      <c r="P1042" s="10" t="n">
        <v>60</v>
      </c>
      <c r="Q1042" s="10">
        <f>L1042+M1042+N1042+O1042-P1042</f>
        <v/>
      </c>
      <c r="R1042" s="11" t="n">
        <v>7</v>
      </c>
      <c r="S1042" s="11">
        <f>N(V1042) + N(X1042) + N(Z1042)</f>
        <v/>
      </c>
      <c r="T1042" s="11">
        <f>R1042+P1042-S1042</f>
        <v/>
      </c>
      <c r="U1042" s="11" t="inlineStr">
        <is>
          <t>是</t>
        </is>
      </c>
      <c r="V1042" s="11" t="n">
        <v>49</v>
      </c>
      <c r="W1042" s="11" t="inlineStr">
        <is>
          <t>否</t>
        </is>
      </c>
      <c r="X1042" s="11" t="inlineStr">
        <is>
          <t>-</t>
        </is>
      </c>
      <c r="Y1042" s="11" t="inlineStr">
        <is>
          <t>-</t>
        </is>
      </c>
      <c r="Z1042" s="11" t="n">
        <v>0</v>
      </c>
      <c r="AA1042" s="11" t="inlineStr">
        <is>
          <t>垫到60抽</t>
        </is>
      </c>
      <c r="AB1042" s="12" t="n">
        <v>2142</v>
      </c>
      <c r="AC1042" s="12" t="n">
        <v>4</v>
      </c>
      <c r="AD1042" s="12" t="n">
        <v>0</v>
      </c>
      <c r="AE1042" s="12">
        <f>AB1042+AC1042+AD1042</f>
        <v/>
      </c>
      <c r="AF1042" s="13" t="n">
        <v>310000</v>
      </c>
      <c r="AG1042" s="13" t="n">
        <v>0</v>
      </c>
      <c r="AH1042" s="13" t="n">
        <v>0</v>
      </c>
      <c r="AI1042" s="13">
        <f>AF1042+AG1042+AH1042</f>
        <v/>
      </c>
      <c r="AJ1042" s="14" t="n">
        <v>30</v>
      </c>
      <c r="AK1042" s="14" t="n">
        <v>50</v>
      </c>
      <c r="AL1042" s="14" t="n">
        <v>0</v>
      </c>
      <c r="AM1042" s="14">
        <f>AJ1042+AK1042+AL1042</f>
        <v/>
      </c>
      <c r="AN1042" s="14">
        <f>AM1042</f>
        <v/>
      </c>
    </row>
    <row r="1043">
      <c r="A1043" s="8" t="n">
        <v>41</v>
      </c>
      <c r="B1043" s="8" t="n">
        <v>1</v>
      </c>
      <c r="C1043" s="8" t="n">
        <v>2</v>
      </c>
      <c r="D1043" s="8" t="inlineStr">
        <is>
          <t>月卡收益</t>
        </is>
      </c>
      <c r="E1043" s="9">
        <f>K1042</f>
        <v/>
      </c>
      <c r="F1043" s="9" t="n">
        <v>1540</v>
      </c>
      <c r="G1043" s="9" t="n">
        <v>0</v>
      </c>
      <c r="H1043" s="9" t="n">
        <v>0</v>
      </c>
      <c r="I1043" s="9" t="n">
        <v>0</v>
      </c>
      <c r="J1043" s="9" t="n">
        <v>960</v>
      </c>
      <c r="K1043" s="9">
        <f>E1043+F1043+G1043+H1043+I1043-J1043</f>
        <v/>
      </c>
      <c r="L1043" s="10">
        <f>Q1042</f>
        <v/>
      </c>
      <c r="M1043" s="10" t="n">
        <v>0</v>
      </c>
      <c r="N1043" s="10" t="n">
        <v>3</v>
      </c>
      <c r="O1043" s="10">
        <f>J1043/160</f>
        <v/>
      </c>
      <c r="P1043" s="10" t="n">
        <v>40</v>
      </c>
      <c r="Q1043" s="10">
        <f>L1043+M1043+N1043+O1043-P1043</f>
        <v/>
      </c>
      <c r="R1043" s="11">
        <f>T1042</f>
        <v/>
      </c>
      <c r="S1043" s="11">
        <f>N(V1043) + N(X1043) + N(Z1043)</f>
        <v/>
      </c>
      <c r="T1043" s="11">
        <f>R1043+P1043-S1043</f>
        <v/>
      </c>
      <c r="U1043" s="11" t="inlineStr">
        <is>
          <t>是</t>
        </is>
      </c>
      <c r="V1043" s="11" t="n">
        <v>52</v>
      </c>
      <c r="W1043" s="11" t="inlineStr">
        <is>
          <t>否</t>
        </is>
      </c>
      <c r="X1043" s="11" t="inlineStr">
        <is>
          <t>-</t>
        </is>
      </c>
      <c r="Y1043" s="11" t="inlineStr">
        <is>
          <t>-</t>
        </is>
      </c>
      <c r="Z1043" s="11" t="n">
        <v>0</v>
      </c>
      <c r="AA1043" s="11" t="inlineStr">
        <is>
          <t>无</t>
        </is>
      </c>
      <c r="AB1043" s="12">
        <f>AE1042</f>
        <v/>
      </c>
      <c r="AC1043" s="12" t="n">
        <v>0</v>
      </c>
      <c r="AD1043" s="12" t="n">
        <v>0</v>
      </c>
      <c r="AE1043" s="12">
        <f>AB1043+AC1043+AD1043</f>
        <v/>
      </c>
      <c r="AF1043" s="13">
        <f>AI1042</f>
        <v/>
      </c>
      <c r="AG1043" s="13" t="n">
        <v>0</v>
      </c>
      <c r="AH1043" s="13" t="n">
        <v>0</v>
      </c>
      <c r="AI1043" s="13">
        <f>AF1043+AG1043+AH1043</f>
        <v/>
      </c>
      <c r="AJ1043" s="14" t="n">
        <v>0</v>
      </c>
      <c r="AK1043" s="14" t="n">
        <v>0</v>
      </c>
      <c r="AL1043" s="14" t="n">
        <v>0</v>
      </c>
      <c r="AM1043" s="14">
        <f>AJ1043+AK1043+AL1043</f>
        <v/>
      </c>
      <c r="AN1043" s="14">
        <f>AN1042+AM1043</f>
        <v/>
      </c>
    </row>
    <row r="1044">
      <c r="A1044" s="8" t="n">
        <v>41</v>
      </c>
      <c r="B1044" s="8" t="n">
        <v>2</v>
      </c>
      <c r="C1044" s="8" t="n">
        <v>1</v>
      </c>
      <c r="D1044" s="8" t="inlineStr">
        <is>
          <t>版本免费+义相逢 + 月卡收益 [月卡续费-30元]</t>
        </is>
      </c>
      <c r="E1044" s="9">
        <f>K1043</f>
        <v/>
      </c>
      <c r="F1044" s="9" t="n">
        <v>1540</v>
      </c>
      <c r="G1044" s="9" t="n">
        <v>4800</v>
      </c>
      <c r="H1044" s="9" t="n">
        <v>0</v>
      </c>
      <c r="I1044" s="9" t="n">
        <v>0</v>
      </c>
      <c r="J1044" s="9" t="n">
        <v>640</v>
      </c>
      <c r="K1044" s="9">
        <f>E1044+F1044+G1044+H1044+I1044-J1044</f>
        <v/>
      </c>
      <c r="L1044" s="10">
        <f>Q1043</f>
        <v/>
      </c>
      <c r="M1044" s="10" t="n">
        <v>85</v>
      </c>
      <c r="N1044" s="10" t="n">
        <v>11</v>
      </c>
      <c r="O1044" s="10">
        <f>J1044/160</f>
        <v/>
      </c>
      <c r="P1044" s="10" t="n">
        <v>100</v>
      </c>
      <c r="Q1044" s="10">
        <f>L1044+M1044+N1044+O1044-P1044</f>
        <v/>
      </c>
      <c r="R1044" s="11">
        <f>T1043</f>
        <v/>
      </c>
      <c r="S1044" s="11">
        <f>N(V1044) + N(X1044) + N(Z1044)</f>
        <v/>
      </c>
      <c r="T1044" s="11">
        <f>R1044+P1044-S1044</f>
        <v/>
      </c>
      <c r="U1044" s="11" t="inlineStr">
        <is>
          <t>是</t>
        </is>
      </c>
      <c r="V1044" s="11" t="n">
        <v>49</v>
      </c>
      <c r="W1044" s="11" t="inlineStr">
        <is>
          <t>是</t>
        </is>
      </c>
      <c r="X1044" s="11" t="n">
        <v>49</v>
      </c>
      <c r="Y1044" s="11" t="inlineStr">
        <is>
          <t>-</t>
        </is>
      </c>
      <c r="Z1044" s="11" t="n">
        <v>0</v>
      </c>
      <c r="AA1044" s="11" t="inlineStr">
        <is>
          <t>无</t>
        </is>
      </c>
      <c r="AB1044" s="12">
        <f>AE1043</f>
        <v/>
      </c>
      <c r="AC1044" s="12" t="n">
        <v>4</v>
      </c>
      <c r="AD1044" s="12" t="n">
        <v>0</v>
      </c>
      <c r="AE1044" s="12">
        <f>AB1044+AC1044+AD1044</f>
        <v/>
      </c>
      <c r="AF1044" s="13">
        <f>AI1043</f>
        <v/>
      </c>
      <c r="AG1044" s="13" t="n">
        <v>0</v>
      </c>
      <c r="AH1044" s="13" t="n">
        <v>0</v>
      </c>
      <c r="AI1044" s="13">
        <f>AF1044+AG1044+AH1044</f>
        <v/>
      </c>
      <c r="AJ1044" s="14" t="n">
        <v>30</v>
      </c>
      <c r="AK1044" s="14" t="n">
        <v>50</v>
      </c>
      <c r="AL1044" s="14" t="n">
        <v>0</v>
      </c>
      <c r="AM1044" s="14">
        <f>AJ1044+AK1044+AL1044</f>
        <v/>
      </c>
      <c r="AN1044" s="14">
        <f>AN1043+AM1044</f>
        <v/>
      </c>
    </row>
    <row r="1045">
      <c r="A1045" s="8" t="n">
        <v>41</v>
      </c>
      <c r="B1045" s="8" t="n">
        <v>2</v>
      </c>
      <c r="C1045" s="8" t="n">
        <v>2</v>
      </c>
      <c r="D1045" s="8" t="inlineStr">
        <is>
          <t>月卡收益</t>
        </is>
      </c>
      <c r="E1045" s="9">
        <f>K1044</f>
        <v/>
      </c>
      <c r="F1045" s="9" t="n">
        <v>1540</v>
      </c>
      <c r="G1045" s="9" t="n">
        <v>0</v>
      </c>
      <c r="H1045" s="9" t="n">
        <v>0</v>
      </c>
      <c r="I1045" s="9" t="n">
        <v>0</v>
      </c>
      <c r="J1045" s="9" t="n">
        <v>5920</v>
      </c>
      <c r="K1045" s="9">
        <f>E1045+F1045+G1045+H1045+I1045-J1045</f>
        <v/>
      </c>
      <c r="L1045" s="10">
        <f>Q1044</f>
        <v/>
      </c>
      <c r="M1045" s="10" t="n">
        <v>0</v>
      </c>
      <c r="N1045" s="10" t="n">
        <v>3</v>
      </c>
      <c r="O1045" s="10">
        <f>J1045/160</f>
        <v/>
      </c>
      <c r="P1045" s="10" t="n">
        <v>40</v>
      </c>
      <c r="Q1045" s="10">
        <f>L1045+M1045+N1045+O1045-P1045</f>
        <v/>
      </c>
      <c r="R1045" s="11">
        <f>T1044</f>
        <v/>
      </c>
      <c r="S1045" s="11">
        <f>N(V1045) + N(X1045) + N(Z1045)</f>
        <v/>
      </c>
      <c r="T1045" s="11">
        <f>R1045+P1045-S1045</f>
        <v/>
      </c>
      <c r="U1045" s="11" t="inlineStr">
        <is>
          <t>是</t>
        </is>
      </c>
      <c r="V1045" s="11" t="n">
        <v>48</v>
      </c>
      <c r="W1045" s="11" t="inlineStr">
        <is>
          <t>否</t>
        </is>
      </c>
      <c r="X1045" s="11" t="inlineStr">
        <is>
          <t>-</t>
        </is>
      </c>
      <c r="Y1045" s="11" t="inlineStr">
        <is>
          <t>-</t>
        </is>
      </c>
      <c r="Z1045" s="11" t="n">
        <v>0</v>
      </c>
      <c r="AA1045" s="11" t="inlineStr">
        <is>
          <t>无</t>
        </is>
      </c>
      <c r="AB1045" s="12">
        <f>AE1044</f>
        <v/>
      </c>
      <c r="AC1045" s="12" t="n">
        <v>0</v>
      </c>
      <c r="AD1045" s="12" t="n">
        <v>0</v>
      </c>
      <c r="AE1045" s="12">
        <f>AB1045+AC1045+AD1045</f>
        <v/>
      </c>
      <c r="AF1045" s="13">
        <f>AI1044</f>
        <v/>
      </c>
      <c r="AG1045" s="13" t="n">
        <v>0</v>
      </c>
      <c r="AH1045" s="13" t="n">
        <v>0</v>
      </c>
      <c r="AI1045" s="13">
        <f>AF1045+AG1045+AH1045</f>
        <v/>
      </c>
      <c r="AJ1045" s="14" t="n">
        <v>0</v>
      </c>
      <c r="AK1045" s="14" t="n">
        <v>0</v>
      </c>
      <c r="AL1045" s="14" t="n">
        <v>0</v>
      </c>
      <c r="AM1045" s="14">
        <f>AJ1045+AK1045+AL1045</f>
        <v/>
      </c>
      <c r="AN1045" s="14">
        <f>AN1044+AM1045</f>
        <v/>
      </c>
    </row>
    <row r="1046">
      <c r="A1046" s="8" t="n">
        <v>41</v>
      </c>
      <c r="B1046" s="8" t="n">
        <v>3</v>
      </c>
      <c r="C1046" s="8" t="n">
        <v>1</v>
      </c>
      <c r="D1046" s="8" t="inlineStr">
        <is>
          <t>版本免费+义相逢 + 月卡收益 [月卡续费-30元]</t>
        </is>
      </c>
      <c r="E1046" s="9">
        <f>K1045</f>
        <v/>
      </c>
      <c r="F1046" s="9" t="n">
        <v>1540</v>
      </c>
      <c r="G1046" s="9" t="n">
        <v>4800</v>
      </c>
      <c r="H1046" s="9" t="n">
        <v>0</v>
      </c>
      <c r="I1046" s="9" t="n">
        <v>0</v>
      </c>
      <c r="J1046" s="9" t="n">
        <v>640</v>
      </c>
      <c r="K1046" s="9">
        <f>E1046+F1046+G1046+H1046+I1046-J1046</f>
        <v/>
      </c>
      <c r="L1046" s="10">
        <f>Q1045</f>
        <v/>
      </c>
      <c r="M1046" s="10" t="n">
        <v>85</v>
      </c>
      <c r="N1046" s="10" t="n">
        <v>11</v>
      </c>
      <c r="O1046" s="10">
        <f>J1046/160</f>
        <v/>
      </c>
      <c r="P1046" s="10" t="n">
        <v>100</v>
      </c>
      <c r="Q1046" s="10">
        <f>L1046+M1046+N1046+O1046-P1046</f>
        <v/>
      </c>
      <c r="R1046" s="11">
        <f>T1045</f>
        <v/>
      </c>
      <c r="S1046" s="11">
        <f>N(V1046) + N(X1046) + N(Z1046)</f>
        <v/>
      </c>
      <c r="T1046" s="11">
        <f>R1046+P1046-S1046</f>
        <v/>
      </c>
      <c r="U1046" s="11" t="inlineStr">
        <is>
          <t>是</t>
        </is>
      </c>
      <c r="V1046" s="11" t="n">
        <v>49</v>
      </c>
      <c r="W1046" s="11" t="inlineStr">
        <is>
          <t>是</t>
        </is>
      </c>
      <c r="X1046" s="11" t="n">
        <v>49</v>
      </c>
      <c r="Y1046" s="11" t="inlineStr">
        <is>
          <t>-</t>
        </is>
      </c>
      <c r="Z1046" s="11" t="n">
        <v>0</v>
      </c>
      <c r="AA1046" s="11" t="inlineStr">
        <is>
          <t>无</t>
        </is>
      </c>
      <c r="AB1046" s="12">
        <f>AE1045</f>
        <v/>
      </c>
      <c r="AC1046" s="12" t="n">
        <v>4</v>
      </c>
      <c r="AD1046" s="12" t="n">
        <v>0</v>
      </c>
      <c r="AE1046" s="12">
        <f>AB1046+AC1046+AD1046</f>
        <v/>
      </c>
      <c r="AF1046" s="13">
        <f>AI1045</f>
        <v/>
      </c>
      <c r="AG1046" s="13" t="n">
        <v>0</v>
      </c>
      <c r="AH1046" s="13" t="n">
        <v>0</v>
      </c>
      <c r="AI1046" s="13">
        <f>AF1046+AG1046+AH1046</f>
        <v/>
      </c>
      <c r="AJ1046" s="14" t="n">
        <v>30</v>
      </c>
      <c r="AK1046" s="14" t="n">
        <v>50</v>
      </c>
      <c r="AL1046" s="14" t="n">
        <v>0</v>
      </c>
      <c r="AM1046" s="14">
        <f>AJ1046+AK1046+AL1046</f>
        <v/>
      </c>
      <c r="AN1046" s="14">
        <f>AN1045+AM1046</f>
        <v/>
      </c>
    </row>
    <row r="1047">
      <c r="A1047" s="8" t="n">
        <v>41</v>
      </c>
      <c r="B1047" s="8" t="n">
        <v>3</v>
      </c>
      <c r="C1047" s="8" t="n">
        <v>2</v>
      </c>
      <c r="D1047" s="8" t="inlineStr">
        <is>
          <t>月卡收益</t>
        </is>
      </c>
      <c r="E1047" s="9">
        <f>K1046</f>
        <v/>
      </c>
      <c r="F1047" s="9" t="n">
        <v>1540</v>
      </c>
      <c r="G1047" s="9" t="n">
        <v>0</v>
      </c>
      <c r="H1047" s="9" t="n">
        <v>0</v>
      </c>
      <c r="I1047" s="9" t="n">
        <v>0</v>
      </c>
      <c r="J1047" s="9" t="n">
        <v>14240</v>
      </c>
      <c r="K1047" s="9">
        <f>E1047+F1047+G1047+H1047+I1047-J1047</f>
        <v/>
      </c>
      <c r="L1047" s="10">
        <f>Q1046</f>
        <v/>
      </c>
      <c r="M1047" s="10" t="n">
        <v>0</v>
      </c>
      <c r="N1047" s="10" t="n">
        <v>11</v>
      </c>
      <c r="O1047" s="10">
        <f>J1047/160</f>
        <v/>
      </c>
      <c r="P1047" s="10" t="n">
        <v>100</v>
      </c>
      <c r="Q1047" s="10">
        <f>L1047+M1047+N1047+O1047-P1047</f>
        <v/>
      </c>
      <c r="R1047" s="11">
        <f>T1046</f>
        <v/>
      </c>
      <c r="S1047" s="11">
        <f>N(V1047) + N(X1047) + N(Z1047)</f>
        <v/>
      </c>
      <c r="T1047" s="11">
        <f>R1047+P1047-S1047</f>
        <v/>
      </c>
      <c r="U1047" s="11" t="inlineStr">
        <is>
          <t>是</t>
        </is>
      </c>
      <c r="V1047" s="11" t="n">
        <v>50</v>
      </c>
      <c r="W1047" s="11" t="inlineStr">
        <is>
          <t>是</t>
        </is>
      </c>
      <c r="X1047" s="11" t="n">
        <v>49</v>
      </c>
      <c r="Y1047" s="11" t="inlineStr">
        <is>
          <t>-</t>
        </is>
      </c>
      <c r="Z1047" s="11" t="n">
        <v>0</v>
      </c>
      <c r="AA1047" s="11" t="inlineStr">
        <is>
          <t>无</t>
        </is>
      </c>
      <c r="AB1047" s="12">
        <f>AE1046</f>
        <v/>
      </c>
      <c r="AC1047" s="12" t="n">
        <v>0</v>
      </c>
      <c r="AD1047" s="12" t="n">
        <v>0</v>
      </c>
      <c r="AE1047" s="12">
        <f>AB1047+AC1047+AD1047</f>
        <v/>
      </c>
      <c r="AF1047" s="13">
        <f>AI1046</f>
        <v/>
      </c>
      <c r="AG1047" s="13" t="n">
        <v>0</v>
      </c>
      <c r="AH1047" s="13" t="n">
        <v>0</v>
      </c>
      <c r="AI1047" s="13">
        <f>AF1047+AG1047+AH1047</f>
        <v/>
      </c>
      <c r="AJ1047" s="14" t="n">
        <v>0</v>
      </c>
      <c r="AK1047" s="14" t="n">
        <v>0</v>
      </c>
      <c r="AL1047" s="14" t="n">
        <v>0</v>
      </c>
      <c r="AM1047" s="14">
        <f>AJ1047+AK1047+AL1047</f>
        <v/>
      </c>
      <c r="AN1047" s="14">
        <f>AN1046+AM1047</f>
        <v/>
      </c>
    </row>
    <row r="1048">
      <c r="A1048" s="8" t="n">
        <v>41</v>
      </c>
      <c r="B1048" s="8" t="n">
        <v>4</v>
      </c>
      <c r="C1048" s="8" t="n">
        <v>1</v>
      </c>
      <c r="D1048" s="8" t="inlineStr">
        <is>
          <t>版本免费+义相逢 + 月卡收益 [月卡续费-30元]</t>
        </is>
      </c>
      <c r="E1048" s="9">
        <f>K1047</f>
        <v/>
      </c>
      <c r="F1048" s="9" t="n">
        <v>1540</v>
      </c>
      <c r="G1048" s="9" t="n">
        <v>4800</v>
      </c>
      <c r="H1048" s="9" t="n">
        <v>0</v>
      </c>
      <c r="I1048" s="9" t="n">
        <v>0</v>
      </c>
      <c r="J1048" s="9" t="n">
        <v>640</v>
      </c>
      <c r="K1048" s="9">
        <f>E1048+F1048+G1048+H1048+I1048-J1048</f>
        <v/>
      </c>
      <c r="L1048" s="10">
        <f>Q1047</f>
        <v/>
      </c>
      <c r="M1048" s="10" t="n">
        <v>85</v>
      </c>
      <c r="N1048" s="10" t="n">
        <v>11</v>
      </c>
      <c r="O1048" s="10">
        <f>J1048/160</f>
        <v/>
      </c>
      <c r="P1048" s="10" t="n">
        <v>100</v>
      </c>
      <c r="Q1048" s="10">
        <f>L1048+M1048+N1048+O1048-P1048</f>
        <v/>
      </c>
      <c r="R1048" s="11">
        <f>T1047</f>
        <v/>
      </c>
      <c r="S1048" s="11">
        <f>N(V1048) + N(X1048) + N(Z1048)</f>
        <v/>
      </c>
      <c r="T1048" s="11">
        <f>R1048+P1048-S1048</f>
        <v/>
      </c>
      <c r="U1048" s="11" t="inlineStr">
        <is>
          <t>是</t>
        </is>
      </c>
      <c r="V1048" s="11" t="n">
        <v>54</v>
      </c>
      <c r="W1048" s="11" t="inlineStr">
        <is>
          <t>是</t>
        </is>
      </c>
      <c r="X1048" s="11" t="n">
        <v>49</v>
      </c>
      <c r="Y1048" s="11" t="inlineStr">
        <is>
          <t>-</t>
        </is>
      </c>
      <c r="Z1048" s="11" t="n">
        <v>0</v>
      </c>
      <c r="AA1048" s="11" t="inlineStr">
        <is>
          <t>无</t>
        </is>
      </c>
      <c r="AB1048" s="12">
        <f>AE1047</f>
        <v/>
      </c>
      <c r="AC1048" s="12" t="n">
        <v>4</v>
      </c>
      <c r="AD1048" s="12" t="n">
        <v>0</v>
      </c>
      <c r="AE1048" s="12">
        <f>AB1048+AC1048+AD1048</f>
        <v/>
      </c>
      <c r="AF1048" s="13">
        <f>AI1047</f>
        <v/>
      </c>
      <c r="AG1048" s="13" t="n">
        <v>0</v>
      </c>
      <c r="AH1048" s="13" t="n">
        <v>0</v>
      </c>
      <c r="AI1048" s="13">
        <f>AF1048+AG1048+AH1048</f>
        <v/>
      </c>
      <c r="AJ1048" s="14" t="n">
        <v>30</v>
      </c>
      <c r="AK1048" s="14" t="n">
        <v>50</v>
      </c>
      <c r="AL1048" s="14" t="n">
        <v>0</v>
      </c>
      <c r="AM1048" s="14">
        <f>AJ1048+AK1048+AL1048</f>
        <v/>
      </c>
      <c r="AN1048" s="14">
        <f>AN1047+AM1048</f>
        <v/>
      </c>
    </row>
    <row r="1049">
      <c r="A1049" s="8" t="n">
        <v>41</v>
      </c>
      <c r="B1049" s="8" t="n">
        <v>4</v>
      </c>
      <c r="C1049" s="8" t="n">
        <v>2</v>
      </c>
      <c r="D1049" s="8" t="inlineStr">
        <is>
          <t>月卡收益</t>
        </is>
      </c>
      <c r="E1049" s="9">
        <f>K1048</f>
        <v/>
      </c>
      <c r="F1049" s="9" t="n">
        <v>1540</v>
      </c>
      <c r="G1049" s="9" t="n">
        <v>0</v>
      </c>
      <c r="H1049" s="9" t="n">
        <v>0</v>
      </c>
      <c r="I1049" s="9" t="n">
        <v>0</v>
      </c>
      <c r="J1049" s="9" t="n">
        <v>15840</v>
      </c>
      <c r="K1049" s="9">
        <f>E1049+F1049+G1049+H1049+I1049-J1049</f>
        <v/>
      </c>
      <c r="L1049" s="10">
        <f>Q1048</f>
        <v/>
      </c>
      <c r="M1049" s="10" t="n">
        <v>0</v>
      </c>
      <c r="N1049" s="10" t="n">
        <v>11</v>
      </c>
      <c r="O1049" s="10">
        <f>J1049/160</f>
        <v/>
      </c>
      <c r="P1049" s="10" t="n">
        <v>110</v>
      </c>
      <c r="Q1049" s="10">
        <f>L1049+M1049+N1049+O1049-P1049</f>
        <v/>
      </c>
      <c r="R1049" s="11">
        <f>T1048</f>
        <v/>
      </c>
      <c r="S1049" s="11">
        <f>N(V1049) + N(X1049) + N(Z1049)</f>
        <v/>
      </c>
      <c r="T1049" s="11">
        <f>R1049+P1049-S1049</f>
        <v/>
      </c>
      <c r="U1049" s="11" t="inlineStr">
        <is>
          <t>是</t>
        </is>
      </c>
      <c r="V1049" s="11" t="n">
        <v>50</v>
      </c>
      <c r="W1049" s="11" t="inlineStr">
        <is>
          <t>是</t>
        </is>
      </c>
      <c r="X1049" s="11" t="n">
        <v>54</v>
      </c>
      <c r="Y1049" s="11" t="inlineStr">
        <is>
          <t>-</t>
        </is>
      </c>
      <c r="Z1049" s="11" t="n">
        <v>0</v>
      </c>
      <c r="AA1049" s="11" t="inlineStr">
        <is>
          <t>无</t>
        </is>
      </c>
      <c r="AB1049" s="12">
        <f>AE1048</f>
        <v/>
      </c>
      <c r="AC1049" s="12" t="n">
        <v>0</v>
      </c>
      <c r="AD1049" s="12" t="n">
        <v>0</v>
      </c>
      <c r="AE1049" s="12">
        <f>AB1049+AC1049+AD1049</f>
        <v/>
      </c>
      <c r="AF1049" s="13">
        <f>AI1048</f>
        <v/>
      </c>
      <c r="AG1049" s="13" t="n">
        <v>0</v>
      </c>
      <c r="AH1049" s="13" t="n">
        <v>0</v>
      </c>
      <c r="AI1049" s="13">
        <f>AF1049+AG1049+AH1049</f>
        <v/>
      </c>
      <c r="AJ1049" s="14" t="n">
        <v>0</v>
      </c>
      <c r="AK1049" s="14" t="n">
        <v>0</v>
      </c>
      <c r="AL1049" s="14" t="n">
        <v>0</v>
      </c>
      <c r="AM1049" s="14">
        <f>AJ1049+AK1049+AL1049</f>
        <v/>
      </c>
      <c r="AN1049" s="14">
        <f>AN1048+AM1049</f>
        <v/>
      </c>
    </row>
    <row r="1050">
      <c r="A1050" s="8" t="n">
        <v>41</v>
      </c>
      <c r="B1050" s="8" t="n">
        <v>5</v>
      </c>
      <c r="C1050" s="8" t="n">
        <v>1</v>
      </c>
      <c r="D1050" s="8" t="inlineStr">
        <is>
          <t>版本免费+义相逢 + 月卡收益 [月卡续费-30元]</t>
        </is>
      </c>
      <c r="E1050" s="9">
        <f>K1049</f>
        <v/>
      </c>
      <c r="F1050" s="9" t="n">
        <v>1540</v>
      </c>
      <c r="G1050" s="9" t="n">
        <v>4800</v>
      </c>
      <c r="H1050" s="9" t="n">
        <v>0</v>
      </c>
      <c r="I1050" s="9" t="n">
        <v>0</v>
      </c>
      <c r="J1050" s="9" t="n">
        <v>0</v>
      </c>
      <c r="K1050" s="9">
        <f>E1050+F1050+G1050+H1050+I1050-J1050</f>
        <v/>
      </c>
      <c r="L1050" s="10">
        <f>Q1049</f>
        <v/>
      </c>
      <c r="M1050" s="10" t="n">
        <v>85</v>
      </c>
      <c r="N1050" s="10" t="n">
        <v>6</v>
      </c>
      <c r="O1050" s="10">
        <f>J1050/160</f>
        <v/>
      </c>
      <c r="P1050" s="10" t="n">
        <v>60</v>
      </c>
      <c r="Q1050" s="10">
        <f>L1050+M1050+N1050+O1050-P1050</f>
        <v/>
      </c>
      <c r="R1050" s="11">
        <f>T1049</f>
        <v/>
      </c>
      <c r="S1050" s="11">
        <f>N(V1050) + N(X1050) + N(Z1050)</f>
        <v/>
      </c>
      <c r="T1050" s="11">
        <f>R1050+P1050-S1050</f>
        <v/>
      </c>
      <c r="U1050" s="11" t="inlineStr">
        <is>
          <t>是</t>
        </is>
      </c>
      <c r="V1050" s="11" t="n">
        <v>49</v>
      </c>
      <c r="W1050" s="11" t="inlineStr">
        <is>
          <t>否</t>
        </is>
      </c>
      <c r="X1050" s="11" t="inlineStr">
        <is>
          <t>-</t>
        </is>
      </c>
      <c r="Y1050" s="11" t="inlineStr">
        <is>
          <t>-</t>
        </is>
      </c>
      <c r="Z1050" s="11" t="n">
        <v>0</v>
      </c>
      <c r="AA1050" s="11" t="inlineStr">
        <is>
          <t>垫到60抽</t>
        </is>
      </c>
      <c r="AB1050" s="12">
        <f>AE1049</f>
        <v/>
      </c>
      <c r="AC1050" s="12" t="n">
        <v>4</v>
      </c>
      <c r="AD1050" s="12" t="n">
        <v>0</v>
      </c>
      <c r="AE1050" s="12">
        <f>AB1050+AC1050+AD1050</f>
        <v/>
      </c>
      <c r="AF1050" s="13">
        <f>AI1049</f>
        <v/>
      </c>
      <c r="AG1050" s="13" t="n">
        <v>0</v>
      </c>
      <c r="AH1050" s="13" t="n">
        <v>0</v>
      </c>
      <c r="AI1050" s="13">
        <f>AF1050+AG1050+AH1050</f>
        <v/>
      </c>
      <c r="AJ1050" s="14" t="n">
        <v>30</v>
      </c>
      <c r="AK1050" s="14" t="n">
        <v>50</v>
      </c>
      <c r="AL1050" s="14" t="n">
        <v>0</v>
      </c>
      <c r="AM1050" s="14">
        <f>AJ1050+AK1050+AL1050</f>
        <v/>
      </c>
      <c r="AN1050" s="14">
        <f>AN1049+AM1050</f>
        <v/>
      </c>
    </row>
    <row r="1051">
      <c r="A1051" s="8" t="n">
        <v>41</v>
      </c>
      <c r="B1051" s="8" t="n">
        <v>5</v>
      </c>
      <c r="C1051" s="8" t="n">
        <v>2</v>
      </c>
      <c r="D1051" s="8" t="inlineStr">
        <is>
          <t>月卡收益</t>
        </is>
      </c>
      <c r="E1051" s="9">
        <f>K1050</f>
        <v/>
      </c>
      <c r="F1051" s="9" t="n">
        <v>1540</v>
      </c>
      <c r="G1051" s="9" t="n">
        <v>0</v>
      </c>
      <c r="H1051" s="9" t="n">
        <v>0</v>
      </c>
      <c r="I1051" s="9" t="n">
        <v>0</v>
      </c>
      <c r="J1051" s="9" t="n">
        <v>960</v>
      </c>
      <c r="K1051" s="9">
        <f>E1051+F1051+G1051+H1051+I1051-J1051</f>
        <v/>
      </c>
      <c r="L1051" s="10">
        <f>Q1050</f>
        <v/>
      </c>
      <c r="M1051" s="10" t="n">
        <v>0</v>
      </c>
      <c r="N1051" s="10" t="n">
        <v>3</v>
      </c>
      <c r="O1051" s="10">
        <f>J1051/160</f>
        <v/>
      </c>
      <c r="P1051" s="10" t="n">
        <v>40</v>
      </c>
      <c r="Q1051" s="10">
        <f>L1051+M1051+N1051+O1051-P1051</f>
        <v/>
      </c>
      <c r="R1051" s="11">
        <f>T1050</f>
        <v/>
      </c>
      <c r="S1051" s="11">
        <f>N(V1051) + N(X1051) + N(Z1051)</f>
        <v/>
      </c>
      <c r="T1051" s="11">
        <f>R1051+P1051-S1051</f>
        <v/>
      </c>
      <c r="U1051" s="11" t="inlineStr">
        <is>
          <t>是</t>
        </is>
      </c>
      <c r="V1051" s="11" t="n">
        <v>49</v>
      </c>
      <c r="W1051" s="11" t="inlineStr">
        <is>
          <t>否</t>
        </is>
      </c>
      <c r="X1051" s="11" t="inlineStr">
        <is>
          <t>-</t>
        </is>
      </c>
      <c r="Y1051" s="11" t="inlineStr">
        <is>
          <t>-</t>
        </is>
      </c>
      <c r="Z1051" s="11" t="n">
        <v>0</v>
      </c>
      <c r="AA1051" s="11" t="inlineStr">
        <is>
          <t>无</t>
        </is>
      </c>
      <c r="AB1051" s="12">
        <f>AE1050</f>
        <v/>
      </c>
      <c r="AC1051" s="12" t="n">
        <v>0</v>
      </c>
      <c r="AD1051" s="12" t="n">
        <v>0</v>
      </c>
      <c r="AE1051" s="12">
        <f>AB1051+AC1051+AD1051</f>
        <v/>
      </c>
      <c r="AF1051" s="13">
        <f>AI1050</f>
        <v/>
      </c>
      <c r="AG1051" s="13" t="n">
        <v>0</v>
      </c>
      <c r="AH1051" s="13" t="n">
        <v>0</v>
      </c>
      <c r="AI1051" s="13">
        <f>AF1051+AG1051+AH1051</f>
        <v/>
      </c>
      <c r="AJ1051" s="14" t="n">
        <v>0</v>
      </c>
      <c r="AK1051" s="14" t="n">
        <v>0</v>
      </c>
      <c r="AL1051" s="14" t="n">
        <v>0</v>
      </c>
      <c r="AM1051" s="14">
        <f>AJ1051+AK1051+AL1051</f>
        <v/>
      </c>
      <c r="AN1051" s="14">
        <f>AN1050+AM1051</f>
        <v/>
      </c>
    </row>
    <row r="1052">
      <c r="A1052" s="8" t="n">
        <v>41</v>
      </c>
      <c r="B1052" s="8" t="n">
        <v>6</v>
      </c>
      <c r="C1052" s="8" t="n">
        <v>1</v>
      </c>
      <c r="D1052" s="8" t="inlineStr">
        <is>
          <t>版本免费+义相逢 + 月卡收益</t>
        </is>
      </c>
      <c r="E1052" s="9">
        <f>K1051</f>
        <v/>
      </c>
      <c r="F1052" s="9" t="n">
        <v>1540</v>
      </c>
      <c r="G1052" s="9" t="n">
        <v>4800</v>
      </c>
      <c r="H1052" s="9" t="n">
        <v>0</v>
      </c>
      <c r="I1052" s="9" t="n">
        <v>0</v>
      </c>
      <c r="J1052" s="9" t="n">
        <v>0</v>
      </c>
      <c r="K1052" s="9">
        <f>E1052+F1052+G1052+H1052+I1052-J1052</f>
        <v/>
      </c>
      <c r="L1052" s="10">
        <f>Q1051</f>
        <v/>
      </c>
      <c r="M1052" s="10" t="n">
        <v>85</v>
      </c>
      <c r="N1052" s="10" t="n">
        <v>6</v>
      </c>
      <c r="O1052" s="10">
        <f>J1052/160</f>
        <v/>
      </c>
      <c r="P1052" s="10" t="n">
        <v>60</v>
      </c>
      <c r="Q1052" s="10">
        <f>L1052+M1052+N1052+O1052-P1052</f>
        <v/>
      </c>
      <c r="R1052" s="11">
        <f>T1051</f>
        <v/>
      </c>
      <c r="S1052" s="11">
        <f>N(V1052) + N(X1052) + N(Z1052)</f>
        <v/>
      </c>
      <c r="T1052" s="11">
        <f>R1052+P1052-S1052</f>
        <v/>
      </c>
      <c r="U1052" s="11" t="inlineStr">
        <is>
          <t>是</t>
        </is>
      </c>
      <c r="V1052" s="11" t="n">
        <v>3</v>
      </c>
      <c r="W1052" s="11" t="inlineStr">
        <is>
          <t>是</t>
        </is>
      </c>
      <c r="X1052" s="11" t="n">
        <v>48</v>
      </c>
      <c r="Y1052" s="11" t="inlineStr">
        <is>
          <t>-</t>
        </is>
      </c>
      <c r="Z1052" s="11" t="n">
        <v>0</v>
      </c>
      <c r="AA1052" s="11" t="inlineStr">
        <is>
          <t>垫到60抽</t>
        </is>
      </c>
      <c r="AB1052" s="12">
        <f>AE1051</f>
        <v/>
      </c>
      <c r="AC1052" s="12" t="n">
        <v>4</v>
      </c>
      <c r="AD1052" s="12" t="n">
        <v>0</v>
      </c>
      <c r="AE1052" s="12">
        <f>AB1052+AC1052+AD1052</f>
        <v/>
      </c>
      <c r="AF1052" s="13">
        <f>AI1051</f>
        <v/>
      </c>
      <c r="AG1052" s="13" t="n">
        <v>0</v>
      </c>
      <c r="AH1052" s="13" t="n">
        <v>0</v>
      </c>
      <c r="AI1052" s="13">
        <f>AF1052+AG1052+AH1052</f>
        <v/>
      </c>
      <c r="AJ1052" s="14" t="n">
        <v>0</v>
      </c>
      <c r="AK1052" s="14" t="n">
        <v>50</v>
      </c>
      <c r="AL1052" s="14" t="n">
        <v>0</v>
      </c>
      <c r="AM1052" s="14">
        <f>AJ1052+AK1052+AL1052</f>
        <v/>
      </c>
      <c r="AN1052" s="14">
        <f>AN1051+AM1052</f>
        <v/>
      </c>
    </row>
    <row r="1053">
      <c r="A1053" s="8" t="n">
        <v>41</v>
      </c>
      <c r="B1053" s="8" t="n">
        <v>6</v>
      </c>
      <c r="C1053" s="8" t="n">
        <v>2</v>
      </c>
      <c r="D1053" s="8" t="inlineStr">
        <is>
          <t>月卡收益 [月卡续费-30元]</t>
        </is>
      </c>
      <c r="E1053" s="9">
        <f>K1052</f>
        <v/>
      </c>
      <c r="F1053" s="9" t="n">
        <v>1540</v>
      </c>
      <c r="G1053" s="9" t="n">
        <v>0</v>
      </c>
      <c r="H1053" s="9" t="n">
        <v>0</v>
      </c>
      <c r="I1053" s="9" t="n">
        <v>0</v>
      </c>
      <c r="J1053" s="9" t="n">
        <v>960</v>
      </c>
      <c r="K1053" s="9">
        <f>E1053+F1053+G1053+H1053+I1053-J1053</f>
        <v/>
      </c>
      <c r="L1053" s="10">
        <f>Q1052</f>
        <v/>
      </c>
      <c r="M1053" s="10" t="n">
        <v>0</v>
      </c>
      <c r="N1053" s="10" t="n">
        <v>3</v>
      </c>
      <c r="O1053" s="10">
        <f>J1053/160</f>
        <v/>
      </c>
      <c r="P1053" s="10" t="n">
        <v>40</v>
      </c>
      <c r="Q1053" s="10">
        <f>L1053+M1053+N1053+O1053-P1053</f>
        <v/>
      </c>
      <c r="R1053" s="11">
        <f>T1052</f>
        <v/>
      </c>
      <c r="S1053" s="11">
        <f>N(V1053) + N(X1053) + N(Z1053)</f>
        <v/>
      </c>
      <c r="T1053" s="11">
        <f>R1053+P1053-S1053</f>
        <v/>
      </c>
      <c r="U1053" s="11" t="inlineStr">
        <is>
          <t>是</t>
        </is>
      </c>
      <c r="V1053" s="11" t="n">
        <v>49</v>
      </c>
      <c r="W1053" s="11" t="inlineStr">
        <is>
          <t>否</t>
        </is>
      </c>
      <c r="X1053" s="11" t="inlineStr">
        <is>
          <t>-</t>
        </is>
      </c>
      <c r="Y1053" s="11" t="inlineStr">
        <is>
          <t>-</t>
        </is>
      </c>
      <c r="Z1053" s="11" t="n">
        <v>0</v>
      </c>
      <c r="AA1053" s="11" t="inlineStr">
        <is>
          <t>无</t>
        </is>
      </c>
      <c r="AB1053" s="12">
        <f>AE1052</f>
        <v/>
      </c>
      <c r="AC1053" s="12" t="n">
        <v>0</v>
      </c>
      <c r="AD1053" s="12" t="n">
        <v>0</v>
      </c>
      <c r="AE1053" s="12">
        <f>AB1053+AC1053+AD1053</f>
        <v/>
      </c>
      <c r="AF1053" s="13">
        <f>AI1052</f>
        <v/>
      </c>
      <c r="AG1053" s="13" t="n">
        <v>0</v>
      </c>
      <c r="AH1053" s="13" t="n">
        <v>0</v>
      </c>
      <c r="AI1053" s="13">
        <f>AF1053+AG1053+AH1053</f>
        <v/>
      </c>
      <c r="AJ1053" s="14" t="n">
        <v>30</v>
      </c>
      <c r="AK1053" s="14" t="n">
        <v>0</v>
      </c>
      <c r="AL1053" s="14" t="n">
        <v>0</v>
      </c>
      <c r="AM1053" s="14">
        <f>AJ1053+AK1053+AL1053</f>
        <v/>
      </c>
      <c r="AN1053" s="14">
        <f>AN1052+AM1053</f>
        <v/>
      </c>
    </row>
    <row r="1054">
      <c r="A1054" s="8" t="n">
        <v>41</v>
      </c>
      <c r="B1054" s="8" t="n">
        <v>7</v>
      </c>
      <c r="C1054" s="8" t="n">
        <v>1</v>
      </c>
      <c r="D1054" s="8" t="inlineStr">
        <is>
          <t>版本免费+义相逢 + 月卡收益</t>
        </is>
      </c>
      <c r="E1054" s="9">
        <f>K1053</f>
        <v/>
      </c>
      <c r="F1054" s="9" t="n">
        <v>1540</v>
      </c>
      <c r="G1054" s="9" t="n">
        <v>4800</v>
      </c>
      <c r="H1054" s="9" t="n">
        <v>0</v>
      </c>
      <c r="I1054" s="9" t="n">
        <v>0</v>
      </c>
      <c r="J1054" s="9" t="n">
        <v>640</v>
      </c>
      <c r="K1054" s="9">
        <f>E1054+F1054+G1054+H1054+I1054-J1054</f>
        <v/>
      </c>
      <c r="L1054" s="10">
        <f>Q1053</f>
        <v/>
      </c>
      <c r="M1054" s="10" t="n">
        <v>85</v>
      </c>
      <c r="N1054" s="10" t="n">
        <v>11</v>
      </c>
      <c r="O1054" s="10">
        <f>J1054/160</f>
        <v/>
      </c>
      <c r="P1054" s="10" t="n">
        <v>100</v>
      </c>
      <c r="Q1054" s="10">
        <f>L1054+M1054+N1054+O1054-P1054</f>
        <v/>
      </c>
      <c r="R1054" s="11">
        <f>T1053</f>
        <v/>
      </c>
      <c r="S1054" s="11">
        <f>N(V1054) + N(X1054) + N(Z1054)</f>
        <v/>
      </c>
      <c r="T1054" s="11">
        <f>R1054+P1054-S1054</f>
        <v/>
      </c>
      <c r="U1054" s="11" t="inlineStr">
        <is>
          <t>是</t>
        </is>
      </c>
      <c r="V1054" s="11" t="n">
        <v>50</v>
      </c>
      <c r="W1054" s="11" t="inlineStr">
        <is>
          <t>是</t>
        </is>
      </c>
      <c r="X1054" s="11" t="n">
        <v>51</v>
      </c>
      <c r="Y1054" s="11" t="inlineStr">
        <is>
          <t>-</t>
        </is>
      </c>
      <c r="Z1054" s="11" t="n">
        <v>0</v>
      </c>
      <c r="AA1054" s="11" t="inlineStr">
        <is>
          <t>无</t>
        </is>
      </c>
      <c r="AB1054" s="12">
        <f>AE1053</f>
        <v/>
      </c>
      <c r="AC1054" s="12" t="n">
        <v>4</v>
      </c>
      <c r="AD1054" s="12" t="n">
        <v>0</v>
      </c>
      <c r="AE1054" s="12">
        <f>AB1054+AC1054+AD1054</f>
        <v/>
      </c>
      <c r="AF1054" s="13">
        <f>AI1053</f>
        <v/>
      </c>
      <c r="AG1054" s="13" t="n">
        <v>0</v>
      </c>
      <c r="AH1054" s="13" t="n">
        <v>0</v>
      </c>
      <c r="AI1054" s="13">
        <f>AF1054+AG1054+AH1054</f>
        <v/>
      </c>
      <c r="AJ1054" s="14" t="n">
        <v>0</v>
      </c>
      <c r="AK1054" s="14" t="n">
        <v>50</v>
      </c>
      <c r="AL1054" s="14" t="n">
        <v>0</v>
      </c>
      <c r="AM1054" s="14">
        <f>AJ1054+AK1054+AL1054</f>
        <v/>
      </c>
      <c r="AN1054" s="14">
        <f>AN1053+AM1054</f>
        <v/>
      </c>
    </row>
    <row r="1055">
      <c r="A1055" s="8" t="n">
        <v>41</v>
      </c>
      <c r="B1055" s="8" t="n">
        <v>7</v>
      </c>
      <c r="C1055" s="8" t="n">
        <v>2</v>
      </c>
      <c r="D1055" s="8" t="inlineStr">
        <is>
          <t>月卡收益 [月卡续费-30元]</t>
        </is>
      </c>
      <c r="E1055" s="9">
        <f>K1054</f>
        <v/>
      </c>
      <c r="F1055" s="9" t="n">
        <v>1540</v>
      </c>
      <c r="G1055" s="9" t="n">
        <v>0</v>
      </c>
      <c r="H1055" s="9" t="n">
        <v>0</v>
      </c>
      <c r="I1055" s="9" t="n">
        <v>0</v>
      </c>
      <c r="J1055" s="9" t="n">
        <v>9120</v>
      </c>
      <c r="K1055" s="9">
        <f>E1055+F1055+G1055+H1055+I1055-J1055</f>
        <v/>
      </c>
      <c r="L1055" s="10">
        <f>Q1054</f>
        <v/>
      </c>
      <c r="M1055" s="10" t="n">
        <v>0</v>
      </c>
      <c r="N1055" s="10" t="n">
        <v>6</v>
      </c>
      <c r="O1055" s="10">
        <f>J1055/160</f>
        <v/>
      </c>
      <c r="P1055" s="10" t="n">
        <v>60</v>
      </c>
      <c r="Q1055" s="10">
        <f>L1055+M1055+N1055+O1055-P1055</f>
        <v/>
      </c>
      <c r="R1055" s="11">
        <f>T1054</f>
        <v/>
      </c>
      <c r="S1055" s="11">
        <f>N(V1055) + N(X1055) + N(Z1055)</f>
        <v/>
      </c>
      <c r="T1055" s="11">
        <f>R1055+P1055-S1055</f>
        <v/>
      </c>
      <c r="U1055" s="11" t="inlineStr">
        <is>
          <t>是</t>
        </is>
      </c>
      <c r="V1055" s="11" t="n">
        <v>50</v>
      </c>
      <c r="W1055" s="11" t="inlineStr">
        <is>
          <t>否</t>
        </is>
      </c>
      <c r="X1055" s="11" t="inlineStr">
        <is>
          <t>-</t>
        </is>
      </c>
      <c r="Y1055" s="11" t="inlineStr">
        <is>
          <t>-</t>
        </is>
      </c>
      <c r="Z1055" s="11" t="n">
        <v>0</v>
      </c>
      <c r="AA1055" s="11" t="inlineStr">
        <is>
          <t>垫到60抽</t>
        </is>
      </c>
      <c r="AB1055" s="12">
        <f>AE1054</f>
        <v/>
      </c>
      <c r="AC1055" s="12" t="n">
        <v>0</v>
      </c>
      <c r="AD1055" s="12" t="n">
        <v>0</v>
      </c>
      <c r="AE1055" s="12">
        <f>AB1055+AC1055+AD1055</f>
        <v/>
      </c>
      <c r="AF1055" s="13">
        <f>AI1054</f>
        <v/>
      </c>
      <c r="AG1055" s="13" t="n">
        <v>0</v>
      </c>
      <c r="AH1055" s="13" t="n">
        <v>0</v>
      </c>
      <c r="AI1055" s="13">
        <f>AF1055+AG1055+AH1055</f>
        <v/>
      </c>
      <c r="AJ1055" s="14" t="n">
        <v>30</v>
      </c>
      <c r="AK1055" s="14" t="n">
        <v>0</v>
      </c>
      <c r="AL1055" s="14" t="n">
        <v>0</v>
      </c>
      <c r="AM1055" s="14">
        <f>AJ1055+AK1055+AL1055</f>
        <v/>
      </c>
      <c r="AN1055" s="14">
        <f>AN1054+AM1055</f>
        <v/>
      </c>
    </row>
    <row r="1056">
      <c r="A1056" s="8" t="n">
        <v>41</v>
      </c>
      <c r="B1056" s="8" t="n">
        <v>8</v>
      </c>
      <c r="C1056" s="8" t="n">
        <v>1</v>
      </c>
      <c r="D1056" s="8" t="inlineStr">
        <is>
          <t>版本免费+义相逢 + 月卡收益</t>
        </is>
      </c>
      <c r="E1056" s="9">
        <f>K1055</f>
        <v/>
      </c>
      <c r="F1056" s="9" t="n">
        <v>1540</v>
      </c>
      <c r="G1056" s="9" t="n">
        <v>4800</v>
      </c>
      <c r="H1056" s="9" t="n">
        <v>0</v>
      </c>
      <c r="I1056" s="9" t="n">
        <v>0</v>
      </c>
      <c r="J1056" s="9" t="n">
        <v>0</v>
      </c>
      <c r="K1056" s="9">
        <f>E1056+F1056+G1056+H1056+I1056-J1056</f>
        <v/>
      </c>
      <c r="L1056" s="10">
        <f>Q1055</f>
        <v/>
      </c>
      <c r="M1056" s="10" t="n">
        <v>85</v>
      </c>
      <c r="N1056" s="10" t="n">
        <v>11</v>
      </c>
      <c r="O1056" s="10">
        <f>J1056/160</f>
        <v/>
      </c>
      <c r="P1056" s="10" t="n">
        <v>90</v>
      </c>
      <c r="Q1056" s="10">
        <f>L1056+M1056+N1056+O1056-P1056</f>
        <v/>
      </c>
      <c r="R1056" s="11">
        <f>T1055</f>
        <v/>
      </c>
      <c r="S1056" s="11">
        <f>N(V1056) + N(X1056) + N(Z1056)</f>
        <v/>
      </c>
      <c r="T1056" s="11">
        <f>R1056+P1056-S1056</f>
        <v/>
      </c>
      <c r="U1056" s="11" t="inlineStr">
        <is>
          <t>是</t>
        </is>
      </c>
      <c r="V1056" s="11" t="n">
        <v>48</v>
      </c>
      <c r="W1056" s="11" t="inlineStr">
        <is>
          <t>是</t>
        </is>
      </c>
      <c r="X1056" s="11" t="n">
        <v>49</v>
      </c>
      <c r="Y1056" s="11" t="inlineStr">
        <is>
          <t>-</t>
        </is>
      </c>
      <c r="Z1056" s="11" t="n">
        <v>0</v>
      </c>
      <c r="AA1056" s="11" t="inlineStr">
        <is>
          <t>垫到90抽</t>
        </is>
      </c>
      <c r="AB1056" s="12">
        <f>AE1055</f>
        <v/>
      </c>
      <c r="AC1056" s="12" t="n">
        <v>4</v>
      </c>
      <c r="AD1056" s="12" t="n">
        <v>0</v>
      </c>
      <c r="AE1056" s="12">
        <f>AB1056+AC1056+AD1056</f>
        <v/>
      </c>
      <c r="AF1056" s="13">
        <f>AI1055</f>
        <v/>
      </c>
      <c r="AG1056" s="13" t="n">
        <v>0</v>
      </c>
      <c r="AH1056" s="13" t="n">
        <v>0</v>
      </c>
      <c r="AI1056" s="13">
        <f>AF1056+AG1056+AH1056</f>
        <v/>
      </c>
      <c r="AJ1056" s="14" t="n">
        <v>0</v>
      </c>
      <c r="AK1056" s="14" t="n">
        <v>50</v>
      </c>
      <c r="AL1056" s="14" t="n">
        <v>0</v>
      </c>
      <c r="AM1056" s="14">
        <f>AJ1056+AK1056+AL1056</f>
        <v/>
      </c>
      <c r="AN1056" s="14">
        <f>AN1055+AM1056</f>
        <v/>
      </c>
    </row>
    <row r="1057">
      <c r="A1057" s="8" t="n">
        <v>41</v>
      </c>
      <c r="B1057" s="8" t="n">
        <v>8</v>
      </c>
      <c r="C1057" s="8" t="n">
        <v>2</v>
      </c>
      <c r="D1057" s="8" t="inlineStr">
        <is>
          <t>月卡收益 [月卡续费-30元]</t>
        </is>
      </c>
      <c r="E1057" s="9">
        <f>K1056</f>
        <v/>
      </c>
      <c r="F1057" s="9" t="n">
        <v>1540</v>
      </c>
      <c r="G1057" s="9" t="n">
        <v>0</v>
      </c>
      <c r="H1057" s="9" t="n">
        <v>0</v>
      </c>
      <c r="I1057" s="9" t="n">
        <v>0</v>
      </c>
      <c r="J1057" s="9" t="n">
        <v>12000</v>
      </c>
      <c r="K1057" s="9">
        <f>E1057+F1057+G1057+H1057+I1057-J1057</f>
        <v/>
      </c>
      <c r="L1057" s="10">
        <f>Q1056</f>
        <v/>
      </c>
      <c r="M1057" s="10" t="n">
        <v>0</v>
      </c>
      <c r="N1057" s="10" t="n">
        <v>11</v>
      </c>
      <c r="O1057" s="10">
        <f>J1057/160</f>
        <v/>
      </c>
      <c r="P1057" s="10" t="n">
        <v>90</v>
      </c>
      <c r="Q1057" s="10">
        <f>L1057+M1057+N1057+O1057-P1057</f>
        <v/>
      </c>
      <c r="R1057" s="11">
        <f>T1056</f>
        <v/>
      </c>
      <c r="S1057" s="11">
        <f>N(V1057) + N(X1057) + N(Z1057)</f>
        <v/>
      </c>
      <c r="T1057" s="11">
        <f>R1057+P1057-S1057</f>
        <v/>
      </c>
      <c r="U1057" s="11" t="inlineStr">
        <is>
          <t>是</t>
        </is>
      </c>
      <c r="V1057" s="11" t="n">
        <v>46</v>
      </c>
      <c r="W1057" s="11" t="inlineStr">
        <is>
          <t>是</t>
        </is>
      </c>
      <c r="X1057" s="11" t="n">
        <v>43</v>
      </c>
      <c r="Y1057" s="11" t="inlineStr">
        <is>
          <t>-</t>
        </is>
      </c>
      <c r="Z1057" s="11" t="n">
        <v>0</v>
      </c>
      <c r="AA1057" s="11" t="inlineStr">
        <is>
          <t>垫到90抽</t>
        </is>
      </c>
      <c r="AB1057" s="12">
        <f>AE1056</f>
        <v/>
      </c>
      <c r="AC1057" s="12" t="n">
        <v>0</v>
      </c>
      <c r="AD1057" s="12" t="n">
        <v>0</v>
      </c>
      <c r="AE1057" s="12">
        <f>AB1057+AC1057+AD1057</f>
        <v/>
      </c>
      <c r="AF1057" s="13">
        <f>AI1056</f>
        <v/>
      </c>
      <c r="AG1057" s="13" t="n">
        <v>0</v>
      </c>
      <c r="AH1057" s="13" t="n">
        <v>0</v>
      </c>
      <c r="AI1057" s="13">
        <f>AF1057+AG1057+AH1057</f>
        <v/>
      </c>
      <c r="AJ1057" s="14" t="n">
        <v>30</v>
      </c>
      <c r="AK1057" s="14" t="n">
        <v>0</v>
      </c>
      <c r="AL1057" s="14" t="n">
        <v>0</v>
      </c>
      <c r="AM1057" s="14">
        <f>AJ1057+AK1057+AL1057</f>
        <v/>
      </c>
      <c r="AN1057" s="14">
        <f>AN1056+AM1057</f>
        <v/>
      </c>
    </row>
    <row r="1058">
      <c r="A1058" s="8" t="n">
        <v>41</v>
      </c>
      <c r="B1058" s="8" t="n">
        <v>9</v>
      </c>
      <c r="C1058" s="8" t="n">
        <v>1</v>
      </c>
      <c r="D1058" s="8" t="inlineStr">
        <is>
          <t>版本免费+义相逢 + 月卡收益</t>
        </is>
      </c>
      <c r="E1058" s="9">
        <f>K1057</f>
        <v/>
      </c>
      <c r="F1058" s="9" t="n">
        <v>1540</v>
      </c>
      <c r="G1058" s="9" t="n">
        <v>4800</v>
      </c>
      <c r="H1058" s="9" t="n">
        <v>0</v>
      </c>
      <c r="I1058" s="9" t="n">
        <v>0</v>
      </c>
      <c r="J1058" s="9" t="n">
        <v>0</v>
      </c>
      <c r="K1058" s="9">
        <f>E1058+F1058+G1058+H1058+I1058-J1058</f>
        <v/>
      </c>
      <c r="L1058" s="10">
        <f>Q1057</f>
        <v/>
      </c>
      <c r="M1058" s="10" t="n">
        <v>85</v>
      </c>
      <c r="N1058" s="10" t="n">
        <v>11</v>
      </c>
      <c r="O1058" s="10">
        <f>J1058/160</f>
        <v/>
      </c>
      <c r="P1058" s="10" t="n">
        <v>90</v>
      </c>
      <c r="Q1058" s="10">
        <f>L1058+M1058+N1058+O1058-P1058</f>
        <v/>
      </c>
      <c r="R1058" s="11">
        <f>T1057</f>
        <v/>
      </c>
      <c r="S1058" s="11">
        <f>N(V1058) + N(X1058) + N(Z1058)</f>
        <v/>
      </c>
      <c r="T1058" s="11">
        <f>R1058+P1058-S1058</f>
        <v/>
      </c>
      <c r="U1058" s="11" t="inlineStr">
        <is>
          <t>是</t>
        </is>
      </c>
      <c r="V1058" s="11" t="n">
        <v>49</v>
      </c>
      <c r="W1058" s="11" t="inlineStr">
        <is>
          <t>是</t>
        </is>
      </c>
      <c r="X1058" s="11" t="n">
        <v>37</v>
      </c>
      <c r="Y1058" s="11" t="inlineStr">
        <is>
          <t>-</t>
        </is>
      </c>
      <c r="Z1058" s="11" t="n">
        <v>0</v>
      </c>
      <c r="AA1058" s="11" t="inlineStr">
        <is>
          <t>垫到90抽</t>
        </is>
      </c>
      <c r="AB1058" s="12">
        <f>AE1057</f>
        <v/>
      </c>
      <c r="AC1058" s="12" t="n">
        <v>4</v>
      </c>
      <c r="AD1058" s="12" t="n">
        <v>0</v>
      </c>
      <c r="AE1058" s="12">
        <f>AB1058+AC1058+AD1058</f>
        <v/>
      </c>
      <c r="AF1058" s="13">
        <f>AI1057</f>
        <v/>
      </c>
      <c r="AG1058" s="13" t="n">
        <v>0</v>
      </c>
      <c r="AH1058" s="13" t="n">
        <v>0</v>
      </c>
      <c r="AI1058" s="13">
        <f>AF1058+AG1058+AH1058</f>
        <v/>
      </c>
      <c r="AJ1058" s="14" t="n">
        <v>0</v>
      </c>
      <c r="AK1058" s="14" t="n">
        <v>50</v>
      </c>
      <c r="AL1058" s="14" t="n">
        <v>0</v>
      </c>
      <c r="AM1058" s="14">
        <f>AJ1058+AK1058+AL1058</f>
        <v/>
      </c>
      <c r="AN1058" s="14">
        <f>AN1057+AM1058</f>
        <v/>
      </c>
    </row>
    <row r="1059">
      <c r="A1059" s="8" t="n">
        <v>41</v>
      </c>
      <c r="B1059" s="8" t="n">
        <v>9</v>
      </c>
      <c r="C1059" s="8" t="n">
        <v>2</v>
      </c>
      <c r="D1059" s="8" t="inlineStr">
        <is>
          <t>月卡收益 [月卡续费-30元]</t>
        </is>
      </c>
      <c r="E1059" s="9">
        <f>K1058</f>
        <v/>
      </c>
      <c r="F1059" s="9" t="n">
        <v>1540</v>
      </c>
      <c r="G1059" s="9" t="n">
        <v>0</v>
      </c>
      <c r="H1059" s="9" t="n">
        <v>0</v>
      </c>
      <c r="I1059" s="9" t="n">
        <v>0</v>
      </c>
      <c r="J1059" s="9" t="n">
        <v>11680</v>
      </c>
      <c r="K1059" s="9">
        <f>E1059+F1059+G1059+H1059+I1059-J1059</f>
        <v/>
      </c>
      <c r="L1059" s="10">
        <f>Q1058</f>
        <v/>
      </c>
      <c r="M1059" s="10" t="n">
        <v>0</v>
      </c>
      <c r="N1059" s="10" t="n">
        <v>11</v>
      </c>
      <c r="O1059" s="10">
        <f>J1059/160</f>
        <v/>
      </c>
      <c r="P1059" s="10" t="n">
        <v>90</v>
      </c>
      <c r="Q1059" s="10">
        <f>L1059+M1059+N1059+O1059-P1059</f>
        <v/>
      </c>
      <c r="R1059" s="11">
        <f>T1058</f>
        <v/>
      </c>
      <c r="S1059" s="11">
        <f>N(V1059) + N(X1059) + N(Z1059)</f>
        <v/>
      </c>
      <c r="T1059" s="11">
        <f>R1059+P1059-S1059</f>
        <v/>
      </c>
      <c r="U1059" s="11" t="inlineStr">
        <is>
          <t>是</t>
        </is>
      </c>
      <c r="V1059" s="11" t="n">
        <v>49</v>
      </c>
      <c r="W1059" s="11" t="inlineStr">
        <is>
          <t>是</t>
        </is>
      </c>
      <c r="X1059" s="11" t="n">
        <v>52</v>
      </c>
      <c r="Y1059" s="11" t="inlineStr">
        <is>
          <t>-</t>
        </is>
      </c>
      <c r="Z1059" s="11" t="n">
        <v>0</v>
      </c>
      <c r="AA1059" s="11" t="inlineStr">
        <is>
          <t>无</t>
        </is>
      </c>
      <c r="AB1059" s="12">
        <f>AE1058</f>
        <v/>
      </c>
      <c r="AC1059" s="12" t="n">
        <v>0</v>
      </c>
      <c r="AD1059" s="12" t="n">
        <v>0</v>
      </c>
      <c r="AE1059" s="12">
        <f>AB1059+AC1059+AD1059</f>
        <v/>
      </c>
      <c r="AF1059" s="13">
        <f>AI1058</f>
        <v/>
      </c>
      <c r="AG1059" s="13" t="n">
        <v>0</v>
      </c>
      <c r="AH1059" s="13" t="n">
        <v>0</v>
      </c>
      <c r="AI1059" s="13">
        <f>AF1059+AG1059+AH1059</f>
        <v/>
      </c>
      <c r="AJ1059" s="14" t="n">
        <v>30</v>
      </c>
      <c r="AK1059" s="14" t="n">
        <v>0</v>
      </c>
      <c r="AL1059" s="14" t="n">
        <v>0</v>
      </c>
      <c r="AM1059" s="14">
        <f>AJ1059+AK1059+AL1059</f>
        <v/>
      </c>
      <c r="AN1059" s="14">
        <f>AN1058+AM1059</f>
        <v/>
      </c>
    </row>
    <row r="1060">
      <c r="A1060" s="8" t="n">
        <v>41</v>
      </c>
      <c r="B1060" s="8" t="n">
        <v>10</v>
      </c>
      <c r="C1060" s="8" t="n">
        <v>1</v>
      </c>
      <c r="D1060" s="8" t="inlineStr">
        <is>
          <t>版本免费+义相逢 + 月卡收益</t>
        </is>
      </c>
      <c r="E1060" s="9">
        <f>K1059</f>
        <v/>
      </c>
      <c r="F1060" s="9" t="n">
        <v>1540</v>
      </c>
      <c r="G1060" s="9" t="n">
        <v>4800</v>
      </c>
      <c r="H1060" s="9" t="n">
        <v>0</v>
      </c>
      <c r="I1060" s="9" t="n">
        <v>0</v>
      </c>
      <c r="J1060" s="9" t="n">
        <v>0</v>
      </c>
      <c r="K1060" s="9">
        <f>E1060+F1060+G1060+H1060+I1060-J1060</f>
        <v/>
      </c>
      <c r="L1060" s="10">
        <f>Q1059</f>
        <v/>
      </c>
      <c r="M1060" s="10" t="n">
        <v>85</v>
      </c>
      <c r="N1060" s="10" t="n">
        <v>6</v>
      </c>
      <c r="O1060" s="10">
        <f>J1060/160</f>
        <v/>
      </c>
      <c r="P1060" s="10" t="n">
        <v>60</v>
      </c>
      <c r="Q1060" s="10">
        <f>L1060+M1060+N1060+O1060-P1060</f>
        <v/>
      </c>
      <c r="R1060" s="11">
        <f>T1059</f>
        <v/>
      </c>
      <c r="S1060" s="11">
        <f>N(V1060) + N(X1060) + N(Z1060)</f>
        <v/>
      </c>
      <c r="T1060" s="11">
        <f>R1060+P1060-S1060</f>
        <v/>
      </c>
      <c r="U1060" s="11" t="inlineStr">
        <is>
          <t>是</t>
        </is>
      </c>
      <c r="V1060" s="11" t="n">
        <v>49</v>
      </c>
      <c r="W1060" s="11" t="inlineStr">
        <is>
          <t>否</t>
        </is>
      </c>
      <c r="X1060" s="11" t="inlineStr">
        <is>
          <t>-</t>
        </is>
      </c>
      <c r="Y1060" s="11" t="inlineStr">
        <is>
          <t>-</t>
        </is>
      </c>
      <c r="Z1060" s="11" t="n">
        <v>0</v>
      </c>
      <c r="AA1060" s="11" t="inlineStr">
        <is>
          <t>垫到60抽</t>
        </is>
      </c>
      <c r="AB1060" s="12">
        <f>AE1059</f>
        <v/>
      </c>
      <c r="AC1060" s="12" t="n">
        <v>4</v>
      </c>
      <c r="AD1060" s="12" t="n">
        <v>0</v>
      </c>
      <c r="AE1060" s="12">
        <f>AB1060+AC1060+AD1060</f>
        <v/>
      </c>
      <c r="AF1060" s="13">
        <f>AI1059</f>
        <v/>
      </c>
      <c r="AG1060" s="13" t="n">
        <v>0</v>
      </c>
      <c r="AH1060" s="13" t="n">
        <v>0</v>
      </c>
      <c r="AI1060" s="13">
        <f>AF1060+AG1060+AH1060</f>
        <v/>
      </c>
      <c r="AJ1060" s="14" t="n">
        <v>0</v>
      </c>
      <c r="AK1060" s="14" t="n">
        <v>50</v>
      </c>
      <c r="AL1060" s="14" t="n">
        <v>0</v>
      </c>
      <c r="AM1060" s="14">
        <f>AJ1060+AK1060+AL1060</f>
        <v/>
      </c>
      <c r="AN1060" s="14">
        <f>AN1059+AM1060</f>
        <v/>
      </c>
    </row>
    <row r="1061">
      <c r="A1061" s="8" t="n">
        <v>41</v>
      </c>
      <c r="B1061" s="8" t="n">
        <v>10</v>
      </c>
      <c r="C1061" s="8" t="n">
        <v>2</v>
      </c>
      <c r="D1061" s="8" t="inlineStr">
        <is>
          <t>月卡收益 [月卡续费-30元]</t>
        </is>
      </c>
      <c r="E1061" s="9">
        <f>K1060</f>
        <v/>
      </c>
      <c r="F1061" s="9" t="n">
        <v>1540</v>
      </c>
      <c r="G1061" s="9" t="n">
        <v>0</v>
      </c>
      <c r="H1061" s="9" t="n">
        <v>0</v>
      </c>
      <c r="I1061" s="9" t="n">
        <v>0</v>
      </c>
      <c r="J1061" s="9" t="n">
        <v>7680</v>
      </c>
      <c r="K1061" s="9">
        <f>E1061+F1061+G1061+H1061+I1061-J1061</f>
        <v/>
      </c>
      <c r="L1061" s="10">
        <f>Q1060</f>
        <v/>
      </c>
      <c r="M1061" s="10" t="n">
        <v>0</v>
      </c>
      <c r="N1061" s="10" t="n">
        <v>11</v>
      </c>
      <c r="O1061" s="10">
        <f>J1061/160</f>
        <v/>
      </c>
      <c r="P1061" s="10" t="n">
        <v>90</v>
      </c>
      <c r="Q1061" s="10">
        <f>L1061+M1061+N1061+O1061-P1061</f>
        <v/>
      </c>
      <c r="R1061" s="11">
        <f>T1060</f>
        <v/>
      </c>
      <c r="S1061" s="11">
        <f>N(V1061) + N(X1061) + N(Z1061)</f>
        <v/>
      </c>
      <c r="T1061" s="11">
        <f>R1061+P1061-S1061</f>
        <v/>
      </c>
      <c r="U1061" s="11" t="inlineStr">
        <is>
          <t>是</t>
        </is>
      </c>
      <c r="V1061" s="11" t="n">
        <v>49</v>
      </c>
      <c r="W1061" s="11" t="inlineStr">
        <is>
          <t>是</t>
        </is>
      </c>
      <c r="X1061" s="11" t="n">
        <v>48</v>
      </c>
      <c r="Y1061" s="11" t="inlineStr">
        <is>
          <t>-</t>
        </is>
      </c>
      <c r="Z1061" s="11" t="n">
        <v>0</v>
      </c>
      <c r="AA1061" s="11" t="inlineStr">
        <is>
          <t>无</t>
        </is>
      </c>
      <c r="AB1061" s="12">
        <f>AE1060</f>
        <v/>
      </c>
      <c r="AC1061" s="12" t="n">
        <v>0</v>
      </c>
      <c r="AD1061" s="12" t="n">
        <v>0</v>
      </c>
      <c r="AE1061" s="12">
        <f>AB1061+AC1061+AD1061</f>
        <v/>
      </c>
      <c r="AF1061" s="13">
        <f>AI1060</f>
        <v/>
      </c>
      <c r="AG1061" s="13" t="n">
        <v>0</v>
      </c>
      <c r="AH1061" s="13" t="n">
        <v>0</v>
      </c>
      <c r="AI1061" s="13">
        <f>AF1061+AG1061+AH1061</f>
        <v/>
      </c>
      <c r="AJ1061" s="14" t="n">
        <v>30</v>
      </c>
      <c r="AK1061" s="14" t="n">
        <v>0</v>
      </c>
      <c r="AL1061" s="14" t="n">
        <v>0</v>
      </c>
      <c r="AM1061" s="14">
        <f>AJ1061+AK1061+AL1061</f>
        <v/>
      </c>
      <c r="AN1061" s="14">
        <f>AN1060+AM1061</f>
        <v/>
      </c>
    </row>
    <row r="1062">
      <c r="A1062" s="8" t="n">
        <v>41</v>
      </c>
      <c r="B1062" s="8" t="n">
        <v>11</v>
      </c>
      <c r="C1062" s="8" t="n">
        <v>1</v>
      </c>
      <c r="D1062" s="8" t="inlineStr">
        <is>
          <t>版本免费+义相逢 + 月卡收益</t>
        </is>
      </c>
      <c r="E1062" s="9">
        <f>K1061</f>
        <v/>
      </c>
      <c r="F1062" s="9" t="n">
        <v>1540</v>
      </c>
      <c r="G1062" s="9" t="n">
        <v>4800</v>
      </c>
      <c r="H1062" s="9" t="n">
        <v>0</v>
      </c>
      <c r="I1062" s="9" t="n">
        <v>0</v>
      </c>
      <c r="J1062" s="9" t="n">
        <v>0</v>
      </c>
      <c r="K1062" s="9">
        <f>E1062+F1062+G1062+H1062+I1062-J1062</f>
        <v/>
      </c>
      <c r="L1062" s="10">
        <f>Q1061</f>
        <v/>
      </c>
      <c r="M1062" s="10" t="n">
        <v>85</v>
      </c>
      <c r="N1062" s="10" t="n">
        <v>11</v>
      </c>
      <c r="O1062" s="10">
        <f>J1062/160</f>
        <v/>
      </c>
      <c r="P1062" s="10" t="n">
        <v>90</v>
      </c>
      <c r="Q1062" s="10">
        <f>L1062+M1062+N1062+O1062-P1062</f>
        <v/>
      </c>
      <c r="R1062" s="11">
        <f>T1061</f>
        <v/>
      </c>
      <c r="S1062" s="11">
        <f>N(V1062) + N(X1062) + N(Z1062)</f>
        <v/>
      </c>
      <c r="T1062" s="11">
        <f>R1062+P1062-S1062</f>
        <v/>
      </c>
      <c r="U1062" s="11" t="inlineStr">
        <is>
          <t>是</t>
        </is>
      </c>
      <c r="V1062" s="11" t="n">
        <v>48</v>
      </c>
      <c r="W1062" s="11" t="inlineStr">
        <is>
          <t>是</t>
        </is>
      </c>
      <c r="X1062" s="11" t="n">
        <v>50</v>
      </c>
      <c r="Y1062" s="11" t="inlineStr">
        <is>
          <t>-</t>
        </is>
      </c>
      <c r="Z1062" s="11" t="n">
        <v>0</v>
      </c>
      <c r="AA1062" s="11" t="inlineStr">
        <is>
          <t>无</t>
        </is>
      </c>
      <c r="AB1062" s="12">
        <f>AE1061</f>
        <v/>
      </c>
      <c r="AC1062" s="12" t="n">
        <v>4</v>
      </c>
      <c r="AD1062" s="12" t="n">
        <v>0</v>
      </c>
      <c r="AE1062" s="12">
        <f>AB1062+AC1062+AD1062</f>
        <v/>
      </c>
      <c r="AF1062" s="13">
        <f>AI1061</f>
        <v/>
      </c>
      <c r="AG1062" s="13" t="n">
        <v>0</v>
      </c>
      <c r="AH1062" s="13" t="n">
        <v>0</v>
      </c>
      <c r="AI1062" s="13">
        <f>AF1062+AG1062+AH1062</f>
        <v/>
      </c>
      <c r="AJ1062" s="14" t="n">
        <v>0</v>
      </c>
      <c r="AK1062" s="14" t="n">
        <v>50</v>
      </c>
      <c r="AL1062" s="14" t="n">
        <v>0</v>
      </c>
      <c r="AM1062" s="14">
        <f>AJ1062+AK1062+AL1062</f>
        <v/>
      </c>
      <c r="AN1062" s="14">
        <f>AN1061+AM1062</f>
        <v/>
      </c>
    </row>
    <row r="1063">
      <c r="A1063" s="8" t="n">
        <v>41</v>
      </c>
      <c r="B1063" s="8" t="n">
        <v>11</v>
      </c>
      <c r="C1063" s="8" t="n">
        <v>2</v>
      </c>
      <c r="D1063" s="8" t="inlineStr">
        <is>
          <t>月卡收益 [月卡续费-30元]</t>
        </is>
      </c>
      <c r="E1063" s="9">
        <f>K1062</f>
        <v/>
      </c>
      <c r="F1063" s="9" t="n">
        <v>1540</v>
      </c>
      <c r="G1063" s="9" t="n">
        <v>0</v>
      </c>
      <c r="H1063" s="9" t="n">
        <v>0</v>
      </c>
      <c r="I1063" s="9" t="n">
        <v>0</v>
      </c>
      <c r="J1063" s="9" t="n">
        <v>7360</v>
      </c>
      <c r="K1063" s="9">
        <f>E1063+F1063+G1063+H1063+I1063-J1063</f>
        <v/>
      </c>
      <c r="L1063" s="10">
        <f>Q1062</f>
        <v/>
      </c>
      <c r="M1063" s="10" t="n">
        <v>0</v>
      </c>
      <c r="N1063" s="10" t="n">
        <v>6</v>
      </c>
      <c r="O1063" s="10">
        <f>J1063/160</f>
        <v/>
      </c>
      <c r="P1063" s="10" t="n">
        <v>60</v>
      </c>
      <c r="Q1063" s="10">
        <f>L1063+M1063+N1063+O1063-P1063</f>
        <v/>
      </c>
      <c r="R1063" s="11">
        <f>T1062</f>
        <v/>
      </c>
      <c r="S1063" s="11">
        <f>N(V1063) + N(X1063) + N(Z1063)</f>
        <v/>
      </c>
      <c r="T1063" s="11">
        <f>R1063+P1063-S1063</f>
        <v/>
      </c>
      <c r="U1063" s="11" t="inlineStr">
        <is>
          <t>是</t>
        </is>
      </c>
      <c r="V1063" s="11" t="n">
        <v>51</v>
      </c>
      <c r="W1063" s="11" t="inlineStr">
        <is>
          <t>否</t>
        </is>
      </c>
      <c r="X1063" s="11" t="inlineStr">
        <is>
          <t>-</t>
        </is>
      </c>
      <c r="Y1063" s="11" t="inlineStr">
        <is>
          <t>-</t>
        </is>
      </c>
      <c r="Z1063" s="11" t="n">
        <v>0</v>
      </c>
      <c r="AA1063" s="11" t="inlineStr">
        <is>
          <t>无</t>
        </is>
      </c>
      <c r="AB1063" s="12">
        <f>AE1062</f>
        <v/>
      </c>
      <c r="AC1063" s="12" t="n">
        <v>0</v>
      </c>
      <c r="AD1063" s="12" t="n">
        <v>0</v>
      </c>
      <c r="AE1063" s="12">
        <f>AB1063+AC1063+AD1063</f>
        <v/>
      </c>
      <c r="AF1063" s="13">
        <f>AI1062</f>
        <v/>
      </c>
      <c r="AG1063" s="13" t="n">
        <v>0</v>
      </c>
      <c r="AH1063" s="13" t="n">
        <v>0</v>
      </c>
      <c r="AI1063" s="13">
        <f>AF1063+AG1063+AH1063</f>
        <v/>
      </c>
      <c r="AJ1063" s="14" t="n">
        <v>30</v>
      </c>
      <c r="AK1063" s="14" t="n">
        <v>0</v>
      </c>
      <c r="AL1063" s="14" t="n">
        <v>0</v>
      </c>
      <c r="AM1063" s="14">
        <f>AJ1063+AK1063+AL1063</f>
        <v/>
      </c>
      <c r="AN1063" s="14">
        <f>AN1062+AM1063</f>
        <v/>
      </c>
    </row>
    <row r="1064">
      <c r="A1064" s="8" t="n">
        <v>41</v>
      </c>
      <c r="B1064" s="8" t="n">
        <v>12</v>
      </c>
      <c r="C1064" s="8" t="n">
        <v>1</v>
      </c>
      <c r="D1064" s="8" t="inlineStr">
        <is>
          <t>版本免费+义相逢 + 月卡收益</t>
        </is>
      </c>
      <c r="E1064" s="9">
        <f>K1063</f>
        <v/>
      </c>
      <c r="F1064" s="9" t="n">
        <v>1540</v>
      </c>
      <c r="G1064" s="9" t="n">
        <v>4800</v>
      </c>
      <c r="H1064" s="9" t="n">
        <v>0</v>
      </c>
      <c r="I1064" s="9" t="n">
        <v>0</v>
      </c>
      <c r="J1064" s="9" t="n">
        <v>0</v>
      </c>
      <c r="K1064" s="9">
        <f>E1064+F1064+G1064+H1064+I1064-J1064</f>
        <v/>
      </c>
      <c r="L1064" s="10">
        <f>Q1063</f>
        <v/>
      </c>
      <c r="M1064" s="10" t="n">
        <v>85</v>
      </c>
      <c r="N1064" s="10" t="n">
        <v>6</v>
      </c>
      <c r="O1064" s="10">
        <f>J1064/160</f>
        <v/>
      </c>
      <c r="P1064" s="10" t="n">
        <v>60</v>
      </c>
      <c r="Q1064" s="10">
        <f>L1064+M1064+N1064+O1064-P1064</f>
        <v/>
      </c>
      <c r="R1064" s="11">
        <f>T1063</f>
        <v/>
      </c>
      <c r="S1064" s="11">
        <f>N(V1064) + N(X1064) + N(Z1064)</f>
        <v/>
      </c>
      <c r="T1064" s="11">
        <f>R1064+P1064-S1064</f>
        <v/>
      </c>
      <c r="U1064" s="11" t="inlineStr">
        <is>
          <t>是</t>
        </is>
      </c>
      <c r="V1064" s="11" t="n">
        <v>51</v>
      </c>
      <c r="W1064" s="11" t="inlineStr">
        <is>
          <t>否</t>
        </is>
      </c>
      <c r="X1064" s="11" t="inlineStr">
        <is>
          <t>-</t>
        </is>
      </c>
      <c r="Y1064" s="11" t="inlineStr">
        <is>
          <t>-</t>
        </is>
      </c>
      <c r="Z1064" s="11" t="n">
        <v>0</v>
      </c>
      <c r="AA1064" s="11" t="inlineStr">
        <is>
          <t>垫到60抽</t>
        </is>
      </c>
      <c r="AB1064" s="12">
        <f>AE1063</f>
        <v/>
      </c>
      <c r="AC1064" s="12" t="n">
        <v>4</v>
      </c>
      <c r="AD1064" s="12" t="n">
        <v>0</v>
      </c>
      <c r="AE1064" s="12">
        <f>AB1064+AC1064+AD1064</f>
        <v/>
      </c>
      <c r="AF1064" s="13">
        <f>AI1063</f>
        <v/>
      </c>
      <c r="AG1064" s="13" t="n">
        <v>0</v>
      </c>
      <c r="AH1064" s="13" t="n">
        <v>0</v>
      </c>
      <c r="AI1064" s="13">
        <f>AF1064+AG1064+AH1064</f>
        <v/>
      </c>
      <c r="AJ1064" s="14" t="n">
        <v>0</v>
      </c>
      <c r="AK1064" s="14" t="n">
        <v>50</v>
      </c>
      <c r="AL1064" s="14" t="n">
        <v>0</v>
      </c>
      <c r="AM1064" s="14">
        <f>AJ1064+AK1064+AL1064</f>
        <v/>
      </c>
      <c r="AN1064" s="14">
        <f>AN1063+AM1064</f>
        <v/>
      </c>
    </row>
    <row r="1065">
      <c r="A1065" s="8" t="n">
        <v>41</v>
      </c>
      <c r="B1065" s="8" t="n">
        <v>12</v>
      </c>
      <c r="C1065" s="8" t="n">
        <v>2</v>
      </c>
      <c r="D1065" s="8" t="inlineStr">
        <is>
          <t>月卡收益 [月卡续费-30元]</t>
        </is>
      </c>
      <c r="E1065" s="9">
        <f>K1064</f>
        <v/>
      </c>
      <c r="F1065" s="9" t="n">
        <v>1540</v>
      </c>
      <c r="G1065" s="9" t="n">
        <v>0</v>
      </c>
      <c r="H1065" s="9" t="n">
        <v>0</v>
      </c>
      <c r="I1065" s="9" t="n">
        <v>0</v>
      </c>
      <c r="J1065" s="9" t="n">
        <v>480</v>
      </c>
      <c r="K1065" s="9">
        <f>E1065+F1065+G1065+H1065+I1065-J1065</f>
        <v/>
      </c>
      <c r="L1065" s="10">
        <f>Q1064</f>
        <v/>
      </c>
      <c r="M1065" s="10" t="n">
        <v>0</v>
      </c>
      <c r="N1065" s="10" t="n">
        <v>3</v>
      </c>
      <c r="O1065" s="10">
        <f>J1065/160</f>
        <v/>
      </c>
      <c r="P1065" s="10" t="n">
        <v>40</v>
      </c>
      <c r="Q1065" s="10">
        <f>L1065+M1065+N1065+O1065-P1065</f>
        <v/>
      </c>
      <c r="R1065" s="11">
        <f>T1064</f>
        <v/>
      </c>
      <c r="S1065" s="11">
        <f>N(V1065) + N(X1065) + N(Z1065)</f>
        <v/>
      </c>
      <c r="T1065" s="11">
        <f>R1065+P1065-S1065</f>
        <v/>
      </c>
      <c r="U1065" s="11" t="inlineStr">
        <is>
          <t>是</t>
        </is>
      </c>
      <c r="V1065" s="11" t="n">
        <v>52</v>
      </c>
      <c r="W1065" s="11" t="inlineStr">
        <is>
          <t>否</t>
        </is>
      </c>
      <c r="X1065" s="11" t="inlineStr">
        <is>
          <t>-</t>
        </is>
      </c>
      <c r="Y1065" s="11" t="inlineStr">
        <is>
          <t>-</t>
        </is>
      </c>
      <c r="Z1065" s="11" t="n">
        <v>0</v>
      </c>
      <c r="AA1065" s="11" t="inlineStr">
        <is>
          <t>无</t>
        </is>
      </c>
      <c r="AB1065" s="12">
        <f>AE1064</f>
        <v/>
      </c>
      <c r="AC1065" s="12" t="n">
        <v>0</v>
      </c>
      <c r="AD1065" s="12" t="n">
        <v>0</v>
      </c>
      <c r="AE1065" s="12">
        <f>AB1065+AC1065+AD1065</f>
        <v/>
      </c>
      <c r="AF1065" s="13">
        <f>AI1064</f>
        <v/>
      </c>
      <c r="AG1065" s="13" t="n">
        <v>0</v>
      </c>
      <c r="AH1065" s="13" t="n">
        <v>0</v>
      </c>
      <c r="AI1065" s="13">
        <f>AF1065+AG1065+AH1065</f>
        <v/>
      </c>
      <c r="AJ1065" s="14" t="n">
        <v>30</v>
      </c>
      <c r="AK1065" s="14" t="n">
        <v>0</v>
      </c>
      <c r="AL1065" s="14" t="n">
        <v>0</v>
      </c>
      <c r="AM1065" s="14">
        <f>AJ1065+AK1065+AL1065</f>
        <v/>
      </c>
      <c r="AN1065" s="14">
        <f>AN1064+AM1065</f>
        <v/>
      </c>
    </row>
    <row r="1066">
      <c r="A1066" s="8" t="n">
        <v>41</v>
      </c>
      <c r="B1066" s="8" t="n">
        <v>13</v>
      </c>
      <c r="C1066" s="8" t="n">
        <v>1</v>
      </c>
      <c r="D1066" s="8" t="inlineStr">
        <is>
          <t>版本免费+义相逢 + 月卡收益</t>
        </is>
      </c>
      <c r="E1066" s="9">
        <f>K1065</f>
        <v/>
      </c>
      <c r="F1066" s="9" t="n">
        <v>1540</v>
      </c>
      <c r="G1066" s="9" t="n">
        <v>4800</v>
      </c>
      <c r="H1066" s="9" t="n">
        <v>0</v>
      </c>
      <c r="I1066" s="9" t="n">
        <v>0</v>
      </c>
      <c r="J1066" s="9" t="n">
        <v>640</v>
      </c>
      <c r="K1066" s="9">
        <f>E1066+F1066+G1066+H1066+I1066-J1066</f>
        <v/>
      </c>
      <c r="L1066" s="10">
        <f>Q1065</f>
        <v/>
      </c>
      <c r="M1066" s="10" t="n">
        <v>85</v>
      </c>
      <c r="N1066" s="10" t="n">
        <v>11</v>
      </c>
      <c r="O1066" s="10">
        <f>J1066/160</f>
        <v/>
      </c>
      <c r="P1066" s="10" t="n">
        <v>100</v>
      </c>
      <c r="Q1066" s="10">
        <f>L1066+M1066+N1066+O1066-P1066</f>
        <v/>
      </c>
      <c r="R1066" s="11">
        <f>T1065</f>
        <v/>
      </c>
      <c r="S1066" s="11">
        <f>N(V1066) + N(X1066) + N(Z1066)</f>
        <v/>
      </c>
      <c r="T1066" s="11">
        <f>R1066+P1066-S1066</f>
        <v/>
      </c>
      <c r="U1066" s="11" t="inlineStr">
        <is>
          <t>是</t>
        </is>
      </c>
      <c r="V1066" s="11" t="n">
        <v>51</v>
      </c>
      <c r="W1066" s="11" t="inlineStr">
        <is>
          <t>是</t>
        </is>
      </c>
      <c r="X1066" s="11" t="n">
        <v>51</v>
      </c>
      <c r="Y1066" s="11" t="inlineStr">
        <is>
          <t>-</t>
        </is>
      </c>
      <c r="Z1066" s="11" t="n">
        <v>0</v>
      </c>
      <c r="AA1066" s="11" t="inlineStr">
        <is>
          <t>无</t>
        </is>
      </c>
      <c r="AB1066" s="12">
        <f>AE1065</f>
        <v/>
      </c>
      <c r="AC1066" s="12" t="n">
        <v>4</v>
      </c>
      <c r="AD1066" s="12" t="n">
        <v>0</v>
      </c>
      <c r="AE1066" s="12">
        <f>AB1066+AC1066+AD1066</f>
        <v/>
      </c>
      <c r="AF1066" s="13">
        <f>AI1065</f>
        <v/>
      </c>
      <c r="AG1066" s="13" t="n">
        <v>0</v>
      </c>
      <c r="AH1066" s="13" t="n">
        <v>0</v>
      </c>
      <c r="AI1066" s="13">
        <f>AF1066+AG1066+AH1066</f>
        <v/>
      </c>
      <c r="AJ1066" s="14" t="n">
        <v>0</v>
      </c>
      <c r="AK1066" s="14" t="n">
        <v>50</v>
      </c>
      <c r="AL1066" s="14" t="n">
        <v>0</v>
      </c>
      <c r="AM1066" s="14">
        <f>AJ1066+AK1066+AL1066</f>
        <v/>
      </c>
      <c r="AN1066" s="14">
        <f>AN1065+AM1066</f>
        <v/>
      </c>
    </row>
    <row r="1067">
      <c r="A1067" s="8" t="n">
        <v>41</v>
      </c>
      <c r="B1067" s="8" t="n">
        <v>13</v>
      </c>
      <c r="C1067" s="8" t="n">
        <v>2</v>
      </c>
      <c r="D1067" s="8" t="inlineStr">
        <is>
          <t>月卡收益</t>
        </is>
      </c>
      <c r="E1067" s="9">
        <f>K1066</f>
        <v/>
      </c>
      <c r="F1067" s="9" t="n">
        <v>1540</v>
      </c>
      <c r="G1067" s="9" t="n">
        <v>0</v>
      </c>
      <c r="H1067" s="9" t="n">
        <v>0</v>
      </c>
      <c r="I1067" s="9" t="n">
        <v>0</v>
      </c>
      <c r="J1067" s="9" t="n">
        <v>14240</v>
      </c>
      <c r="K1067" s="9">
        <f>E1067+F1067+G1067+H1067+I1067-J1067</f>
        <v/>
      </c>
      <c r="L1067" s="10">
        <f>Q1066</f>
        <v/>
      </c>
      <c r="M1067" s="10" t="n">
        <v>0</v>
      </c>
      <c r="N1067" s="10" t="n">
        <v>11</v>
      </c>
      <c r="O1067" s="10">
        <f>J1067/160</f>
        <v/>
      </c>
      <c r="P1067" s="10" t="n">
        <v>100</v>
      </c>
      <c r="Q1067" s="10">
        <f>L1067+M1067+N1067+O1067-P1067</f>
        <v/>
      </c>
      <c r="R1067" s="11">
        <f>T1066</f>
        <v/>
      </c>
      <c r="S1067" s="11">
        <f>N(V1067) + N(X1067) + N(Z1067)</f>
        <v/>
      </c>
      <c r="T1067" s="11">
        <f>R1067+P1067-S1067</f>
        <v/>
      </c>
      <c r="U1067" s="11" t="inlineStr">
        <is>
          <t>是</t>
        </is>
      </c>
      <c r="V1067" s="11" t="n">
        <v>46</v>
      </c>
      <c r="W1067" s="11" t="inlineStr">
        <is>
          <t>是</t>
        </is>
      </c>
      <c r="X1067" s="11" t="n">
        <v>51</v>
      </c>
      <c r="Y1067" s="11" t="inlineStr">
        <is>
          <t>-</t>
        </is>
      </c>
      <c r="Z1067" s="11" t="n">
        <v>0</v>
      </c>
      <c r="AA1067" s="11" t="inlineStr">
        <is>
          <t>无</t>
        </is>
      </c>
      <c r="AB1067" s="12">
        <f>AE1066</f>
        <v/>
      </c>
      <c r="AC1067" s="12" t="n">
        <v>0</v>
      </c>
      <c r="AD1067" s="12" t="n">
        <v>0</v>
      </c>
      <c r="AE1067" s="12">
        <f>AB1067+AC1067+AD1067</f>
        <v/>
      </c>
      <c r="AF1067" s="13">
        <f>AI1066</f>
        <v/>
      </c>
      <c r="AG1067" s="13" t="n">
        <v>0</v>
      </c>
      <c r="AH1067" s="13" t="n">
        <v>0</v>
      </c>
      <c r="AI1067" s="13">
        <f>AF1067+AG1067+AH1067</f>
        <v/>
      </c>
      <c r="AJ1067" s="14" t="n">
        <v>0</v>
      </c>
      <c r="AK1067" s="14" t="n">
        <v>0</v>
      </c>
      <c r="AL1067" s="14" t="n">
        <v>0</v>
      </c>
      <c r="AM1067" s="14">
        <f>AJ1067+AK1067+AL1067</f>
        <v/>
      </c>
      <c r="AN1067" s="14">
        <f>AN1066+AM1067</f>
        <v/>
      </c>
    </row>
    <row r="1068">
      <c r="A1068" s="8" t="n">
        <v>42</v>
      </c>
      <c r="B1068" s="8" t="n">
        <v>1</v>
      </c>
      <c r="C1068" s="8" t="n">
        <v>1</v>
      </c>
      <c r="D1068" s="8" t="inlineStr">
        <is>
          <t>版本免费+义相逢 + 月卡收益 [月卡续费-30元]</t>
        </is>
      </c>
      <c r="E1068" s="9" t="n">
        <v>11400</v>
      </c>
      <c r="F1068" s="9" t="n">
        <v>1540</v>
      </c>
      <c r="G1068" s="9" t="n">
        <v>4800</v>
      </c>
      <c r="H1068" s="9" t="n">
        <v>0</v>
      </c>
      <c r="I1068" s="9" t="n">
        <v>0</v>
      </c>
      <c r="J1068" s="9" t="n">
        <v>0</v>
      </c>
      <c r="K1068" s="9">
        <f>E1068+F1068+G1068+H1068+I1068-J1068</f>
        <v/>
      </c>
      <c r="L1068" s="10" t="n">
        <v>0</v>
      </c>
      <c r="M1068" s="10" t="n">
        <v>85</v>
      </c>
      <c r="N1068" s="10" t="n">
        <v>6</v>
      </c>
      <c r="O1068" s="10">
        <f>J1068/160</f>
        <v/>
      </c>
      <c r="P1068" s="10" t="n">
        <v>60</v>
      </c>
      <c r="Q1068" s="10">
        <f>L1068+M1068+N1068+O1068-P1068</f>
        <v/>
      </c>
      <c r="R1068" s="11" t="n">
        <v>7</v>
      </c>
      <c r="S1068" s="11">
        <f>N(V1068) + N(X1068) + N(Z1068)</f>
        <v/>
      </c>
      <c r="T1068" s="11">
        <f>R1068+P1068-S1068</f>
        <v/>
      </c>
      <c r="U1068" s="11" t="inlineStr">
        <is>
          <t>是</t>
        </is>
      </c>
      <c r="V1068" s="11" t="n">
        <v>51</v>
      </c>
      <c r="W1068" s="11" t="inlineStr">
        <is>
          <t>否</t>
        </is>
      </c>
      <c r="X1068" s="11" t="inlineStr">
        <is>
          <t>-</t>
        </is>
      </c>
      <c r="Y1068" s="11" t="inlineStr">
        <is>
          <t>UP(7)</t>
        </is>
      </c>
      <c r="Z1068" s="11" t="n">
        <v>7</v>
      </c>
      <c r="AA1068" s="11" t="inlineStr">
        <is>
          <t>垫到60抽</t>
        </is>
      </c>
      <c r="AB1068" s="12" t="n">
        <v>2194</v>
      </c>
      <c r="AC1068" s="12" t="n">
        <v>4</v>
      </c>
      <c r="AD1068" s="12" t="n">
        <v>0</v>
      </c>
      <c r="AE1068" s="12">
        <f>AB1068+AC1068+AD1068</f>
        <v/>
      </c>
      <c r="AF1068" s="13" t="n">
        <v>310000</v>
      </c>
      <c r="AG1068" s="13" t="n">
        <v>0</v>
      </c>
      <c r="AH1068" s="13" t="n">
        <v>0</v>
      </c>
      <c r="AI1068" s="13">
        <f>AF1068+AG1068+AH1068</f>
        <v/>
      </c>
      <c r="AJ1068" s="14" t="n">
        <v>30</v>
      </c>
      <c r="AK1068" s="14" t="n">
        <v>50</v>
      </c>
      <c r="AL1068" s="14" t="n">
        <v>0</v>
      </c>
      <c r="AM1068" s="14">
        <f>AJ1068+AK1068+AL1068</f>
        <v/>
      </c>
      <c r="AN1068" s="14">
        <f>AM1068</f>
        <v/>
      </c>
    </row>
    <row r="1069">
      <c r="A1069" s="8" t="n">
        <v>42</v>
      </c>
      <c r="B1069" s="8" t="n">
        <v>1</v>
      </c>
      <c r="C1069" s="8" t="n">
        <v>2</v>
      </c>
      <c r="D1069" s="8" t="inlineStr">
        <is>
          <t>月卡收益</t>
        </is>
      </c>
      <c r="E1069" s="9">
        <f>K1068</f>
        <v/>
      </c>
      <c r="F1069" s="9" t="n">
        <v>1540</v>
      </c>
      <c r="G1069" s="9" t="n">
        <v>0</v>
      </c>
      <c r="H1069" s="9" t="n">
        <v>0</v>
      </c>
      <c r="I1069" s="9" t="n">
        <v>0</v>
      </c>
      <c r="J1069" s="9" t="n">
        <v>8480</v>
      </c>
      <c r="K1069" s="9">
        <f>E1069+F1069+G1069+H1069+I1069-J1069</f>
        <v/>
      </c>
      <c r="L1069" s="10">
        <f>Q1068</f>
        <v/>
      </c>
      <c r="M1069" s="10" t="n">
        <v>0</v>
      </c>
      <c r="N1069" s="10" t="n">
        <v>11</v>
      </c>
      <c r="O1069" s="10">
        <f>J1069/160</f>
        <v/>
      </c>
      <c r="P1069" s="10" t="n">
        <v>90</v>
      </c>
      <c r="Q1069" s="10">
        <f>L1069+M1069+N1069+O1069-P1069</f>
        <v/>
      </c>
      <c r="R1069" s="11">
        <f>T1068</f>
        <v/>
      </c>
      <c r="S1069" s="11">
        <f>N(V1069) + N(X1069) + N(Z1069)</f>
        <v/>
      </c>
      <c r="T1069" s="11">
        <f>R1069+P1069-S1069</f>
        <v/>
      </c>
      <c r="U1069" s="11" t="inlineStr">
        <is>
          <t>是</t>
        </is>
      </c>
      <c r="V1069" s="11" t="n">
        <v>48</v>
      </c>
      <c r="W1069" s="11" t="inlineStr">
        <is>
          <t>是</t>
        </is>
      </c>
      <c r="X1069" s="11" t="n">
        <v>49</v>
      </c>
      <c r="Y1069" s="11" t="inlineStr">
        <is>
          <t>-</t>
        </is>
      </c>
      <c r="Z1069" s="11" t="n">
        <v>0</v>
      </c>
      <c r="AA1069" s="11" t="inlineStr">
        <is>
          <t>无</t>
        </is>
      </c>
      <c r="AB1069" s="12">
        <f>AE1068</f>
        <v/>
      </c>
      <c r="AC1069" s="12" t="n">
        <v>0</v>
      </c>
      <c r="AD1069" s="12" t="n">
        <v>0</v>
      </c>
      <c r="AE1069" s="12">
        <f>AB1069+AC1069+AD1069</f>
        <v/>
      </c>
      <c r="AF1069" s="13">
        <f>AI1068</f>
        <v/>
      </c>
      <c r="AG1069" s="13" t="n">
        <v>0</v>
      </c>
      <c r="AH1069" s="13" t="n">
        <v>0</v>
      </c>
      <c r="AI1069" s="13">
        <f>AF1069+AG1069+AH1069</f>
        <v/>
      </c>
      <c r="AJ1069" s="14" t="n">
        <v>0</v>
      </c>
      <c r="AK1069" s="14" t="n">
        <v>0</v>
      </c>
      <c r="AL1069" s="14" t="n">
        <v>0</v>
      </c>
      <c r="AM1069" s="14">
        <f>AJ1069+AK1069+AL1069</f>
        <v/>
      </c>
      <c r="AN1069" s="14">
        <f>AN1068+AM1069</f>
        <v/>
      </c>
    </row>
    <row r="1070">
      <c r="A1070" s="8" t="n">
        <v>42</v>
      </c>
      <c r="B1070" s="8" t="n">
        <v>2</v>
      </c>
      <c r="C1070" s="8" t="n">
        <v>1</v>
      </c>
      <c r="D1070" s="8" t="inlineStr">
        <is>
          <t>版本免费+义相逢 + 月卡收益 [月卡续费-30元]</t>
        </is>
      </c>
      <c r="E1070" s="9">
        <f>K1069</f>
        <v/>
      </c>
      <c r="F1070" s="9" t="n">
        <v>1540</v>
      </c>
      <c r="G1070" s="9" t="n">
        <v>4800</v>
      </c>
      <c r="H1070" s="9" t="n">
        <v>0</v>
      </c>
      <c r="I1070" s="9" t="n">
        <v>0</v>
      </c>
      <c r="J1070" s="9" t="n">
        <v>0</v>
      </c>
      <c r="K1070" s="9">
        <f>E1070+F1070+G1070+H1070+I1070-J1070</f>
        <v/>
      </c>
      <c r="L1070" s="10">
        <f>Q1069</f>
        <v/>
      </c>
      <c r="M1070" s="10" t="n">
        <v>85</v>
      </c>
      <c r="N1070" s="10" t="n">
        <v>6</v>
      </c>
      <c r="O1070" s="10">
        <f>J1070/160</f>
        <v/>
      </c>
      <c r="P1070" s="10" t="n">
        <v>60</v>
      </c>
      <c r="Q1070" s="10">
        <f>L1070+M1070+N1070+O1070-P1070</f>
        <v/>
      </c>
      <c r="R1070" s="11">
        <f>T1069</f>
        <v/>
      </c>
      <c r="S1070" s="11">
        <f>N(V1070) + N(X1070) + N(Z1070)</f>
        <v/>
      </c>
      <c r="T1070" s="11">
        <f>R1070+P1070-S1070</f>
        <v/>
      </c>
      <c r="U1070" s="11" t="inlineStr">
        <is>
          <t>是</t>
        </is>
      </c>
      <c r="V1070" s="11" t="n">
        <v>52</v>
      </c>
      <c r="W1070" s="11" t="inlineStr">
        <is>
          <t>否</t>
        </is>
      </c>
      <c r="X1070" s="11" t="inlineStr">
        <is>
          <t>-</t>
        </is>
      </c>
      <c r="Y1070" s="11" t="inlineStr">
        <is>
          <t>-</t>
        </is>
      </c>
      <c r="Z1070" s="11" t="n">
        <v>0</v>
      </c>
      <c r="AA1070" s="11" t="inlineStr">
        <is>
          <t>垫到60抽</t>
        </is>
      </c>
      <c r="AB1070" s="12">
        <f>AE1069</f>
        <v/>
      </c>
      <c r="AC1070" s="12" t="n">
        <v>4</v>
      </c>
      <c r="AD1070" s="12" t="n">
        <v>0</v>
      </c>
      <c r="AE1070" s="12">
        <f>AB1070+AC1070+AD1070</f>
        <v/>
      </c>
      <c r="AF1070" s="13">
        <f>AI1069</f>
        <v/>
      </c>
      <c r="AG1070" s="13" t="n">
        <v>0</v>
      </c>
      <c r="AH1070" s="13" t="n">
        <v>0</v>
      </c>
      <c r="AI1070" s="13">
        <f>AF1070+AG1070+AH1070</f>
        <v/>
      </c>
      <c r="AJ1070" s="14" t="n">
        <v>30</v>
      </c>
      <c r="AK1070" s="14" t="n">
        <v>50</v>
      </c>
      <c r="AL1070" s="14" t="n">
        <v>0</v>
      </c>
      <c r="AM1070" s="14">
        <f>AJ1070+AK1070+AL1070</f>
        <v/>
      </c>
      <c r="AN1070" s="14">
        <f>AN1069+AM1070</f>
        <v/>
      </c>
    </row>
    <row r="1071">
      <c r="A1071" s="8" t="n">
        <v>42</v>
      </c>
      <c r="B1071" s="8" t="n">
        <v>2</v>
      </c>
      <c r="C1071" s="8" t="n">
        <v>2</v>
      </c>
      <c r="D1071" s="8" t="inlineStr">
        <is>
          <t>月卡收益</t>
        </is>
      </c>
      <c r="E1071" s="9">
        <f>K1070</f>
        <v/>
      </c>
      <c r="F1071" s="9" t="n">
        <v>1540</v>
      </c>
      <c r="G1071" s="9" t="n">
        <v>0</v>
      </c>
      <c r="H1071" s="9" t="n">
        <v>0</v>
      </c>
      <c r="I1071" s="9" t="n">
        <v>0</v>
      </c>
      <c r="J1071" s="9" t="n">
        <v>7680</v>
      </c>
      <c r="K1071" s="9">
        <f>E1071+F1071+G1071+H1071+I1071-J1071</f>
        <v/>
      </c>
      <c r="L1071" s="10">
        <f>Q1070</f>
        <v/>
      </c>
      <c r="M1071" s="10" t="n">
        <v>0</v>
      </c>
      <c r="N1071" s="10" t="n">
        <v>11</v>
      </c>
      <c r="O1071" s="10">
        <f>J1071/160</f>
        <v/>
      </c>
      <c r="P1071" s="10" t="n">
        <v>90</v>
      </c>
      <c r="Q1071" s="10">
        <f>L1071+M1071+N1071+O1071-P1071</f>
        <v/>
      </c>
      <c r="R1071" s="11">
        <f>T1070</f>
        <v/>
      </c>
      <c r="S1071" s="11">
        <f>N(V1071) + N(X1071) + N(Z1071)</f>
        <v/>
      </c>
      <c r="T1071" s="11">
        <f>R1071+P1071-S1071</f>
        <v/>
      </c>
      <c r="U1071" s="11" t="inlineStr">
        <is>
          <t>是</t>
        </is>
      </c>
      <c r="V1071" s="11" t="n">
        <v>46</v>
      </c>
      <c r="W1071" s="11" t="inlineStr">
        <is>
          <t>是</t>
        </is>
      </c>
      <c r="X1071" s="11" t="n">
        <v>48</v>
      </c>
      <c r="Y1071" s="11" t="inlineStr">
        <is>
          <t>-</t>
        </is>
      </c>
      <c r="Z1071" s="11" t="n">
        <v>0</v>
      </c>
      <c r="AA1071" s="11" t="inlineStr">
        <is>
          <t>无</t>
        </is>
      </c>
      <c r="AB1071" s="12">
        <f>AE1070</f>
        <v/>
      </c>
      <c r="AC1071" s="12" t="n">
        <v>0</v>
      </c>
      <c r="AD1071" s="12" t="n">
        <v>0</v>
      </c>
      <c r="AE1071" s="12">
        <f>AB1071+AC1071+AD1071</f>
        <v/>
      </c>
      <c r="AF1071" s="13">
        <f>AI1070</f>
        <v/>
      </c>
      <c r="AG1071" s="13" t="n">
        <v>0</v>
      </c>
      <c r="AH1071" s="13" t="n">
        <v>0</v>
      </c>
      <c r="AI1071" s="13">
        <f>AF1071+AG1071+AH1071</f>
        <v/>
      </c>
      <c r="AJ1071" s="14" t="n">
        <v>0</v>
      </c>
      <c r="AK1071" s="14" t="n">
        <v>0</v>
      </c>
      <c r="AL1071" s="14" t="n">
        <v>0</v>
      </c>
      <c r="AM1071" s="14">
        <f>AJ1071+AK1071+AL1071</f>
        <v/>
      </c>
      <c r="AN1071" s="14">
        <f>AN1070+AM1071</f>
        <v/>
      </c>
    </row>
    <row r="1072">
      <c r="A1072" s="8" t="n">
        <v>42</v>
      </c>
      <c r="B1072" s="8" t="n">
        <v>3</v>
      </c>
      <c r="C1072" s="8" t="n">
        <v>1</v>
      </c>
      <c r="D1072" s="8" t="inlineStr">
        <is>
          <t>版本免费+义相逢 + 月卡收益 [月卡续费-30元]</t>
        </is>
      </c>
      <c r="E1072" s="9">
        <f>K1071</f>
        <v/>
      </c>
      <c r="F1072" s="9" t="n">
        <v>1540</v>
      </c>
      <c r="G1072" s="9" t="n">
        <v>4800</v>
      </c>
      <c r="H1072" s="9" t="n">
        <v>0</v>
      </c>
      <c r="I1072" s="9" t="n">
        <v>0</v>
      </c>
      <c r="J1072" s="9" t="n">
        <v>0</v>
      </c>
      <c r="K1072" s="9">
        <f>E1072+F1072+G1072+H1072+I1072-J1072</f>
        <v/>
      </c>
      <c r="L1072" s="10">
        <f>Q1071</f>
        <v/>
      </c>
      <c r="M1072" s="10" t="n">
        <v>85</v>
      </c>
      <c r="N1072" s="10" t="n">
        <v>11</v>
      </c>
      <c r="O1072" s="10">
        <f>J1072/160</f>
        <v/>
      </c>
      <c r="P1072" s="10" t="n">
        <v>100</v>
      </c>
      <c r="Q1072" s="10">
        <f>L1072+M1072+N1072+O1072-P1072</f>
        <v/>
      </c>
      <c r="R1072" s="11">
        <f>T1071</f>
        <v/>
      </c>
      <c r="S1072" s="11">
        <f>N(V1072) + N(X1072) + N(Z1072)</f>
        <v/>
      </c>
      <c r="T1072" s="11">
        <f>R1072+P1072-S1072</f>
        <v/>
      </c>
      <c r="U1072" s="11" t="inlineStr">
        <is>
          <t>是</t>
        </is>
      </c>
      <c r="V1072" s="11" t="n">
        <v>48</v>
      </c>
      <c r="W1072" s="11" t="inlineStr">
        <is>
          <t>是</t>
        </is>
      </c>
      <c r="X1072" s="11" t="n">
        <v>54</v>
      </c>
      <c r="Y1072" s="11" t="inlineStr">
        <is>
          <t>-</t>
        </is>
      </c>
      <c r="Z1072" s="11" t="n">
        <v>0</v>
      </c>
      <c r="AA1072" s="11" t="inlineStr">
        <is>
          <t>无</t>
        </is>
      </c>
      <c r="AB1072" s="12">
        <f>AE1071</f>
        <v/>
      </c>
      <c r="AC1072" s="12" t="n">
        <v>4</v>
      </c>
      <c r="AD1072" s="12" t="n">
        <v>0</v>
      </c>
      <c r="AE1072" s="12">
        <f>AB1072+AC1072+AD1072</f>
        <v/>
      </c>
      <c r="AF1072" s="13">
        <f>AI1071</f>
        <v/>
      </c>
      <c r="AG1072" s="13" t="n">
        <v>0</v>
      </c>
      <c r="AH1072" s="13" t="n">
        <v>0</v>
      </c>
      <c r="AI1072" s="13">
        <f>AF1072+AG1072+AH1072</f>
        <v/>
      </c>
      <c r="AJ1072" s="14" t="n">
        <v>30</v>
      </c>
      <c r="AK1072" s="14" t="n">
        <v>50</v>
      </c>
      <c r="AL1072" s="14" t="n">
        <v>0</v>
      </c>
      <c r="AM1072" s="14">
        <f>AJ1072+AK1072+AL1072</f>
        <v/>
      </c>
      <c r="AN1072" s="14">
        <f>AN1071+AM1072</f>
        <v/>
      </c>
    </row>
    <row r="1073">
      <c r="A1073" s="8" t="n">
        <v>42</v>
      </c>
      <c r="B1073" s="8" t="n">
        <v>3</v>
      </c>
      <c r="C1073" s="8" t="n">
        <v>2</v>
      </c>
      <c r="D1073" s="8" t="inlineStr">
        <is>
          <t>月卡收益</t>
        </is>
      </c>
      <c r="E1073" s="9">
        <f>K1072</f>
        <v/>
      </c>
      <c r="F1073" s="9" t="n">
        <v>1540</v>
      </c>
      <c r="G1073" s="9" t="n">
        <v>0</v>
      </c>
      <c r="H1073" s="9" t="n">
        <v>0</v>
      </c>
      <c r="I1073" s="9" t="n">
        <v>0</v>
      </c>
      <c r="J1073" s="9" t="n">
        <v>8960</v>
      </c>
      <c r="K1073" s="9">
        <f>E1073+F1073+G1073+H1073+I1073-J1073</f>
        <v/>
      </c>
      <c r="L1073" s="10">
        <f>Q1072</f>
        <v/>
      </c>
      <c r="M1073" s="10" t="n">
        <v>0</v>
      </c>
      <c r="N1073" s="10" t="n">
        <v>6</v>
      </c>
      <c r="O1073" s="10">
        <f>J1073/160</f>
        <v/>
      </c>
      <c r="P1073" s="10" t="n">
        <v>60</v>
      </c>
      <c r="Q1073" s="10">
        <f>L1073+M1073+N1073+O1073-P1073</f>
        <v/>
      </c>
      <c r="R1073" s="11">
        <f>T1072</f>
        <v/>
      </c>
      <c r="S1073" s="11">
        <f>N(V1073) + N(X1073) + N(Z1073)</f>
        <v/>
      </c>
      <c r="T1073" s="11">
        <f>R1073+P1073-S1073</f>
        <v/>
      </c>
      <c r="U1073" s="11" t="inlineStr">
        <is>
          <t>是</t>
        </is>
      </c>
      <c r="V1073" s="11" t="n">
        <v>50</v>
      </c>
      <c r="W1073" s="11" t="inlineStr">
        <is>
          <t>否</t>
        </is>
      </c>
      <c r="X1073" s="11" t="inlineStr">
        <is>
          <t>-</t>
        </is>
      </c>
      <c r="Y1073" s="11" t="inlineStr">
        <is>
          <t>-</t>
        </is>
      </c>
      <c r="Z1073" s="11" t="n">
        <v>0</v>
      </c>
      <c r="AA1073" s="11" t="inlineStr">
        <is>
          <t>垫到60抽</t>
        </is>
      </c>
      <c r="AB1073" s="12">
        <f>AE1072</f>
        <v/>
      </c>
      <c r="AC1073" s="12" t="n">
        <v>0</v>
      </c>
      <c r="AD1073" s="12" t="n">
        <v>0</v>
      </c>
      <c r="AE1073" s="12">
        <f>AB1073+AC1073+AD1073</f>
        <v/>
      </c>
      <c r="AF1073" s="13">
        <f>AI1072</f>
        <v/>
      </c>
      <c r="AG1073" s="13" t="n">
        <v>0</v>
      </c>
      <c r="AH1073" s="13" t="n">
        <v>0</v>
      </c>
      <c r="AI1073" s="13">
        <f>AF1073+AG1073+AH1073</f>
        <v/>
      </c>
      <c r="AJ1073" s="14" t="n">
        <v>0</v>
      </c>
      <c r="AK1073" s="14" t="n">
        <v>0</v>
      </c>
      <c r="AL1073" s="14" t="n">
        <v>0</v>
      </c>
      <c r="AM1073" s="14">
        <f>AJ1073+AK1073+AL1073</f>
        <v/>
      </c>
      <c r="AN1073" s="14">
        <f>AN1072+AM1073</f>
        <v/>
      </c>
    </row>
    <row r="1074">
      <c r="A1074" s="8" t="n">
        <v>42</v>
      </c>
      <c r="B1074" s="8" t="n">
        <v>4</v>
      </c>
      <c r="C1074" s="8" t="n">
        <v>1</v>
      </c>
      <c r="D1074" s="8" t="inlineStr">
        <is>
          <t>版本免费+义相逢 + 月卡收益 [月卡续费-30元]</t>
        </is>
      </c>
      <c r="E1074" s="9">
        <f>K1073</f>
        <v/>
      </c>
      <c r="F1074" s="9" t="n">
        <v>1540</v>
      </c>
      <c r="G1074" s="9" t="n">
        <v>4800</v>
      </c>
      <c r="H1074" s="9" t="n">
        <v>0</v>
      </c>
      <c r="I1074" s="9" t="n">
        <v>0</v>
      </c>
      <c r="J1074" s="9" t="n">
        <v>0</v>
      </c>
      <c r="K1074" s="9">
        <f>E1074+F1074+G1074+H1074+I1074-J1074</f>
        <v/>
      </c>
      <c r="L1074" s="10">
        <f>Q1073</f>
        <v/>
      </c>
      <c r="M1074" s="10" t="n">
        <v>85</v>
      </c>
      <c r="N1074" s="10" t="n">
        <v>11</v>
      </c>
      <c r="O1074" s="10">
        <f>J1074/160</f>
        <v/>
      </c>
      <c r="P1074" s="10" t="n">
        <v>90</v>
      </c>
      <c r="Q1074" s="10">
        <f>L1074+M1074+N1074+O1074-P1074</f>
        <v/>
      </c>
      <c r="R1074" s="11">
        <f>T1073</f>
        <v/>
      </c>
      <c r="S1074" s="11">
        <f>N(V1074) + N(X1074) + N(Z1074)</f>
        <v/>
      </c>
      <c r="T1074" s="11">
        <f>R1074+P1074-S1074</f>
        <v/>
      </c>
      <c r="U1074" s="11" t="inlineStr">
        <is>
          <t>是</t>
        </is>
      </c>
      <c r="V1074" s="11" t="n">
        <v>51</v>
      </c>
      <c r="W1074" s="11" t="inlineStr">
        <is>
          <t>是</t>
        </is>
      </c>
      <c r="X1074" s="11" t="n">
        <v>47</v>
      </c>
      <c r="Y1074" s="11" t="inlineStr">
        <is>
          <t>-</t>
        </is>
      </c>
      <c r="Z1074" s="11" t="n">
        <v>0</v>
      </c>
      <c r="AA1074" s="11" t="inlineStr">
        <is>
          <t>无</t>
        </is>
      </c>
      <c r="AB1074" s="12">
        <f>AE1073</f>
        <v/>
      </c>
      <c r="AC1074" s="12" t="n">
        <v>4</v>
      </c>
      <c r="AD1074" s="12" t="n">
        <v>0</v>
      </c>
      <c r="AE1074" s="12">
        <f>AB1074+AC1074+AD1074</f>
        <v/>
      </c>
      <c r="AF1074" s="13">
        <f>AI1073</f>
        <v/>
      </c>
      <c r="AG1074" s="13" t="n">
        <v>0</v>
      </c>
      <c r="AH1074" s="13" t="n">
        <v>0</v>
      </c>
      <c r="AI1074" s="13">
        <f>AF1074+AG1074+AH1074</f>
        <v/>
      </c>
      <c r="AJ1074" s="14" t="n">
        <v>30</v>
      </c>
      <c r="AK1074" s="14" t="n">
        <v>50</v>
      </c>
      <c r="AL1074" s="14" t="n">
        <v>0</v>
      </c>
      <c r="AM1074" s="14">
        <f>AJ1074+AK1074+AL1074</f>
        <v/>
      </c>
      <c r="AN1074" s="14">
        <f>AN1073+AM1074</f>
        <v/>
      </c>
    </row>
    <row r="1075">
      <c r="A1075" s="8" t="n">
        <v>42</v>
      </c>
      <c r="B1075" s="8" t="n">
        <v>4</v>
      </c>
      <c r="C1075" s="8" t="n">
        <v>2</v>
      </c>
      <c r="D1075" s="8" t="inlineStr">
        <is>
          <t>月卡收益</t>
        </is>
      </c>
      <c r="E1075" s="9">
        <f>K1074</f>
        <v/>
      </c>
      <c r="F1075" s="9" t="n">
        <v>1540</v>
      </c>
      <c r="G1075" s="9" t="n">
        <v>0</v>
      </c>
      <c r="H1075" s="9" t="n">
        <v>0</v>
      </c>
      <c r="I1075" s="9" t="n">
        <v>0</v>
      </c>
      <c r="J1075" s="9" t="n">
        <v>7680</v>
      </c>
      <c r="K1075" s="9">
        <f>E1075+F1075+G1075+H1075+I1075-J1075</f>
        <v/>
      </c>
      <c r="L1075" s="10">
        <f>Q1074</f>
        <v/>
      </c>
      <c r="M1075" s="10" t="n">
        <v>0</v>
      </c>
      <c r="N1075" s="10" t="n">
        <v>6</v>
      </c>
      <c r="O1075" s="10">
        <f>J1075/160</f>
        <v/>
      </c>
      <c r="P1075" s="10" t="n">
        <v>60</v>
      </c>
      <c r="Q1075" s="10">
        <f>L1075+M1075+N1075+O1075-P1075</f>
        <v/>
      </c>
      <c r="R1075" s="11">
        <f>T1074</f>
        <v/>
      </c>
      <c r="S1075" s="11">
        <f>N(V1075) + N(X1075) + N(Z1075)</f>
        <v/>
      </c>
      <c r="T1075" s="11">
        <f>R1075+P1075-S1075</f>
        <v/>
      </c>
      <c r="U1075" s="11" t="inlineStr">
        <is>
          <t>是</t>
        </is>
      </c>
      <c r="V1075" s="11" t="n">
        <v>48</v>
      </c>
      <c r="W1075" s="11" t="inlineStr">
        <is>
          <t>否</t>
        </is>
      </c>
      <c r="X1075" s="11" t="inlineStr">
        <is>
          <t>-</t>
        </is>
      </c>
      <c r="Y1075" s="11" t="inlineStr">
        <is>
          <t>-</t>
        </is>
      </c>
      <c r="Z1075" s="11" t="n">
        <v>0</v>
      </c>
      <c r="AA1075" s="11" t="inlineStr">
        <is>
          <t>垫到60抽</t>
        </is>
      </c>
      <c r="AB1075" s="12">
        <f>AE1074</f>
        <v/>
      </c>
      <c r="AC1075" s="12" t="n">
        <v>0</v>
      </c>
      <c r="AD1075" s="12" t="n">
        <v>0</v>
      </c>
      <c r="AE1075" s="12">
        <f>AB1075+AC1075+AD1075</f>
        <v/>
      </c>
      <c r="AF1075" s="13">
        <f>AI1074</f>
        <v/>
      </c>
      <c r="AG1075" s="13" t="n">
        <v>0</v>
      </c>
      <c r="AH1075" s="13" t="n">
        <v>0</v>
      </c>
      <c r="AI1075" s="13">
        <f>AF1075+AG1075+AH1075</f>
        <v/>
      </c>
      <c r="AJ1075" s="14" t="n">
        <v>0</v>
      </c>
      <c r="AK1075" s="14" t="n">
        <v>0</v>
      </c>
      <c r="AL1075" s="14" t="n">
        <v>0</v>
      </c>
      <c r="AM1075" s="14">
        <f>AJ1075+AK1075+AL1075</f>
        <v/>
      </c>
      <c r="AN1075" s="14">
        <f>AN1074+AM1075</f>
        <v/>
      </c>
    </row>
    <row r="1076">
      <c r="A1076" s="8" t="n">
        <v>42</v>
      </c>
      <c r="B1076" s="8" t="n">
        <v>5</v>
      </c>
      <c r="C1076" s="8" t="n">
        <v>1</v>
      </c>
      <c r="D1076" s="8" t="inlineStr">
        <is>
          <t>版本免费+义相逢 + 月卡收益 [月卡续费-30元]</t>
        </is>
      </c>
      <c r="E1076" s="9">
        <f>K1075</f>
        <v/>
      </c>
      <c r="F1076" s="9" t="n">
        <v>1540</v>
      </c>
      <c r="G1076" s="9" t="n">
        <v>4800</v>
      </c>
      <c r="H1076" s="9" t="n">
        <v>0</v>
      </c>
      <c r="I1076" s="9" t="n">
        <v>0</v>
      </c>
      <c r="J1076" s="9" t="n">
        <v>0</v>
      </c>
      <c r="K1076" s="9">
        <f>E1076+F1076+G1076+H1076+I1076-J1076</f>
        <v/>
      </c>
      <c r="L1076" s="10">
        <f>Q1075</f>
        <v/>
      </c>
      <c r="M1076" s="10" t="n">
        <v>85</v>
      </c>
      <c r="N1076" s="10" t="n">
        <v>11</v>
      </c>
      <c r="O1076" s="10">
        <f>J1076/160</f>
        <v/>
      </c>
      <c r="P1076" s="10" t="n">
        <v>90</v>
      </c>
      <c r="Q1076" s="10">
        <f>L1076+M1076+N1076+O1076-P1076</f>
        <v/>
      </c>
      <c r="R1076" s="11">
        <f>T1075</f>
        <v/>
      </c>
      <c r="S1076" s="11">
        <f>N(V1076) + N(X1076) + N(Z1076)</f>
        <v/>
      </c>
      <c r="T1076" s="11">
        <f>R1076+P1076-S1076</f>
        <v/>
      </c>
      <c r="U1076" s="11" t="inlineStr">
        <is>
          <t>是</t>
        </is>
      </c>
      <c r="V1076" s="11" t="n">
        <v>51</v>
      </c>
      <c r="W1076" s="11" t="inlineStr">
        <is>
          <t>是</t>
        </is>
      </c>
      <c r="X1076" s="11" t="n">
        <v>42</v>
      </c>
      <c r="Y1076" s="11" t="inlineStr">
        <is>
          <t>-</t>
        </is>
      </c>
      <c r="Z1076" s="11" t="n">
        <v>0</v>
      </c>
      <c r="AA1076" s="11" t="inlineStr">
        <is>
          <t>垫到90抽</t>
        </is>
      </c>
      <c r="AB1076" s="12">
        <f>AE1075</f>
        <v/>
      </c>
      <c r="AC1076" s="12" t="n">
        <v>4</v>
      </c>
      <c r="AD1076" s="12" t="n">
        <v>0</v>
      </c>
      <c r="AE1076" s="12">
        <f>AB1076+AC1076+AD1076</f>
        <v/>
      </c>
      <c r="AF1076" s="13">
        <f>AI1075</f>
        <v/>
      </c>
      <c r="AG1076" s="13" t="n">
        <v>0</v>
      </c>
      <c r="AH1076" s="13" t="n">
        <v>0</v>
      </c>
      <c r="AI1076" s="13">
        <f>AF1076+AG1076+AH1076</f>
        <v/>
      </c>
      <c r="AJ1076" s="14" t="n">
        <v>30</v>
      </c>
      <c r="AK1076" s="14" t="n">
        <v>50</v>
      </c>
      <c r="AL1076" s="14" t="n">
        <v>0</v>
      </c>
      <c r="AM1076" s="14">
        <f>AJ1076+AK1076+AL1076</f>
        <v/>
      </c>
      <c r="AN1076" s="14">
        <f>AN1075+AM1076</f>
        <v/>
      </c>
    </row>
    <row r="1077">
      <c r="A1077" s="8" t="n">
        <v>42</v>
      </c>
      <c r="B1077" s="8" t="n">
        <v>5</v>
      </c>
      <c r="C1077" s="8" t="n">
        <v>2</v>
      </c>
      <c r="D1077" s="8" t="inlineStr">
        <is>
          <t>月卡收益</t>
        </is>
      </c>
      <c r="E1077" s="9">
        <f>K1076</f>
        <v/>
      </c>
      <c r="F1077" s="9" t="n">
        <v>1540</v>
      </c>
      <c r="G1077" s="9" t="n">
        <v>0</v>
      </c>
      <c r="H1077" s="9" t="n">
        <v>0</v>
      </c>
      <c r="I1077" s="9" t="n">
        <v>0</v>
      </c>
      <c r="J1077" s="9" t="n">
        <v>12000</v>
      </c>
      <c r="K1077" s="9">
        <f>E1077+F1077+G1077+H1077+I1077-J1077</f>
        <v/>
      </c>
      <c r="L1077" s="10">
        <f>Q1076</f>
        <v/>
      </c>
      <c r="M1077" s="10" t="n">
        <v>0</v>
      </c>
      <c r="N1077" s="10" t="n">
        <v>11</v>
      </c>
      <c r="O1077" s="10">
        <f>J1077/160</f>
        <v/>
      </c>
      <c r="P1077" s="10" t="n">
        <v>90</v>
      </c>
      <c r="Q1077" s="10">
        <f>L1077+M1077+N1077+O1077-P1077</f>
        <v/>
      </c>
      <c r="R1077" s="11">
        <f>T1076</f>
        <v/>
      </c>
      <c r="S1077" s="11">
        <f>N(V1077) + N(X1077) + N(Z1077)</f>
        <v/>
      </c>
      <c r="T1077" s="11">
        <f>R1077+P1077-S1077</f>
        <v/>
      </c>
      <c r="U1077" s="11" t="inlineStr">
        <is>
          <t>是</t>
        </is>
      </c>
      <c r="V1077" s="11" t="n">
        <v>47</v>
      </c>
      <c r="W1077" s="11" t="inlineStr">
        <is>
          <t>是</t>
        </is>
      </c>
      <c r="X1077" s="11" t="n">
        <v>51</v>
      </c>
      <c r="Y1077" s="11" t="inlineStr">
        <is>
          <t>-</t>
        </is>
      </c>
      <c r="Z1077" s="11" t="n">
        <v>0</v>
      </c>
      <c r="AA1077" s="11" t="inlineStr">
        <is>
          <t>无</t>
        </is>
      </c>
      <c r="AB1077" s="12">
        <f>AE1076</f>
        <v/>
      </c>
      <c r="AC1077" s="12" t="n">
        <v>0</v>
      </c>
      <c r="AD1077" s="12" t="n">
        <v>0</v>
      </c>
      <c r="AE1077" s="12">
        <f>AB1077+AC1077+AD1077</f>
        <v/>
      </c>
      <c r="AF1077" s="13">
        <f>AI1076</f>
        <v/>
      </c>
      <c r="AG1077" s="13" t="n">
        <v>0</v>
      </c>
      <c r="AH1077" s="13" t="n">
        <v>0</v>
      </c>
      <c r="AI1077" s="13">
        <f>AF1077+AG1077+AH1077</f>
        <v/>
      </c>
      <c r="AJ1077" s="14" t="n">
        <v>0</v>
      </c>
      <c r="AK1077" s="14" t="n">
        <v>0</v>
      </c>
      <c r="AL1077" s="14" t="n">
        <v>0</v>
      </c>
      <c r="AM1077" s="14">
        <f>AJ1077+AK1077+AL1077</f>
        <v/>
      </c>
      <c r="AN1077" s="14">
        <f>AN1076+AM1077</f>
        <v/>
      </c>
    </row>
    <row r="1078">
      <c r="A1078" s="8" t="n">
        <v>42</v>
      </c>
      <c r="B1078" s="8" t="n">
        <v>6</v>
      </c>
      <c r="C1078" s="8" t="n">
        <v>1</v>
      </c>
      <c r="D1078" s="8" t="inlineStr">
        <is>
          <t>版本免费+义相逢 + 月卡收益 [月卡续费-30元]</t>
        </is>
      </c>
      <c r="E1078" s="9">
        <f>K1077</f>
        <v/>
      </c>
      <c r="F1078" s="9" t="n">
        <v>1540</v>
      </c>
      <c r="G1078" s="9" t="n">
        <v>4800</v>
      </c>
      <c r="H1078" s="9" t="n">
        <v>0</v>
      </c>
      <c r="I1078" s="9" t="n">
        <v>0</v>
      </c>
      <c r="J1078" s="9" t="n">
        <v>0</v>
      </c>
      <c r="K1078" s="9">
        <f>E1078+F1078+G1078+H1078+I1078-J1078</f>
        <v/>
      </c>
      <c r="L1078" s="10">
        <f>Q1077</f>
        <v/>
      </c>
      <c r="M1078" s="10" t="n">
        <v>85</v>
      </c>
      <c r="N1078" s="10" t="n">
        <v>6</v>
      </c>
      <c r="O1078" s="10">
        <f>J1078/160</f>
        <v/>
      </c>
      <c r="P1078" s="10" t="n">
        <v>60</v>
      </c>
      <c r="Q1078" s="10">
        <f>L1078+M1078+N1078+O1078-P1078</f>
        <v/>
      </c>
      <c r="R1078" s="11">
        <f>T1077</f>
        <v/>
      </c>
      <c r="S1078" s="11">
        <f>N(V1078) + N(X1078) + N(Z1078)</f>
        <v/>
      </c>
      <c r="T1078" s="11">
        <f>R1078+P1078-S1078</f>
        <v/>
      </c>
      <c r="U1078" s="11" t="inlineStr">
        <is>
          <t>是</t>
        </is>
      </c>
      <c r="V1078" s="11" t="n">
        <v>48</v>
      </c>
      <c r="W1078" s="11" t="inlineStr">
        <is>
          <t>否</t>
        </is>
      </c>
      <c r="X1078" s="11" t="inlineStr">
        <is>
          <t>-</t>
        </is>
      </c>
      <c r="Y1078" s="11" t="inlineStr">
        <is>
          <t>-</t>
        </is>
      </c>
      <c r="Z1078" s="11" t="n">
        <v>0</v>
      </c>
      <c r="AA1078" s="11" t="inlineStr">
        <is>
          <t>垫到60抽</t>
        </is>
      </c>
      <c r="AB1078" s="12">
        <f>AE1077</f>
        <v/>
      </c>
      <c r="AC1078" s="12" t="n">
        <v>4</v>
      </c>
      <c r="AD1078" s="12" t="n">
        <v>0</v>
      </c>
      <c r="AE1078" s="12">
        <f>AB1078+AC1078+AD1078</f>
        <v/>
      </c>
      <c r="AF1078" s="13">
        <f>AI1077</f>
        <v/>
      </c>
      <c r="AG1078" s="13" t="n">
        <v>0</v>
      </c>
      <c r="AH1078" s="13" t="n">
        <v>0</v>
      </c>
      <c r="AI1078" s="13">
        <f>AF1078+AG1078+AH1078</f>
        <v/>
      </c>
      <c r="AJ1078" s="14" t="n">
        <v>30</v>
      </c>
      <c r="AK1078" s="14" t="n">
        <v>50</v>
      </c>
      <c r="AL1078" s="14" t="n">
        <v>0</v>
      </c>
      <c r="AM1078" s="14">
        <f>AJ1078+AK1078+AL1078</f>
        <v/>
      </c>
      <c r="AN1078" s="14">
        <f>AN1077+AM1078</f>
        <v/>
      </c>
    </row>
    <row r="1079">
      <c r="A1079" s="8" t="n">
        <v>42</v>
      </c>
      <c r="B1079" s="8" t="n">
        <v>6</v>
      </c>
      <c r="C1079" s="8" t="n">
        <v>2</v>
      </c>
      <c r="D1079" s="8" t="inlineStr">
        <is>
          <t>月卡收益</t>
        </is>
      </c>
      <c r="E1079" s="9">
        <f>K1078</f>
        <v/>
      </c>
      <c r="F1079" s="9" t="n">
        <v>1540</v>
      </c>
      <c r="G1079" s="9" t="n">
        <v>0</v>
      </c>
      <c r="H1079" s="9" t="n">
        <v>0</v>
      </c>
      <c r="I1079" s="9" t="n">
        <v>0</v>
      </c>
      <c r="J1079" s="9" t="n">
        <v>7680</v>
      </c>
      <c r="K1079" s="9">
        <f>E1079+F1079+G1079+H1079+I1079-J1079</f>
        <v/>
      </c>
      <c r="L1079" s="10">
        <f>Q1078</f>
        <v/>
      </c>
      <c r="M1079" s="10" t="n">
        <v>0</v>
      </c>
      <c r="N1079" s="10" t="n">
        <v>11</v>
      </c>
      <c r="O1079" s="10">
        <f>J1079/160</f>
        <v/>
      </c>
      <c r="P1079" s="10" t="n">
        <v>90</v>
      </c>
      <c r="Q1079" s="10">
        <f>L1079+M1079+N1079+O1079-P1079</f>
        <v/>
      </c>
      <c r="R1079" s="11">
        <f>T1078</f>
        <v/>
      </c>
      <c r="S1079" s="11">
        <f>N(V1079) + N(X1079) + N(Z1079)</f>
        <v/>
      </c>
      <c r="T1079" s="11">
        <f>R1079+P1079-S1079</f>
        <v/>
      </c>
      <c r="U1079" s="11" t="inlineStr">
        <is>
          <t>是</t>
        </is>
      </c>
      <c r="V1079" s="11" t="n">
        <v>49</v>
      </c>
      <c r="W1079" s="11" t="inlineStr">
        <is>
          <t>是</t>
        </is>
      </c>
      <c r="X1079" s="11" t="n">
        <v>49</v>
      </c>
      <c r="Y1079" s="11" t="inlineStr">
        <is>
          <t>-</t>
        </is>
      </c>
      <c r="Z1079" s="11" t="n">
        <v>0</v>
      </c>
      <c r="AA1079" s="11" t="inlineStr">
        <is>
          <t>垫到90抽</t>
        </is>
      </c>
      <c r="AB1079" s="12">
        <f>AE1078</f>
        <v/>
      </c>
      <c r="AC1079" s="12" t="n">
        <v>0</v>
      </c>
      <c r="AD1079" s="12" t="n">
        <v>0</v>
      </c>
      <c r="AE1079" s="12">
        <f>AB1079+AC1079+AD1079</f>
        <v/>
      </c>
      <c r="AF1079" s="13">
        <f>AI1078</f>
        <v/>
      </c>
      <c r="AG1079" s="13" t="n">
        <v>0</v>
      </c>
      <c r="AH1079" s="13" t="n">
        <v>0</v>
      </c>
      <c r="AI1079" s="13">
        <f>AF1079+AG1079+AH1079</f>
        <v/>
      </c>
      <c r="AJ1079" s="14" t="n">
        <v>0</v>
      </c>
      <c r="AK1079" s="14" t="n">
        <v>0</v>
      </c>
      <c r="AL1079" s="14" t="n">
        <v>0</v>
      </c>
      <c r="AM1079" s="14">
        <f>AJ1079+AK1079+AL1079</f>
        <v/>
      </c>
      <c r="AN1079" s="14">
        <f>AN1078+AM1079</f>
        <v/>
      </c>
    </row>
    <row r="1080">
      <c r="A1080" s="8" t="n">
        <v>42</v>
      </c>
      <c r="B1080" s="8" t="n">
        <v>7</v>
      </c>
      <c r="C1080" s="8" t="n">
        <v>1</v>
      </c>
      <c r="D1080" s="8" t="inlineStr">
        <is>
          <t>版本免费+义相逢 + 月卡收益 [月卡续费-30元]</t>
        </is>
      </c>
      <c r="E1080" s="9">
        <f>K1079</f>
        <v/>
      </c>
      <c r="F1080" s="9" t="n">
        <v>1540</v>
      </c>
      <c r="G1080" s="9" t="n">
        <v>4800</v>
      </c>
      <c r="H1080" s="9" t="n">
        <v>0</v>
      </c>
      <c r="I1080" s="9" t="n">
        <v>0</v>
      </c>
      <c r="J1080" s="9" t="n">
        <v>0</v>
      </c>
      <c r="K1080" s="9">
        <f>E1080+F1080+G1080+H1080+I1080-J1080</f>
        <v/>
      </c>
      <c r="L1080" s="10">
        <f>Q1079</f>
        <v/>
      </c>
      <c r="M1080" s="10" t="n">
        <v>85</v>
      </c>
      <c r="N1080" s="10" t="n">
        <v>3</v>
      </c>
      <c r="O1080" s="10">
        <f>J1080/160</f>
        <v/>
      </c>
      <c r="P1080" s="10" t="n">
        <v>40</v>
      </c>
      <c r="Q1080" s="10">
        <f>L1080+M1080+N1080+O1080-P1080</f>
        <v/>
      </c>
      <c r="R1080" s="11">
        <f>T1079</f>
        <v/>
      </c>
      <c r="S1080" s="11">
        <f>N(V1080) + N(X1080) + N(Z1080)</f>
        <v/>
      </c>
      <c r="T1080" s="11">
        <f>R1080+P1080-S1080</f>
        <v/>
      </c>
      <c r="U1080" s="11" t="inlineStr">
        <is>
          <t>是</t>
        </is>
      </c>
      <c r="V1080" s="11" t="n">
        <v>47</v>
      </c>
      <c r="W1080" s="11" t="inlineStr">
        <is>
          <t>否</t>
        </is>
      </c>
      <c r="X1080" s="11" t="inlineStr">
        <is>
          <t>-</t>
        </is>
      </c>
      <c r="Y1080" s="11" t="inlineStr">
        <is>
          <t>-</t>
        </is>
      </c>
      <c r="Z1080" s="11" t="n">
        <v>0</v>
      </c>
      <c r="AA1080" s="11" t="inlineStr">
        <is>
          <t>无</t>
        </is>
      </c>
      <c r="AB1080" s="12">
        <f>AE1079</f>
        <v/>
      </c>
      <c r="AC1080" s="12" t="n">
        <v>4</v>
      </c>
      <c r="AD1080" s="12" t="n">
        <v>0</v>
      </c>
      <c r="AE1080" s="12">
        <f>AB1080+AC1080+AD1080</f>
        <v/>
      </c>
      <c r="AF1080" s="13">
        <f>AI1079</f>
        <v/>
      </c>
      <c r="AG1080" s="13" t="n">
        <v>0</v>
      </c>
      <c r="AH1080" s="13" t="n">
        <v>0</v>
      </c>
      <c r="AI1080" s="13">
        <f>AF1080+AG1080+AH1080</f>
        <v/>
      </c>
      <c r="AJ1080" s="14" t="n">
        <v>30</v>
      </c>
      <c r="AK1080" s="14" t="n">
        <v>50</v>
      </c>
      <c r="AL1080" s="14" t="n">
        <v>0</v>
      </c>
      <c r="AM1080" s="14">
        <f>AJ1080+AK1080+AL1080</f>
        <v/>
      </c>
      <c r="AN1080" s="14">
        <f>AN1079+AM1080</f>
        <v/>
      </c>
    </row>
    <row r="1081">
      <c r="A1081" s="8" t="n">
        <v>42</v>
      </c>
      <c r="B1081" s="8" t="n">
        <v>7</v>
      </c>
      <c r="C1081" s="8" t="n">
        <v>2</v>
      </c>
      <c r="D1081" s="8" t="inlineStr">
        <is>
          <t>月卡收益</t>
        </is>
      </c>
      <c r="E1081" s="9">
        <f>K1080</f>
        <v/>
      </c>
      <c r="F1081" s="9" t="n">
        <v>1540</v>
      </c>
      <c r="G1081" s="9" t="n">
        <v>0</v>
      </c>
      <c r="H1081" s="9" t="n">
        <v>0</v>
      </c>
      <c r="I1081" s="9" t="n">
        <v>0</v>
      </c>
      <c r="J1081" s="9" t="n">
        <v>640</v>
      </c>
      <c r="K1081" s="9">
        <f>E1081+F1081+G1081+H1081+I1081-J1081</f>
        <v/>
      </c>
      <c r="L1081" s="10">
        <f>Q1080</f>
        <v/>
      </c>
      <c r="M1081" s="10" t="n">
        <v>0</v>
      </c>
      <c r="N1081" s="10" t="n">
        <v>6</v>
      </c>
      <c r="O1081" s="10">
        <f>J1081/160</f>
        <v/>
      </c>
      <c r="P1081" s="10" t="n">
        <v>60</v>
      </c>
      <c r="Q1081" s="10">
        <f>L1081+M1081+N1081+O1081-P1081</f>
        <v/>
      </c>
      <c r="R1081" s="11">
        <f>T1080</f>
        <v/>
      </c>
      <c r="S1081" s="11">
        <f>N(V1081) + N(X1081) + N(Z1081)</f>
        <v/>
      </c>
      <c r="T1081" s="11">
        <f>R1081+P1081-S1081</f>
        <v/>
      </c>
      <c r="U1081" s="11" t="inlineStr">
        <is>
          <t>是</t>
        </is>
      </c>
      <c r="V1081" s="11" t="n">
        <v>52</v>
      </c>
      <c r="W1081" s="11" t="inlineStr">
        <is>
          <t>否</t>
        </is>
      </c>
      <c r="X1081" s="11" t="inlineStr">
        <is>
          <t>-</t>
        </is>
      </c>
      <c r="Y1081" s="11" t="inlineStr">
        <is>
          <t>-</t>
        </is>
      </c>
      <c r="Z1081" s="11" t="n">
        <v>0</v>
      </c>
      <c r="AA1081" s="11" t="inlineStr">
        <is>
          <t>垫到60抽</t>
        </is>
      </c>
      <c r="AB1081" s="12">
        <f>AE1080</f>
        <v/>
      </c>
      <c r="AC1081" s="12" t="n">
        <v>0</v>
      </c>
      <c r="AD1081" s="12" t="n">
        <v>0</v>
      </c>
      <c r="AE1081" s="12">
        <f>AB1081+AC1081+AD1081</f>
        <v/>
      </c>
      <c r="AF1081" s="13">
        <f>AI1080</f>
        <v/>
      </c>
      <c r="AG1081" s="13" t="n">
        <v>0</v>
      </c>
      <c r="AH1081" s="13" t="n">
        <v>0</v>
      </c>
      <c r="AI1081" s="13">
        <f>AF1081+AG1081+AH1081</f>
        <v/>
      </c>
      <c r="AJ1081" s="14" t="n">
        <v>0</v>
      </c>
      <c r="AK1081" s="14" t="n">
        <v>0</v>
      </c>
      <c r="AL1081" s="14" t="n">
        <v>0</v>
      </c>
      <c r="AM1081" s="14">
        <f>AJ1081+AK1081+AL1081</f>
        <v/>
      </c>
      <c r="AN1081" s="14">
        <f>AN1080+AM1081</f>
        <v/>
      </c>
    </row>
    <row r="1082">
      <c r="A1082" s="8" t="n">
        <v>42</v>
      </c>
      <c r="B1082" s="8" t="n">
        <v>8</v>
      </c>
      <c r="C1082" s="8" t="n">
        <v>1</v>
      </c>
      <c r="D1082" s="8" t="inlineStr">
        <is>
          <t>版本免费+义相逢 + 月卡收益</t>
        </is>
      </c>
      <c r="E1082" s="9">
        <f>K1081</f>
        <v/>
      </c>
      <c r="F1082" s="9" t="n">
        <v>1540</v>
      </c>
      <c r="G1082" s="9" t="n">
        <v>4800</v>
      </c>
      <c r="H1082" s="9" t="n">
        <v>0</v>
      </c>
      <c r="I1082" s="9" t="n">
        <v>0</v>
      </c>
      <c r="J1082" s="9" t="n">
        <v>0</v>
      </c>
      <c r="K1082" s="9">
        <f>E1082+F1082+G1082+H1082+I1082-J1082</f>
        <v/>
      </c>
      <c r="L1082" s="10">
        <f>Q1081</f>
        <v/>
      </c>
      <c r="M1082" s="10" t="n">
        <v>85</v>
      </c>
      <c r="N1082" s="10" t="n">
        <v>11</v>
      </c>
      <c r="O1082" s="10">
        <f>J1082/160</f>
        <v/>
      </c>
      <c r="P1082" s="10" t="n">
        <v>90</v>
      </c>
      <c r="Q1082" s="10">
        <f>L1082+M1082+N1082+O1082-P1082</f>
        <v/>
      </c>
      <c r="R1082" s="11">
        <f>T1081</f>
        <v/>
      </c>
      <c r="S1082" s="11">
        <f>N(V1082) + N(X1082) + N(Z1082)</f>
        <v/>
      </c>
      <c r="T1082" s="11">
        <f>R1082+P1082-S1082</f>
        <v/>
      </c>
      <c r="U1082" s="11" t="inlineStr">
        <is>
          <t>是</t>
        </is>
      </c>
      <c r="V1082" s="11" t="n">
        <v>48</v>
      </c>
      <c r="W1082" s="11" t="inlineStr">
        <is>
          <t>是</t>
        </is>
      </c>
      <c r="X1082" s="11" t="n">
        <v>51</v>
      </c>
      <c r="Y1082" s="11" t="inlineStr">
        <is>
          <t>-</t>
        </is>
      </c>
      <c r="Z1082" s="11" t="n">
        <v>0</v>
      </c>
      <c r="AA1082" s="11" t="inlineStr">
        <is>
          <t>无</t>
        </is>
      </c>
      <c r="AB1082" s="12">
        <f>AE1081</f>
        <v/>
      </c>
      <c r="AC1082" s="12" t="n">
        <v>4</v>
      </c>
      <c r="AD1082" s="12" t="n">
        <v>0</v>
      </c>
      <c r="AE1082" s="12">
        <f>AB1082+AC1082+AD1082</f>
        <v/>
      </c>
      <c r="AF1082" s="13">
        <f>AI1081</f>
        <v/>
      </c>
      <c r="AG1082" s="13" t="n">
        <v>0</v>
      </c>
      <c r="AH1082" s="13" t="n">
        <v>0</v>
      </c>
      <c r="AI1082" s="13">
        <f>AF1082+AG1082+AH1082</f>
        <v/>
      </c>
      <c r="AJ1082" s="14" t="n">
        <v>0</v>
      </c>
      <c r="AK1082" s="14" t="n">
        <v>50</v>
      </c>
      <c r="AL1082" s="14" t="n">
        <v>0</v>
      </c>
      <c r="AM1082" s="14">
        <f>AJ1082+AK1082+AL1082</f>
        <v/>
      </c>
      <c r="AN1082" s="14">
        <f>AN1081+AM1082</f>
        <v/>
      </c>
    </row>
    <row r="1083">
      <c r="A1083" s="8" t="n">
        <v>42</v>
      </c>
      <c r="B1083" s="8" t="n">
        <v>8</v>
      </c>
      <c r="C1083" s="8" t="n">
        <v>2</v>
      </c>
      <c r="D1083" s="8" t="inlineStr">
        <is>
          <t>月卡收益 [月卡续费-30元]</t>
        </is>
      </c>
      <c r="E1083" s="9">
        <f>K1082</f>
        <v/>
      </c>
      <c r="F1083" s="9" t="n">
        <v>1540</v>
      </c>
      <c r="G1083" s="9" t="n">
        <v>0</v>
      </c>
      <c r="H1083" s="9" t="n">
        <v>0</v>
      </c>
      <c r="I1083" s="9" t="n">
        <v>0</v>
      </c>
      <c r="J1083" s="9" t="n">
        <v>7680</v>
      </c>
      <c r="K1083" s="9">
        <f>E1083+F1083+G1083+H1083+I1083-J1083</f>
        <v/>
      </c>
      <c r="L1083" s="10">
        <f>Q1082</f>
        <v/>
      </c>
      <c r="M1083" s="10" t="n">
        <v>0</v>
      </c>
      <c r="N1083" s="10" t="n">
        <v>6</v>
      </c>
      <c r="O1083" s="10">
        <f>J1083/160</f>
        <v/>
      </c>
      <c r="P1083" s="10" t="n">
        <v>60</v>
      </c>
      <c r="Q1083" s="10">
        <f>L1083+M1083+N1083+O1083-P1083</f>
        <v/>
      </c>
      <c r="R1083" s="11">
        <f>T1082</f>
        <v/>
      </c>
      <c r="S1083" s="11">
        <f>N(V1083) + N(X1083) + N(Z1083)</f>
        <v/>
      </c>
      <c r="T1083" s="11">
        <f>R1083+P1083-S1083</f>
        <v/>
      </c>
      <c r="U1083" s="11" t="inlineStr">
        <is>
          <t>是</t>
        </is>
      </c>
      <c r="V1083" s="11" t="n">
        <v>48</v>
      </c>
      <c r="W1083" s="11" t="inlineStr">
        <is>
          <t>否</t>
        </is>
      </c>
      <c r="X1083" s="11" t="inlineStr">
        <is>
          <t>-</t>
        </is>
      </c>
      <c r="Y1083" s="11" t="inlineStr">
        <is>
          <t>-</t>
        </is>
      </c>
      <c r="Z1083" s="11" t="n">
        <v>0</v>
      </c>
      <c r="AA1083" s="11" t="inlineStr">
        <is>
          <t>垫到60抽</t>
        </is>
      </c>
      <c r="AB1083" s="12">
        <f>AE1082</f>
        <v/>
      </c>
      <c r="AC1083" s="12" t="n">
        <v>0</v>
      </c>
      <c r="AD1083" s="12" t="n">
        <v>0</v>
      </c>
      <c r="AE1083" s="12">
        <f>AB1083+AC1083+AD1083</f>
        <v/>
      </c>
      <c r="AF1083" s="13">
        <f>AI1082</f>
        <v/>
      </c>
      <c r="AG1083" s="13" t="n">
        <v>0</v>
      </c>
      <c r="AH1083" s="13" t="n">
        <v>0</v>
      </c>
      <c r="AI1083" s="13">
        <f>AF1083+AG1083+AH1083</f>
        <v/>
      </c>
      <c r="AJ1083" s="14" t="n">
        <v>30</v>
      </c>
      <c r="AK1083" s="14" t="n">
        <v>0</v>
      </c>
      <c r="AL1083" s="14" t="n">
        <v>0</v>
      </c>
      <c r="AM1083" s="14">
        <f>AJ1083+AK1083+AL1083</f>
        <v/>
      </c>
      <c r="AN1083" s="14">
        <f>AN1082+AM1083</f>
        <v/>
      </c>
    </row>
    <row r="1084">
      <c r="A1084" s="8" t="n">
        <v>42</v>
      </c>
      <c r="B1084" s="8" t="n">
        <v>9</v>
      </c>
      <c r="C1084" s="8" t="n">
        <v>1</v>
      </c>
      <c r="D1084" s="8" t="inlineStr">
        <is>
          <t>版本免费+义相逢 + 月卡收益</t>
        </is>
      </c>
      <c r="E1084" s="9">
        <f>K1083</f>
        <v/>
      </c>
      <c r="F1084" s="9" t="n">
        <v>1540</v>
      </c>
      <c r="G1084" s="9" t="n">
        <v>4800</v>
      </c>
      <c r="H1084" s="9" t="n">
        <v>0</v>
      </c>
      <c r="I1084" s="9" t="n">
        <v>0</v>
      </c>
      <c r="J1084" s="9" t="n">
        <v>0</v>
      </c>
      <c r="K1084" s="9">
        <f>E1084+F1084+G1084+H1084+I1084-J1084</f>
        <v/>
      </c>
      <c r="L1084" s="10">
        <f>Q1083</f>
        <v/>
      </c>
      <c r="M1084" s="10" t="n">
        <v>85</v>
      </c>
      <c r="N1084" s="10" t="n">
        <v>6</v>
      </c>
      <c r="O1084" s="10">
        <f>J1084/160</f>
        <v/>
      </c>
      <c r="P1084" s="10" t="n">
        <v>60</v>
      </c>
      <c r="Q1084" s="10">
        <f>L1084+M1084+N1084+O1084-P1084</f>
        <v/>
      </c>
      <c r="R1084" s="11">
        <f>T1083</f>
        <v/>
      </c>
      <c r="S1084" s="11">
        <f>N(V1084) + N(X1084) + N(Z1084)</f>
        <v/>
      </c>
      <c r="T1084" s="11">
        <f>R1084+P1084-S1084</f>
        <v/>
      </c>
      <c r="U1084" s="11" t="inlineStr">
        <is>
          <t>是</t>
        </is>
      </c>
      <c r="V1084" s="11" t="n">
        <v>16</v>
      </c>
      <c r="W1084" s="11" t="inlineStr">
        <is>
          <t>是</t>
        </is>
      </c>
      <c r="X1084" s="11" t="n">
        <v>52</v>
      </c>
      <c r="Y1084" s="11" t="inlineStr">
        <is>
          <t>-</t>
        </is>
      </c>
      <c r="Z1084" s="11" t="n">
        <v>0</v>
      </c>
      <c r="AA1084" s="11" t="inlineStr">
        <is>
          <t>无</t>
        </is>
      </c>
      <c r="AB1084" s="12">
        <f>AE1083</f>
        <v/>
      </c>
      <c r="AC1084" s="12" t="n">
        <v>4</v>
      </c>
      <c r="AD1084" s="12" t="n">
        <v>0</v>
      </c>
      <c r="AE1084" s="12">
        <f>AB1084+AC1084+AD1084</f>
        <v/>
      </c>
      <c r="AF1084" s="13">
        <f>AI1083</f>
        <v/>
      </c>
      <c r="AG1084" s="13" t="n">
        <v>0</v>
      </c>
      <c r="AH1084" s="13" t="n">
        <v>0</v>
      </c>
      <c r="AI1084" s="13">
        <f>AF1084+AG1084+AH1084</f>
        <v/>
      </c>
      <c r="AJ1084" s="14" t="n">
        <v>0</v>
      </c>
      <c r="AK1084" s="14" t="n">
        <v>50</v>
      </c>
      <c r="AL1084" s="14" t="n">
        <v>0</v>
      </c>
      <c r="AM1084" s="14">
        <f>AJ1084+AK1084+AL1084</f>
        <v/>
      </c>
      <c r="AN1084" s="14">
        <f>AN1083+AM1084</f>
        <v/>
      </c>
    </row>
    <row r="1085">
      <c r="A1085" s="8" t="n">
        <v>42</v>
      </c>
      <c r="B1085" s="8" t="n">
        <v>9</v>
      </c>
      <c r="C1085" s="8" t="n">
        <v>2</v>
      </c>
      <c r="D1085" s="8" t="inlineStr">
        <is>
          <t>月卡收益 [月卡续费-30元]</t>
        </is>
      </c>
      <c r="E1085" s="9">
        <f>K1084</f>
        <v/>
      </c>
      <c r="F1085" s="9" t="n">
        <v>1540</v>
      </c>
      <c r="G1085" s="9" t="n">
        <v>0</v>
      </c>
      <c r="H1085" s="9" t="n">
        <v>0</v>
      </c>
      <c r="I1085" s="9" t="n">
        <v>0</v>
      </c>
      <c r="J1085" s="9" t="n">
        <v>0</v>
      </c>
      <c r="K1085" s="9">
        <f>E1085+F1085+G1085+H1085+I1085-J1085</f>
        <v/>
      </c>
      <c r="L1085" s="10">
        <f>Q1084</f>
        <v/>
      </c>
      <c r="M1085" s="10" t="n">
        <v>0</v>
      </c>
      <c r="N1085" s="10" t="n">
        <v>1</v>
      </c>
      <c r="O1085" s="10">
        <f>J1085/160</f>
        <v/>
      </c>
      <c r="P1085" s="10" t="n">
        <v>10</v>
      </c>
      <c r="Q1085" s="10">
        <f>L1085+M1085+N1085+O1085-P1085</f>
        <v/>
      </c>
      <c r="R1085" s="11">
        <f>T1084</f>
        <v/>
      </c>
      <c r="S1085" s="11">
        <f>N(V1085) + N(X1085) + N(Z1085)</f>
        <v/>
      </c>
      <c r="T1085" s="11">
        <f>R1085+P1085-S1085</f>
        <v/>
      </c>
      <c r="U1085" s="11" t="inlineStr">
        <is>
          <t>是</t>
        </is>
      </c>
      <c r="V1085" s="11" t="n">
        <v>15</v>
      </c>
      <c r="W1085" s="11" t="inlineStr">
        <is>
          <t>否</t>
        </is>
      </c>
      <c r="X1085" s="11" t="inlineStr">
        <is>
          <t>-</t>
        </is>
      </c>
      <c r="Y1085" s="11" t="inlineStr">
        <is>
          <t>-</t>
        </is>
      </c>
      <c r="Z1085" s="11" t="n">
        <v>0</v>
      </c>
      <c r="AA1085" s="11" t="inlineStr">
        <is>
          <t>无</t>
        </is>
      </c>
      <c r="AB1085" s="12">
        <f>AE1084</f>
        <v/>
      </c>
      <c r="AC1085" s="12" t="n">
        <v>0</v>
      </c>
      <c r="AD1085" s="12" t="n">
        <v>0</v>
      </c>
      <c r="AE1085" s="12">
        <f>AB1085+AC1085+AD1085</f>
        <v/>
      </c>
      <c r="AF1085" s="13">
        <f>AI1084</f>
        <v/>
      </c>
      <c r="AG1085" s="13" t="n">
        <v>0</v>
      </c>
      <c r="AH1085" s="13" t="n">
        <v>0</v>
      </c>
      <c r="AI1085" s="13">
        <f>AF1085+AG1085+AH1085</f>
        <v/>
      </c>
      <c r="AJ1085" s="14" t="n">
        <v>30</v>
      </c>
      <c r="AK1085" s="14" t="n">
        <v>0</v>
      </c>
      <c r="AL1085" s="14" t="n">
        <v>0</v>
      </c>
      <c r="AM1085" s="14">
        <f>AJ1085+AK1085+AL1085</f>
        <v/>
      </c>
      <c r="AN1085" s="14">
        <f>AN1084+AM1085</f>
        <v/>
      </c>
    </row>
    <row r="1086">
      <c r="A1086" s="8" t="n">
        <v>42</v>
      </c>
      <c r="B1086" s="8" t="n">
        <v>10</v>
      </c>
      <c r="C1086" s="8" t="n">
        <v>1</v>
      </c>
      <c r="D1086" s="8" t="inlineStr">
        <is>
          <t>版本免费+义相逢 + 月卡收益</t>
        </is>
      </c>
      <c r="E1086" s="9">
        <f>K1085</f>
        <v/>
      </c>
      <c r="F1086" s="9" t="n">
        <v>1540</v>
      </c>
      <c r="G1086" s="9" t="n">
        <v>4800</v>
      </c>
      <c r="H1086" s="9" t="n">
        <v>0</v>
      </c>
      <c r="I1086" s="9" t="n">
        <v>0</v>
      </c>
      <c r="J1086" s="9" t="n">
        <v>0</v>
      </c>
      <c r="K1086" s="9">
        <f>E1086+F1086+G1086+H1086+I1086-J1086</f>
        <v/>
      </c>
      <c r="L1086" s="10">
        <f>Q1085</f>
        <v/>
      </c>
      <c r="M1086" s="10" t="n">
        <v>85</v>
      </c>
      <c r="N1086" s="10" t="n">
        <v>6</v>
      </c>
      <c r="O1086" s="10">
        <f>J1086/160</f>
        <v/>
      </c>
      <c r="P1086" s="10" t="n">
        <v>60</v>
      </c>
      <c r="Q1086" s="10">
        <f>L1086+M1086+N1086+O1086-P1086</f>
        <v/>
      </c>
      <c r="R1086" s="11">
        <f>T1085</f>
        <v/>
      </c>
      <c r="S1086" s="11">
        <f>N(V1086) + N(X1086) + N(Z1086)</f>
        <v/>
      </c>
      <c r="T1086" s="11">
        <f>R1086+P1086-S1086</f>
        <v/>
      </c>
      <c r="U1086" s="11" t="inlineStr">
        <is>
          <t>是</t>
        </is>
      </c>
      <c r="V1086" s="11" t="n">
        <v>49</v>
      </c>
      <c r="W1086" s="11" t="inlineStr">
        <is>
          <t>否</t>
        </is>
      </c>
      <c r="X1086" s="11" t="inlineStr">
        <is>
          <t>-</t>
        </is>
      </c>
      <c r="Y1086" s="11" t="inlineStr">
        <is>
          <t>-</t>
        </is>
      </c>
      <c r="Z1086" s="11" t="n">
        <v>0</v>
      </c>
      <c r="AA1086" s="11" t="inlineStr">
        <is>
          <t>垫到60抽</t>
        </is>
      </c>
      <c r="AB1086" s="12">
        <f>AE1085</f>
        <v/>
      </c>
      <c r="AC1086" s="12" t="n">
        <v>4</v>
      </c>
      <c r="AD1086" s="12" t="n">
        <v>0</v>
      </c>
      <c r="AE1086" s="12">
        <f>AB1086+AC1086+AD1086</f>
        <v/>
      </c>
      <c r="AF1086" s="13">
        <f>AI1085</f>
        <v/>
      </c>
      <c r="AG1086" s="13" t="n">
        <v>0</v>
      </c>
      <c r="AH1086" s="13" t="n">
        <v>0</v>
      </c>
      <c r="AI1086" s="13">
        <f>AF1086+AG1086+AH1086</f>
        <v/>
      </c>
      <c r="AJ1086" s="14" t="n">
        <v>0</v>
      </c>
      <c r="AK1086" s="14" t="n">
        <v>50</v>
      </c>
      <c r="AL1086" s="14" t="n">
        <v>0</v>
      </c>
      <c r="AM1086" s="14">
        <f>AJ1086+AK1086+AL1086</f>
        <v/>
      </c>
      <c r="AN1086" s="14">
        <f>AN1085+AM1086</f>
        <v/>
      </c>
    </row>
    <row r="1087">
      <c r="A1087" s="8" t="n">
        <v>42</v>
      </c>
      <c r="B1087" s="8" t="n">
        <v>10</v>
      </c>
      <c r="C1087" s="8" t="n">
        <v>2</v>
      </c>
      <c r="D1087" s="8" t="inlineStr">
        <is>
          <t>月卡收益 [月卡续费-30元]</t>
        </is>
      </c>
      <c r="E1087" s="9">
        <f>K1086</f>
        <v/>
      </c>
      <c r="F1087" s="9" t="n">
        <v>1540</v>
      </c>
      <c r="G1087" s="9" t="n">
        <v>0</v>
      </c>
      <c r="H1087" s="9" t="n">
        <v>0</v>
      </c>
      <c r="I1087" s="9" t="n">
        <v>0</v>
      </c>
      <c r="J1087" s="9" t="n">
        <v>0</v>
      </c>
      <c r="K1087" s="9">
        <f>E1087+F1087+G1087+H1087+I1087-J1087</f>
        <v/>
      </c>
      <c r="L1087" s="10">
        <f>Q1086</f>
        <v/>
      </c>
      <c r="M1087" s="10" t="n">
        <v>0</v>
      </c>
      <c r="N1087" s="10" t="n">
        <v>3</v>
      </c>
      <c r="O1087" s="10">
        <f>J1087/160</f>
        <v/>
      </c>
      <c r="P1087" s="10" t="n">
        <v>40</v>
      </c>
      <c r="Q1087" s="10">
        <f>L1087+M1087+N1087+O1087-P1087</f>
        <v/>
      </c>
      <c r="R1087" s="11">
        <f>T1086</f>
        <v/>
      </c>
      <c r="S1087" s="11">
        <f>N(V1087) + N(X1087) + N(Z1087)</f>
        <v/>
      </c>
      <c r="T1087" s="11">
        <f>R1087+P1087-S1087</f>
        <v/>
      </c>
      <c r="U1087" s="11" t="inlineStr">
        <is>
          <t>是</t>
        </is>
      </c>
      <c r="V1087" s="11" t="n">
        <v>48</v>
      </c>
      <c r="W1087" s="11" t="inlineStr">
        <is>
          <t>否</t>
        </is>
      </c>
      <c r="X1087" s="11" t="inlineStr">
        <is>
          <t>-</t>
        </is>
      </c>
      <c r="Y1087" s="11" t="inlineStr">
        <is>
          <t>-</t>
        </is>
      </c>
      <c r="Z1087" s="11" t="n">
        <v>0</v>
      </c>
      <c r="AA1087" s="11" t="inlineStr">
        <is>
          <t>无</t>
        </is>
      </c>
      <c r="AB1087" s="12">
        <f>AE1086</f>
        <v/>
      </c>
      <c r="AC1087" s="12" t="n">
        <v>0</v>
      </c>
      <c r="AD1087" s="12" t="n">
        <v>0</v>
      </c>
      <c r="AE1087" s="12">
        <f>AB1087+AC1087+AD1087</f>
        <v/>
      </c>
      <c r="AF1087" s="13">
        <f>AI1086</f>
        <v/>
      </c>
      <c r="AG1087" s="13" t="n">
        <v>0</v>
      </c>
      <c r="AH1087" s="13" t="n">
        <v>0</v>
      </c>
      <c r="AI1087" s="13">
        <f>AF1087+AG1087+AH1087</f>
        <v/>
      </c>
      <c r="AJ1087" s="14" t="n">
        <v>30</v>
      </c>
      <c r="AK1087" s="14" t="n">
        <v>0</v>
      </c>
      <c r="AL1087" s="14" t="n">
        <v>0</v>
      </c>
      <c r="AM1087" s="14">
        <f>AJ1087+AK1087+AL1087</f>
        <v/>
      </c>
      <c r="AN1087" s="14">
        <f>AN1086+AM1087</f>
        <v/>
      </c>
    </row>
    <row r="1088">
      <c r="A1088" s="8" t="n">
        <v>42</v>
      </c>
      <c r="B1088" s="8" t="n">
        <v>11</v>
      </c>
      <c r="C1088" s="8" t="n">
        <v>1</v>
      </c>
      <c r="D1088" s="8" t="inlineStr">
        <is>
          <t>版本免费+义相逢 + 月卡收益</t>
        </is>
      </c>
      <c r="E1088" s="9">
        <f>K1087</f>
        <v/>
      </c>
      <c r="F1088" s="9" t="n">
        <v>1540</v>
      </c>
      <c r="G1088" s="9" t="n">
        <v>4800</v>
      </c>
      <c r="H1088" s="9" t="n">
        <v>0</v>
      </c>
      <c r="I1088" s="9" t="n">
        <v>0</v>
      </c>
      <c r="J1088" s="9" t="n">
        <v>12000</v>
      </c>
      <c r="K1088" s="9">
        <f>E1088+F1088+G1088+H1088+I1088-J1088</f>
        <v/>
      </c>
      <c r="L1088" s="10">
        <f>Q1087</f>
        <v/>
      </c>
      <c r="M1088" s="10" t="n">
        <v>85</v>
      </c>
      <c r="N1088" s="10" t="n">
        <v>21</v>
      </c>
      <c r="O1088" s="10">
        <f>J1088/160</f>
        <v/>
      </c>
      <c r="P1088" s="10" t="n">
        <v>200</v>
      </c>
      <c r="Q1088" s="10">
        <f>L1088+M1088+N1088+O1088-P1088</f>
        <v/>
      </c>
      <c r="R1088" s="11">
        <f>T1087</f>
        <v/>
      </c>
      <c r="S1088" s="11">
        <f>N(V1088) + N(X1088) + N(Z1088)</f>
        <v/>
      </c>
      <c r="T1088" s="11">
        <f>R1088+P1088-S1088</f>
        <v/>
      </c>
      <c r="U1088" s="11" t="inlineStr">
        <is>
          <t>是</t>
        </is>
      </c>
      <c r="V1088" s="11" t="n">
        <v>46</v>
      </c>
      <c r="W1088" s="11" t="inlineStr">
        <is>
          <t>是</t>
        </is>
      </c>
      <c r="X1088" s="11" t="n">
        <v>50</v>
      </c>
      <c r="Y1088" s="11" t="inlineStr">
        <is>
          <t>歪(50), UP(49)</t>
        </is>
      </c>
      <c r="Z1088" s="11" t="n">
        <v>99</v>
      </c>
      <c r="AA1088" s="11" t="inlineStr">
        <is>
          <t>冲刺200(动态100)</t>
        </is>
      </c>
      <c r="AB1088" s="12">
        <f>AE1087</f>
        <v/>
      </c>
      <c r="AC1088" s="12" t="n">
        <v>4</v>
      </c>
      <c r="AD1088" s="12" t="n">
        <v>1</v>
      </c>
      <c r="AE1088" s="12">
        <f>AB1088+AC1088+AD1088</f>
        <v/>
      </c>
      <c r="AF1088" s="13">
        <f>AI1087</f>
        <v/>
      </c>
      <c r="AG1088" s="13" t="n">
        <v>0</v>
      </c>
      <c r="AH1088" s="13" t="n">
        <v>5000</v>
      </c>
      <c r="AI1088" s="13">
        <f>AF1088+AG1088+AH1088</f>
        <v/>
      </c>
      <c r="AJ1088" s="14" t="n">
        <v>0</v>
      </c>
      <c r="AK1088" s="14" t="n">
        <v>50</v>
      </c>
      <c r="AL1088" s="14" t="n">
        <v>0</v>
      </c>
      <c r="AM1088" s="14">
        <f>AJ1088+AK1088+AL1088</f>
        <v/>
      </c>
      <c r="AN1088" s="14">
        <f>AN1087+AM1088</f>
        <v/>
      </c>
    </row>
    <row r="1089">
      <c r="A1089" s="8" t="n">
        <v>42</v>
      </c>
      <c r="B1089" s="8" t="n">
        <v>11</v>
      </c>
      <c r="C1089" s="8" t="n">
        <v>2</v>
      </c>
      <c r="D1089" s="8" t="inlineStr">
        <is>
          <t>月卡收益 [月卡续费-30元]</t>
        </is>
      </c>
      <c r="E1089" s="9">
        <f>K1088</f>
        <v/>
      </c>
      <c r="F1089" s="9" t="n">
        <v>1540</v>
      </c>
      <c r="G1089" s="9" t="n">
        <v>0</v>
      </c>
      <c r="H1089" s="9" t="n">
        <v>0</v>
      </c>
      <c r="I1089" s="9" t="n">
        <v>0</v>
      </c>
      <c r="J1089" s="9" t="n">
        <v>14240</v>
      </c>
      <c r="K1089" s="9">
        <f>E1089+F1089+G1089+H1089+I1089-J1089</f>
        <v/>
      </c>
      <c r="L1089" s="10">
        <f>Q1088</f>
        <v/>
      </c>
      <c r="M1089" s="10" t="n">
        <v>0</v>
      </c>
      <c r="N1089" s="10" t="n">
        <v>11</v>
      </c>
      <c r="O1089" s="10">
        <f>J1089/160</f>
        <v/>
      </c>
      <c r="P1089" s="10" t="n">
        <v>100</v>
      </c>
      <c r="Q1089" s="10">
        <f>L1089+M1089+N1089+O1089-P1089</f>
        <v/>
      </c>
      <c r="R1089" s="11">
        <f>T1088</f>
        <v/>
      </c>
      <c r="S1089" s="11">
        <f>N(V1089) + N(X1089) + N(Z1089)</f>
        <v/>
      </c>
      <c r="T1089" s="11">
        <f>R1089+P1089-S1089</f>
        <v/>
      </c>
      <c r="U1089" s="11" t="inlineStr">
        <is>
          <t>是</t>
        </is>
      </c>
      <c r="V1089" s="11" t="n">
        <v>53</v>
      </c>
      <c r="W1089" s="11" t="inlineStr">
        <is>
          <t>是</t>
        </is>
      </c>
      <c r="X1089" s="11" t="n">
        <v>50</v>
      </c>
      <c r="Y1089" s="11" t="inlineStr">
        <is>
          <t>-</t>
        </is>
      </c>
      <c r="Z1089" s="11" t="n">
        <v>0</v>
      </c>
      <c r="AA1089" s="11" t="inlineStr">
        <is>
          <t>无</t>
        </is>
      </c>
      <c r="AB1089" s="12">
        <f>AE1088</f>
        <v/>
      </c>
      <c r="AC1089" s="12" t="n">
        <v>0</v>
      </c>
      <c r="AD1089" s="12" t="n">
        <v>0</v>
      </c>
      <c r="AE1089" s="12">
        <f>AB1089+AC1089+AD1089</f>
        <v/>
      </c>
      <c r="AF1089" s="13">
        <f>AI1088</f>
        <v/>
      </c>
      <c r="AG1089" s="13" t="n">
        <v>0</v>
      </c>
      <c r="AH1089" s="13" t="n">
        <v>0</v>
      </c>
      <c r="AI1089" s="13">
        <f>AF1089+AG1089+AH1089</f>
        <v/>
      </c>
      <c r="AJ1089" s="14" t="n">
        <v>30</v>
      </c>
      <c r="AK1089" s="14" t="n">
        <v>0</v>
      </c>
      <c r="AL1089" s="14" t="n">
        <v>0</v>
      </c>
      <c r="AM1089" s="14">
        <f>AJ1089+AK1089+AL1089</f>
        <v/>
      </c>
      <c r="AN1089" s="14">
        <f>AN1088+AM1089</f>
        <v/>
      </c>
    </row>
    <row r="1090">
      <c r="A1090" s="8" t="n">
        <v>42</v>
      </c>
      <c r="B1090" s="8" t="n">
        <v>12</v>
      </c>
      <c r="C1090" s="8" t="n">
        <v>1</v>
      </c>
      <c r="D1090" s="8" t="inlineStr">
        <is>
          <t>版本免费+义相逢 + 月卡收益</t>
        </is>
      </c>
      <c r="E1090" s="9">
        <f>K1089</f>
        <v/>
      </c>
      <c r="F1090" s="9" t="n">
        <v>1540</v>
      </c>
      <c r="G1090" s="9" t="n">
        <v>4800</v>
      </c>
      <c r="H1090" s="9" t="n">
        <v>0</v>
      </c>
      <c r="I1090" s="9" t="n">
        <v>0</v>
      </c>
      <c r="J1090" s="9" t="n">
        <v>0</v>
      </c>
      <c r="K1090" s="9">
        <f>E1090+F1090+G1090+H1090+I1090-J1090</f>
        <v/>
      </c>
      <c r="L1090" s="10">
        <f>Q1089</f>
        <v/>
      </c>
      <c r="M1090" s="10" t="n">
        <v>85</v>
      </c>
      <c r="N1090" s="10" t="n">
        <v>1</v>
      </c>
      <c r="O1090" s="10">
        <f>J1090/160</f>
        <v/>
      </c>
      <c r="P1090" s="10" t="n">
        <v>10</v>
      </c>
      <c r="Q1090" s="10">
        <f>L1090+M1090+N1090+O1090-P1090</f>
        <v/>
      </c>
      <c r="R1090" s="11">
        <f>T1089</f>
        <v/>
      </c>
      <c r="S1090" s="11">
        <f>N(V1090) + N(X1090) + N(Z1090)</f>
        <v/>
      </c>
      <c r="T1090" s="11">
        <f>R1090+P1090-S1090</f>
        <v/>
      </c>
      <c r="U1090" s="11" t="inlineStr">
        <is>
          <t>是</t>
        </is>
      </c>
      <c r="V1090" s="11" t="n">
        <v>17</v>
      </c>
      <c r="W1090" s="11" t="inlineStr">
        <is>
          <t>否</t>
        </is>
      </c>
      <c r="X1090" s="11" t="inlineStr">
        <is>
          <t>-</t>
        </is>
      </c>
      <c r="Y1090" s="11" t="inlineStr">
        <is>
          <t>-</t>
        </is>
      </c>
      <c r="Z1090" s="11" t="n">
        <v>0</v>
      </c>
      <c r="AA1090" s="11" t="inlineStr">
        <is>
          <t>无</t>
        </is>
      </c>
      <c r="AB1090" s="12">
        <f>AE1089</f>
        <v/>
      </c>
      <c r="AC1090" s="12" t="n">
        <v>4</v>
      </c>
      <c r="AD1090" s="12" t="n">
        <v>0</v>
      </c>
      <c r="AE1090" s="12">
        <f>AB1090+AC1090+AD1090</f>
        <v/>
      </c>
      <c r="AF1090" s="13">
        <f>AI1089</f>
        <v/>
      </c>
      <c r="AG1090" s="13" t="n">
        <v>0</v>
      </c>
      <c r="AH1090" s="13" t="n">
        <v>0</v>
      </c>
      <c r="AI1090" s="13">
        <f>AF1090+AG1090+AH1090</f>
        <v/>
      </c>
      <c r="AJ1090" s="14" t="n">
        <v>0</v>
      </c>
      <c r="AK1090" s="14" t="n">
        <v>50</v>
      </c>
      <c r="AL1090" s="14" t="n">
        <v>0</v>
      </c>
      <c r="AM1090" s="14">
        <f>AJ1090+AK1090+AL1090</f>
        <v/>
      </c>
      <c r="AN1090" s="14">
        <f>AN1089+AM1090</f>
        <v/>
      </c>
    </row>
    <row r="1091">
      <c r="A1091" s="8" t="n">
        <v>42</v>
      </c>
      <c r="B1091" s="8" t="n">
        <v>12</v>
      </c>
      <c r="C1091" s="8" t="n">
        <v>2</v>
      </c>
      <c r="D1091" s="8" t="inlineStr">
        <is>
          <t>月卡收益 [月卡续费-30元]</t>
        </is>
      </c>
      <c r="E1091" s="9">
        <f>K1090</f>
        <v/>
      </c>
      <c r="F1091" s="9" t="n">
        <v>1540</v>
      </c>
      <c r="G1091" s="9" t="n">
        <v>0</v>
      </c>
      <c r="H1091" s="9" t="n">
        <v>0</v>
      </c>
      <c r="I1091" s="9" t="n">
        <v>0</v>
      </c>
      <c r="J1091" s="9" t="n">
        <v>0</v>
      </c>
      <c r="K1091" s="9">
        <f>E1091+F1091+G1091+H1091+I1091-J1091</f>
        <v/>
      </c>
      <c r="L1091" s="10">
        <f>Q1090</f>
        <v/>
      </c>
      <c r="M1091" s="10" t="n">
        <v>0</v>
      </c>
      <c r="N1091" s="10" t="n">
        <v>6</v>
      </c>
      <c r="O1091" s="10">
        <f>J1091/160</f>
        <v/>
      </c>
      <c r="P1091" s="10" t="n">
        <v>60</v>
      </c>
      <c r="Q1091" s="10">
        <f>L1091+M1091+N1091+O1091-P1091</f>
        <v/>
      </c>
      <c r="R1091" s="11">
        <f>T1090</f>
        <v/>
      </c>
      <c r="S1091" s="11">
        <f>N(V1091) + N(X1091) + N(Z1091)</f>
        <v/>
      </c>
      <c r="T1091" s="11">
        <f>R1091+P1091-S1091</f>
        <v/>
      </c>
      <c r="U1091" s="11" t="inlineStr">
        <is>
          <t>是</t>
        </is>
      </c>
      <c r="V1091" s="11" t="n">
        <v>48</v>
      </c>
      <c r="W1091" s="11" t="inlineStr">
        <is>
          <t>否</t>
        </is>
      </c>
      <c r="X1091" s="11" t="inlineStr">
        <is>
          <t>-</t>
        </is>
      </c>
      <c r="Y1091" s="11" t="inlineStr">
        <is>
          <t>-</t>
        </is>
      </c>
      <c r="Z1091" s="11" t="n">
        <v>0</v>
      </c>
      <c r="AA1091" s="11" t="inlineStr">
        <is>
          <t>垫到60抽</t>
        </is>
      </c>
      <c r="AB1091" s="12">
        <f>AE1090</f>
        <v/>
      </c>
      <c r="AC1091" s="12" t="n">
        <v>0</v>
      </c>
      <c r="AD1091" s="12" t="n">
        <v>0</v>
      </c>
      <c r="AE1091" s="12">
        <f>AB1091+AC1091+AD1091</f>
        <v/>
      </c>
      <c r="AF1091" s="13">
        <f>AI1090</f>
        <v/>
      </c>
      <c r="AG1091" s="13" t="n">
        <v>0</v>
      </c>
      <c r="AH1091" s="13" t="n">
        <v>0</v>
      </c>
      <c r="AI1091" s="13">
        <f>AF1091+AG1091+AH1091</f>
        <v/>
      </c>
      <c r="AJ1091" s="14" t="n">
        <v>30</v>
      </c>
      <c r="AK1091" s="14" t="n">
        <v>0</v>
      </c>
      <c r="AL1091" s="14" t="n">
        <v>0</v>
      </c>
      <c r="AM1091" s="14">
        <f>AJ1091+AK1091+AL1091</f>
        <v/>
      </c>
      <c r="AN1091" s="14">
        <f>AN1090+AM1091</f>
        <v/>
      </c>
    </row>
    <row r="1092">
      <c r="A1092" s="8" t="n">
        <v>42</v>
      </c>
      <c r="B1092" s="8" t="n">
        <v>13</v>
      </c>
      <c r="C1092" s="8" t="n">
        <v>1</v>
      </c>
      <c r="D1092" s="8" t="inlineStr">
        <is>
          <t>版本免费+义相逢 + 月卡收益</t>
        </is>
      </c>
      <c r="E1092" s="9">
        <f>K1091</f>
        <v/>
      </c>
      <c r="F1092" s="9" t="n">
        <v>1540</v>
      </c>
      <c r="G1092" s="9" t="n">
        <v>4800</v>
      </c>
      <c r="H1092" s="9" t="n">
        <v>0</v>
      </c>
      <c r="I1092" s="9" t="n">
        <v>0</v>
      </c>
      <c r="J1092" s="9" t="n">
        <v>0</v>
      </c>
      <c r="K1092" s="9">
        <f>E1092+F1092+G1092+H1092+I1092-J1092</f>
        <v/>
      </c>
      <c r="L1092" s="10">
        <f>Q1091</f>
        <v/>
      </c>
      <c r="M1092" s="10" t="n">
        <v>85</v>
      </c>
      <c r="N1092" s="10" t="n">
        <v>11</v>
      </c>
      <c r="O1092" s="10">
        <f>J1092/160</f>
        <v/>
      </c>
      <c r="P1092" s="10" t="n">
        <v>90</v>
      </c>
      <c r="Q1092" s="10">
        <f>L1092+M1092+N1092+O1092-P1092</f>
        <v/>
      </c>
      <c r="R1092" s="11">
        <f>T1091</f>
        <v/>
      </c>
      <c r="S1092" s="11">
        <f>N(V1092) + N(X1092) + N(Z1092)</f>
        <v/>
      </c>
      <c r="T1092" s="11">
        <f>R1092+P1092-S1092</f>
        <v/>
      </c>
      <c r="U1092" s="11" t="inlineStr">
        <is>
          <t>是</t>
        </is>
      </c>
      <c r="V1092" s="11" t="n">
        <v>51</v>
      </c>
      <c r="W1092" s="11" t="inlineStr">
        <is>
          <t>是</t>
        </is>
      </c>
      <c r="X1092" s="11" t="n">
        <v>50</v>
      </c>
      <c r="Y1092" s="11" t="inlineStr">
        <is>
          <t>-</t>
        </is>
      </c>
      <c r="Z1092" s="11" t="n">
        <v>0</v>
      </c>
      <c r="AA1092" s="11" t="inlineStr">
        <is>
          <t>无</t>
        </is>
      </c>
      <c r="AB1092" s="12">
        <f>AE1091</f>
        <v/>
      </c>
      <c r="AC1092" s="12" t="n">
        <v>4</v>
      </c>
      <c r="AD1092" s="12" t="n">
        <v>0</v>
      </c>
      <c r="AE1092" s="12">
        <f>AB1092+AC1092+AD1092</f>
        <v/>
      </c>
      <c r="AF1092" s="13">
        <f>AI1091</f>
        <v/>
      </c>
      <c r="AG1092" s="13" t="n">
        <v>0</v>
      </c>
      <c r="AH1092" s="13" t="n">
        <v>0</v>
      </c>
      <c r="AI1092" s="13">
        <f>AF1092+AG1092+AH1092</f>
        <v/>
      </c>
      <c r="AJ1092" s="14" t="n">
        <v>0</v>
      </c>
      <c r="AK1092" s="14" t="n">
        <v>50</v>
      </c>
      <c r="AL1092" s="14" t="n">
        <v>0</v>
      </c>
      <c r="AM1092" s="14">
        <f>AJ1092+AK1092+AL1092</f>
        <v/>
      </c>
      <c r="AN1092" s="14">
        <f>AN1091+AM1092</f>
        <v/>
      </c>
    </row>
    <row r="1093">
      <c r="A1093" s="8" t="n">
        <v>42</v>
      </c>
      <c r="B1093" s="8" t="n">
        <v>13</v>
      </c>
      <c r="C1093" s="8" t="n">
        <v>2</v>
      </c>
      <c r="D1093" s="8" t="inlineStr">
        <is>
          <t>月卡收益 [月卡续费-30元]</t>
        </is>
      </c>
      <c r="E1093" s="9">
        <f>K1092</f>
        <v/>
      </c>
      <c r="F1093" s="9" t="n">
        <v>1540</v>
      </c>
      <c r="G1093" s="9" t="n">
        <v>0</v>
      </c>
      <c r="H1093" s="9" t="n">
        <v>0</v>
      </c>
      <c r="I1093" s="9" t="n">
        <v>0</v>
      </c>
      <c r="J1093" s="9" t="n">
        <v>9760</v>
      </c>
      <c r="K1093" s="9">
        <f>E1093+F1093+G1093+H1093+I1093-J1093</f>
        <v/>
      </c>
      <c r="L1093" s="10">
        <f>Q1092</f>
        <v/>
      </c>
      <c r="M1093" s="10" t="n">
        <v>0</v>
      </c>
      <c r="N1093" s="10" t="n">
        <v>11</v>
      </c>
      <c r="O1093" s="10">
        <f>J1093/160</f>
        <v/>
      </c>
      <c r="P1093" s="10" t="n">
        <v>100</v>
      </c>
      <c r="Q1093" s="10">
        <f>L1093+M1093+N1093+O1093-P1093</f>
        <v/>
      </c>
      <c r="R1093" s="11">
        <f>T1092</f>
        <v/>
      </c>
      <c r="S1093" s="11">
        <f>N(V1093) + N(X1093) + N(Z1093)</f>
        <v/>
      </c>
      <c r="T1093" s="11">
        <f>R1093+P1093-S1093</f>
        <v/>
      </c>
      <c r="U1093" s="11" t="inlineStr">
        <is>
          <t>是</t>
        </is>
      </c>
      <c r="V1093" s="11" t="n">
        <v>48</v>
      </c>
      <c r="W1093" s="11" t="inlineStr">
        <is>
          <t>是</t>
        </is>
      </c>
      <c r="X1093" s="11" t="n">
        <v>50</v>
      </c>
      <c r="Y1093" s="11" t="inlineStr">
        <is>
          <t>-</t>
        </is>
      </c>
      <c r="Z1093" s="11" t="n">
        <v>0</v>
      </c>
      <c r="AA1093" s="11" t="inlineStr">
        <is>
          <t>无</t>
        </is>
      </c>
      <c r="AB1093" s="12">
        <f>AE1092</f>
        <v/>
      </c>
      <c r="AC1093" s="12" t="n">
        <v>0</v>
      </c>
      <c r="AD1093" s="12" t="n">
        <v>0</v>
      </c>
      <c r="AE1093" s="12">
        <f>AB1093+AC1093+AD1093</f>
        <v/>
      </c>
      <c r="AF1093" s="13">
        <f>AI1092</f>
        <v/>
      </c>
      <c r="AG1093" s="13" t="n">
        <v>0</v>
      </c>
      <c r="AH1093" s="13" t="n">
        <v>0</v>
      </c>
      <c r="AI1093" s="13">
        <f>AF1093+AG1093+AH1093</f>
        <v/>
      </c>
      <c r="AJ1093" s="14" t="n">
        <v>30</v>
      </c>
      <c r="AK1093" s="14" t="n">
        <v>0</v>
      </c>
      <c r="AL1093" s="14" t="n">
        <v>0</v>
      </c>
      <c r="AM1093" s="14">
        <f>AJ1093+AK1093+AL1093</f>
        <v/>
      </c>
      <c r="AN1093" s="14">
        <f>AN1092+AM1093</f>
        <v/>
      </c>
    </row>
    <row r="1094">
      <c r="A1094" s="8" t="n">
        <v>43</v>
      </c>
      <c r="B1094" s="8" t="n">
        <v>1</v>
      </c>
      <c r="C1094" s="8" t="n">
        <v>1</v>
      </c>
      <c r="D1094" s="8" t="inlineStr">
        <is>
          <t>版本免费+义相逢 + 月卡收益</t>
        </is>
      </c>
      <c r="E1094" s="9" t="n">
        <v>17040</v>
      </c>
      <c r="F1094" s="9" t="n">
        <v>1540</v>
      </c>
      <c r="G1094" s="9" t="n">
        <v>4800</v>
      </c>
      <c r="H1094" s="9" t="n">
        <v>0</v>
      </c>
      <c r="I1094" s="9" t="n">
        <v>0</v>
      </c>
      <c r="J1094" s="9" t="n">
        <v>640</v>
      </c>
      <c r="K1094" s="9">
        <f>E1094+F1094+G1094+H1094+I1094-J1094</f>
        <v/>
      </c>
      <c r="L1094" s="10" t="n">
        <v>0</v>
      </c>
      <c r="M1094" s="10" t="n">
        <v>85</v>
      </c>
      <c r="N1094" s="10" t="n">
        <v>11</v>
      </c>
      <c r="O1094" s="10">
        <f>J1094/160</f>
        <v/>
      </c>
      <c r="P1094" s="10" t="n">
        <v>100</v>
      </c>
      <c r="Q1094" s="10">
        <f>L1094+M1094+N1094+O1094-P1094</f>
        <v/>
      </c>
      <c r="R1094" s="11" t="n">
        <v>3</v>
      </c>
      <c r="S1094" s="11">
        <f>N(V1094) + N(X1094) + N(Z1094)</f>
        <v/>
      </c>
      <c r="T1094" s="11">
        <f>R1094+P1094-S1094</f>
        <v/>
      </c>
      <c r="U1094" s="11" t="inlineStr">
        <is>
          <t>是</t>
        </is>
      </c>
      <c r="V1094" s="11" t="n">
        <v>47</v>
      </c>
      <c r="W1094" s="11" t="inlineStr">
        <is>
          <t>是</t>
        </is>
      </c>
      <c r="X1094" s="11" t="n">
        <v>50</v>
      </c>
      <c r="Y1094" s="11" t="inlineStr">
        <is>
          <t>-</t>
        </is>
      </c>
      <c r="Z1094" s="11" t="n">
        <v>0</v>
      </c>
      <c r="AA1094" s="11" t="inlineStr">
        <is>
          <t>无</t>
        </is>
      </c>
      <c r="AB1094" s="12" t="n">
        <v>2247</v>
      </c>
      <c r="AC1094" s="12" t="n">
        <v>4</v>
      </c>
      <c r="AD1094" s="12" t="n">
        <v>0</v>
      </c>
      <c r="AE1094" s="12">
        <f>AB1094+AC1094+AD1094</f>
        <v/>
      </c>
      <c r="AF1094" s="13" t="n">
        <v>315000</v>
      </c>
      <c r="AG1094" s="13" t="n">
        <v>0</v>
      </c>
      <c r="AH1094" s="13" t="n">
        <v>0</v>
      </c>
      <c r="AI1094" s="13">
        <f>AF1094+AG1094+AH1094</f>
        <v/>
      </c>
      <c r="AJ1094" s="14" t="n">
        <v>0</v>
      </c>
      <c r="AK1094" s="14" t="n">
        <v>50</v>
      </c>
      <c r="AL1094" s="14" t="n">
        <v>0</v>
      </c>
      <c r="AM1094" s="14">
        <f>AJ1094+AK1094+AL1094</f>
        <v/>
      </c>
      <c r="AN1094" s="14">
        <f>AM1094</f>
        <v/>
      </c>
    </row>
    <row r="1095">
      <c r="A1095" s="8" t="n">
        <v>43</v>
      </c>
      <c r="B1095" s="8" t="n">
        <v>1</v>
      </c>
      <c r="C1095" s="8" t="n">
        <v>2</v>
      </c>
      <c r="D1095" s="8" t="inlineStr">
        <is>
          <t>月卡收益 [月卡续费-30元]</t>
        </is>
      </c>
      <c r="E1095" s="9">
        <f>K1094</f>
        <v/>
      </c>
      <c r="F1095" s="9" t="n">
        <v>1540</v>
      </c>
      <c r="G1095" s="9" t="n">
        <v>0</v>
      </c>
      <c r="H1095" s="9" t="n">
        <v>0</v>
      </c>
      <c r="I1095" s="9" t="n">
        <v>0</v>
      </c>
      <c r="J1095" s="9" t="n">
        <v>1600</v>
      </c>
      <c r="K1095" s="9">
        <f>E1095+F1095+G1095+H1095+I1095-J1095</f>
        <v/>
      </c>
      <c r="L1095" s="10">
        <f>Q1094</f>
        <v/>
      </c>
      <c r="M1095" s="10" t="n">
        <v>0</v>
      </c>
      <c r="N1095" s="10" t="n">
        <v>1</v>
      </c>
      <c r="O1095" s="10">
        <f>J1095/160</f>
        <v/>
      </c>
      <c r="P1095" s="10" t="n">
        <v>10</v>
      </c>
      <c r="Q1095" s="10">
        <f>L1095+M1095+N1095+O1095-P1095</f>
        <v/>
      </c>
      <c r="R1095" s="11">
        <f>T1094</f>
        <v/>
      </c>
      <c r="S1095" s="11">
        <f>N(V1095) + N(X1095) + N(Z1095)</f>
        <v/>
      </c>
      <c r="T1095" s="11">
        <f>R1095+P1095-S1095</f>
        <v/>
      </c>
      <c r="U1095" s="11" t="inlineStr">
        <is>
          <t>是</t>
        </is>
      </c>
      <c r="V1095" s="11" t="n">
        <v>10</v>
      </c>
      <c r="W1095" s="11" t="inlineStr">
        <is>
          <t>否</t>
        </is>
      </c>
      <c r="X1095" s="11" t="inlineStr">
        <is>
          <t>-</t>
        </is>
      </c>
      <c r="Y1095" s="11" t="inlineStr">
        <is>
          <t>-</t>
        </is>
      </c>
      <c r="Z1095" s="11" t="n">
        <v>0</v>
      </c>
      <c r="AA1095" s="11" t="inlineStr">
        <is>
          <t>无</t>
        </is>
      </c>
      <c r="AB1095" s="12">
        <f>AE1094</f>
        <v/>
      </c>
      <c r="AC1095" s="12" t="n">
        <v>0</v>
      </c>
      <c r="AD1095" s="12" t="n">
        <v>0</v>
      </c>
      <c r="AE1095" s="12">
        <f>AB1095+AC1095+AD1095</f>
        <v/>
      </c>
      <c r="AF1095" s="13">
        <f>AI1094</f>
        <v/>
      </c>
      <c r="AG1095" s="13" t="n">
        <v>0</v>
      </c>
      <c r="AH1095" s="13" t="n">
        <v>0</v>
      </c>
      <c r="AI1095" s="13">
        <f>AF1095+AG1095+AH1095</f>
        <v/>
      </c>
      <c r="AJ1095" s="14" t="n">
        <v>30</v>
      </c>
      <c r="AK1095" s="14" t="n">
        <v>0</v>
      </c>
      <c r="AL1095" s="14" t="n">
        <v>0</v>
      </c>
      <c r="AM1095" s="14">
        <f>AJ1095+AK1095+AL1095</f>
        <v/>
      </c>
      <c r="AN1095" s="14">
        <f>AN1094+AM1095</f>
        <v/>
      </c>
    </row>
    <row r="1096">
      <c r="A1096" s="8" t="n">
        <v>43</v>
      </c>
      <c r="B1096" s="8" t="n">
        <v>2</v>
      </c>
      <c r="C1096" s="8" t="n">
        <v>1</v>
      </c>
      <c r="D1096" s="8" t="inlineStr">
        <is>
          <t>版本免费+义相逢 + 月卡收益</t>
        </is>
      </c>
      <c r="E1096" s="9">
        <f>K1095</f>
        <v/>
      </c>
      <c r="F1096" s="9" t="n">
        <v>1540</v>
      </c>
      <c r="G1096" s="9" t="n">
        <v>4800</v>
      </c>
      <c r="H1096" s="9" t="n">
        <v>0</v>
      </c>
      <c r="I1096" s="9" t="n">
        <v>0</v>
      </c>
      <c r="J1096" s="9" t="n">
        <v>480</v>
      </c>
      <c r="K1096" s="9">
        <f>E1096+F1096+G1096+H1096+I1096-J1096</f>
        <v/>
      </c>
      <c r="L1096" s="10">
        <f>Q1095</f>
        <v/>
      </c>
      <c r="M1096" s="10" t="n">
        <v>85</v>
      </c>
      <c r="N1096" s="10" t="n">
        <v>11</v>
      </c>
      <c r="O1096" s="10">
        <f>J1096/160</f>
        <v/>
      </c>
      <c r="P1096" s="10" t="n">
        <v>100</v>
      </c>
      <c r="Q1096" s="10">
        <f>L1096+M1096+N1096+O1096-P1096</f>
        <v/>
      </c>
      <c r="R1096" s="11">
        <f>T1095</f>
        <v/>
      </c>
      <c r="S1096" s="11">
        <f>N(V1096) + N(X1096) + N(Z1096)</f>
        <v/>
      </c>
      <c r="T1096" s="11">
        <f>R1096+P1096-S1096</f>
        <v/>
      </c>
      <c r="U1096" s="11" t="inlineStr">
        <is>
          <t>是</t>
        </is>
      </c>
      <c r="V1096" s="11" t="n">
        <v>52</v>
      </c>
      <c r="W1096" s="11" t="inlineStr">
        <is>
          <t>是</t>
        </is>
      </c>
      <c r="X1096" s="11" t="n">
        <v>50</v>
      </c>
      <c r="Y1096" s="11" t="inlineStr">
        <is>
          <t>-</t>
        </is>
      </c>
      <c r="Z1096" s="11" t="n">
        <v>0</v>
      </c>
      <c r="AA1096" s="11" t="inlineStr">
        <is>
          <t>无</t>
        </is>
      </c>
      <c r="AB1096" s="12">
        <f>AE1095</f>
        <v/>
      </c>
      <c r="AC1096" s="12" t="n">
        <v>4</v>
      </c>
      <c r="AD1096" s="12" t="n">
        <v>0</v>
      </c>
      <c r="AE1096" s="12">
        <f>AB1096+AC1096+AD1096</f>
        <v/>
      </c>
      <c r="AF1096" s="13">
        <f>AI1095</f>
        <v/>
      </c>
      <c r="AG1096" s="13" t="n">
        <v>0</v>
      </c>
      <c r="AH1096" s="13" t="n">
        <v>0</v>
      </c>
      <c r="AI1096" s="13">
        <f>AF1096+AG1096+AH1096</f>
        <v/>
      </c>
      <c r="AJ1096" s="14" t="n">
        <v>0</v>
      </c>
      <c r="AK1096" s="14" t="n">
        <v>50</v>
      </c>
      <c r="AL1096" s="14" t="n">
        <v>0</v>
      </c>
      <c r="AM1096" s="14">
        <f>AJ1096+AK1096+AL1096</f>
        <v/>
      </c>
      <c r="AN1096" s="14">
        <f>AN1095+AM1096</f>
        <v/>
      </c>
    </row>
    <row r="1097">
      <c r="A1097" s="8" t="n">
        <v>43</v>
      </c>
      <c r="B1097" s="8" t="n">
        <v>2</v>
      </c>
      <c r="C1097" s="8" t="n">
        <v>2</v>
      </c>
      <c r="D1097" s="8" t="inlineStr">
        <is>
          <t>月卡收益</t>
        </is>
      </c>
      <c r="E1097" s="9">
        <f>K1096</f>
        <v/>
      </c>
      <c r="F1097" s="9" t="n">
        <v>1540</v>
      </c>
      <c r="G1097" s="9" t="n">
        <v>0</v>
      </c>
      <c r="H1097" s="9" t="n">
        <v>0</v>
      </c>
      <c r="I1097" s="9" t="n">
        <v>0</v>
      </c>
      <c r="J1097" s="9" t="n">
        <v>15840</v>
      </c>
      <c r="K1097" s="9">
        <f>E1097+F1097+G1097+H1097+I1097-J1097</f>
        <v/>
      </c>
      <c r="L1097" s="10">
        <f>Q1096</f>
        <v/>
      </c>
      <c r="M1097" s="10" t="n">
        <v>0</v>
      </c>
      <c r="N1097" s="10" t="n">
        <v>11</v>
      </c>
      <c r="O1097" s="10">
        <f>J1097/160</f>
        <v/>
      </c>
      <c r="P1097" s="10" t="n">
        <v>110</v>
      </c>
      <c r="Q1097" s="10">
        <f>L1097+M1097+N1097+O1097-P1097</f>
        <v/>
      </c>
      <c r="R1097" s="11">
        <f>T1096</f>
        <v/>
      </c>
      <c r="S1097" s="11">
        <f>N(V1097) + N(X1097) + N(Z1097)</f>
        <v/>
      </c>
      <c r="T1097" s="11">
        <f>R1097+P1097-S1097</f>
        <v/>
      </c>
      <c r="U1097" s="11" t="inlineStr">
        <is>
          <t>是</t>
        </is>
      </c>
      <c r="V1097" s="11" t="n">
        <v>52</v>
      </c>
      <c r="W1097" s="11" t="inlineStr">
        <is>
          <t>是</t>
        </is>
      </c>
      <c r="X1097" s="11" t="n">
        <v>54</v>
      </c>
      <c r="Y1097" s="11" t="inlineStr">
        <is>
          <t>-</t>
        </is>
      </c>
      <c r="Z1097" s="11" t="n">
        <v>0</v>
      </c>
      <c r="AA1097" s="11" t="inlineStr">
        <is>
          <t>无</t>
        </is>
      </c>
      <c r="AB1097" s="12">
        <f>AE1096</f>
        <v/>
      </c>
      <c r="AC1097" s="12" t="n">
        <v>0</v>
      </c>
      <c r="AD1097" s="12" t="n">
        <v>0</v>
      </c>
      <c r="AE1097" s="12">
        <f>AB1097+AC1097+AD1097</f>
        <v/>
      </c>
      <c r="AF1097" s="13">
        <f>AI1096</f>
        <v/>
      </c>
      <c r="AG1097" s="13" t="n">
        <v>0</v>
      </c>
      <c r="AH1097" s="13" t="n">
        <v>0</v>
      </c>
      <c r="AI1097" s="13">
        <f>AF1097+AG1097+AH1097</f>
        <v/>
      </c>
      <c r="AJ1097" s="14" t="n">
        <v>0</v>
      </c>
      <c r="AK1097" s="14" t="n">
        <v>0</v>
      </c>
      <c r="AL1097" s="14" t="n">
        <v>0</v>
      </c>
      <c r="AM1097" s="14">
        <f>AJ1097+AK1097+AL1097</f>
        <v/>
      </c>
      <c r="AN1097" s="14">
        <f>AN1096+AM1097</f>
        <v/>
      </c>
    </row>
    <row r="1098">
      <c r="A1098" s="8" t="n">
        <v>43</v>
      </c>
      <c r="B1098" s="8" t="n">
        <v>3</v>
      </c>
      <c r="C1098" s="8" t="n">
        <v>1</v>
      </c>
      <c r="D1098" s="8" t="inlineStr">
        <is>
          <t>版本免费+义相逢 + 月卡收益 [月卡续费-30元]</t>
        </is>
      </c>
      <c r="E1098" s="9">
        <f>K1097</f>
        <v/>
      </c>
      <c r="F1098" s="9" t="n">
        <v>1540</v>
      </c>
      <c r="G1098" s="9" t="n">
        <v>4800</v>
      </c>
      <c r="H1098" s="9" t="n">
        <v>0</v>
      </c>
      <c r="I1098" s="9" t="n">
        <v>0</v>
      </c>
      <c r="J1098" s="9" t="n">
        <v>640</v>
      </c>
      <c r="K1098" s="9">
        <f>E1098+F1098+G1098+H1098+I1098-J1098</f>
        <v/>
      </c>
      <c r="L1098" s="10">
        <f>Q1097</f>
        <v/>
      </c>
      <c r="M1098" s="10" t="n">
        <v>85</v>
      </c>
      <c r="N1098" s="10" t="n">
        <v>11</v>
      </c>
      <c r="O1098" s="10">
        <f>J1098/160</f>
        <v/>
      </c>
      <c r="P1098" s="10" t="n">
        <v>100</v>
      </c>
      <c r="Q1098" s="10">
        <f>L1098+M1098+N1098+O1098-P1098</f>
        <v/>
      </c>
      <c r="R1098" s="11">
        <f>T1097</f>
        <v/>
      </c>
      <c r="S1098" s="11">
        <f>N(V1098) + N(X1098) + N(Z1098)</f>
        <v/>
      </c>
      <c r="T1098" s="11">
        <f>R1098+P1098-S1098</f>
        <v/>
      </c>
      <c r="U1098" s="11" t="inlineStr">
        <is>
          <t>是</t>
        </is>
      </c>
      <c r="V1098" s="11" t="n">
        <v>50</v>
      </c>
      <c r="W1098" s="11" t="inlineStr">
        <is>
          <t>是</t>
        </is>
      </c>
      <c r="X1098" s="11" t="n">
        <v>52</v>
      </c>
      <c r="Y1098" s="11" t="inlineStr">
        <is>
          <t>-</t>
        </is>
      </c>
      <c r="Z1098" s="11" t="n">
        <v>0</v>
      </c>
      <c r="AA1098" s="11" t="inlineStr">
        <is>
          <t>无</t>
        </is>
      </c>
      <c r="AB1098" s="12">
        <f>AE1097</f>
        <v/>
      </c>
      <c r="AC1098" s="12" t="n">
        <v>4</v>
      </c>
      <c r="AD1098" s="12" t="n">
        <v>0</v>
      </c>
      <c r="AE1098" s="12">
        <f>AB1098+AC1098+AD1098</f>
        <v/>
      </c>
      <c r="AF1098" s="13">
        <f>AI1097</f>
        <v/>
      </c>
      <c r="AG1098" s="13" t="n">
        <v>0</v>
      </c>
      <c r="AH1098" s="13" t="n">
        <v>0</v>
      </c>
      <c r="AI1098" s="13">
        <f>AF1098+AG1098+AH1098</f>
        <v/>
      </c>
      <c r="AJ1098" s="14" t="n">
        <v>30</v>
      </c>
      <c r="AK1098" s="14" t="n">
        <v>50</v>
      </c>
      <c r="AL1098" s="14" t="n">
        <v>0</v>
      </c>
      <c r="AM1098" s="14">
        <f>AJ1098+AK1098+AL1098</f>
        <v/>
      </c>
      <c r="AN1098" s="14">
        <f>AN1097+AM1098</f>
        <v/>
      </c>
    </row>
    <row r="1099">
      <c r="A1099" s="8" t="n">
        <v>43</v>
      </c>
      <c r="B1099" s="8" t="n">
        <v>3</v>
      </c>
      <c r="C1099" s="8" t="n">
        <v>2</v>
      </c>
      <c r="D1099" s="8" t="inlineStr">
        <is>
          <t>月卡收益</t>
        </is>
      </c>
      <c r="E1099" s="9">
        <f>K1098</f>
        <v/>
      </c>
      <c r="F1099" s="9" t="n">
        <v>1540</v>
      </c>
      <c r="G1099" s="9" t="n">
        <v>0</v>
      </c>
      <c r="H1099" s="9" t="n">
        <v>0</v>
      </c>
      <c r="I1099" s="9" t="n">
        <v>0</v>
      </c>
      <c r="J1099" s="9" t="n">
        <v>14240</v>
      </c>
      <c r="K1099" s="9">
        <f>E1099+F1099+G1099+H1099+I1099-J1099</f>
        <v/>
      </c>
      <c r="L1099" s="10">
        <f>Q1098</f>
        <v/>
      </c>
      <c r="M1099" s="10" t="n">
        <v>0</v>
      </c>
      <c r="N1099" s="10" t="n">
        <v>11</v>
      </c>
      <c r="O1099" s="10">
        <f>J1099/160</f>
        <v/>
      </c>
      <c r="P1099" s="10" t="n">
        <v>100</v>
      </c>
      <c r="Q1099" s="10">
        <f>L1099+M1099+N1099+O1099-P1099</f>
        <v/>
      </c>
      <c r="R1099" s="11">
        <f>T1098</f>
        <v/>
      </c>
      <c r="S1099" s="11">
        <f>N(V1099) + N(X1099) + N(Z1099)</f>
        <v/>
      </c>
      <c r="T1099" s="11">
        <f>R1099+P1099-S1099</f>
        <v/>
      </c>
      <c r="U1099" s="11" t="inlineStr">
        <is>
          <t>是</t>
        </is>
      </c>
      <c r="V1099" s="11" t="n">
        <v>50</v>
      </c>
      <c r="W1099" s="11" t="inlineStr">
        <is>
          <t>是</t>
        </is>
      </c>
      <c r="X1099" s="11" t="n">
        <v>51</v>
      </c>
      <c r="Y1099" s="11" t="inlineStr">
        <is>
          <t>-</t>
        </is>
      </c>
      <c r="Z1099" s="11" t="n">
        <v>0</v>
      </c>
      <c r="AA1099" s="11" t="inlineStr">
        <is>
          <t>无</t>
        </is>
      </c>
      <c r="AB1099" s="12">
        <f>AE1098</f>
        <v/>
      </c>
      <c r="AC1099" s="12" t="n">
        <v>0</v>
      </c>
      <c r="AD1099" s="12" t="n">
        <v>0</v>
      </c>
      <c r="AE1099" s="12">
        <f>AB1099+AC1099+AD1099</f>
        <v/>
      </c>
      <c r="AF1099" s="13">
        <f>AI1098</f>
        <v/>
      </c>
      <c r="AG1099" s="13" t="n">
        <v>0</v>
      </c>
      <c r="AH1099" s="13" t="n">
        <v>0</v>
      </c>
      <c r="AI1099" s="13">
        <f>AF1099+AG1099+AH1099</f>
        <v/>
      </c>
      <c r="AJ1099" s="14" t="n">
        <v>0</v>
      </c>
      <c r="AK1099" s="14" t="n">
        <v>0</v>
      </c>
      <c r="AL1099" s="14" t="n">
        <v>0</v>
      </c>
      <c r="AM1099" s="14">
        <f>AJ1099+AK1099+AL1099</f>
        <v/>
      </c>
      <c r="AN1099" s="14">
        <f>AN1098+AM1099</f>
        <v/>
      </c>
    </row>
    <row r="1100">
      <c r="A1100" s="8" t="n">
        <v>43</v>
      </c>
      <c r="B1100" s="8" t="n">
        <v>4</v>
      </c>
      <c r="C1100" s="8" t="n">
        <v>1</v>
      </c>
      <c r="D1100" s="8" t="inlineStr">
        <is>
          <t>版本免费+义相逢 + 月卡收益 [月卡续费-30元]</t>
        </is>
      </c>
      <c r="E1100" s="9">
        <f>K1099</f>
        <v/>
      </c>
      <c r="F1100" s="9" t="n">
        <v>1540</v>
      </c>
      <c r="G1100" s="9" t="n">
        <v>4800</v>
      </c>
      <c r="H1100" s="9" t="n">
        <v>0</v>
      </c>
      <c r="I1100" s="9" t="n">
        <v>0</v>
      </c>
      <c r="J1100" s="9" t="n">
        <v>640</v>
      </c>
      <c r="K1100" s="9">
        <f>E1100+F1100+G1100+H1100+I1100-J1100</f>
        <v/>
      </c>
      <c r="L1100" s="10">
        <f>Q1099</f>
        <v/>
      </c>
      <c r="M1100" s="10" t="n">
        <v>85</v>
      </c>
      <c r="N1100" s="10" t="n">
        <v>11</v>
      </c>
      <c r="O1100" s="10">
        <f>J1100/160</f>
        <v/>
      </c>
      <c r="P1100" s="10" t="n">
        <v>100</v>
      </c>
      <c r="Q1100" s="10">
        <f>L1100+M1100+N1100+O1100-P1100</f>
        <v/>
      </c>
      <c r="R1100" s="11">
        <f>T1099</f>
        <v/>
      </c>
      <c r="S1100" s="11">
        <f>N(V1100) + N(X1100) + N(Z1100)</f>
        <v/>
      </c>
      <c r="T1100" s="11">
        <f>R1100+P1100-S1100</f>
        <v/>
      </c>
      <c r="U1100" s="11" t="inlineStr">
        <is>
          <t>是</t>
        </is>
      </c>
      <c r="V1100" s="11" t="n">
        <v>48</v>
      </c>
      <c r="W1100" s="11" t="inlineStr">
        <is>
          <t>是</t>
        </is>
      </c>
      <c r="X1100" s="11" t="n">
        <v>48</v>
      </c>
      <c r="Y1100" s="11" t="inlineStr">
        <is>
          <t>-</t>
        </is>
      </c>
      <c r="Z1100" s="11" t="n">
        <v>0</v>
      </c>
      <c r="AA1100" s="11" t="inlineStr">
        <is>
          <t>无</t>
        </is>
      </c>
      <c r="AB1100" s="12">
        <f>AE1099</f>
        <v/>
      </c>
      <c r="AC1100" s="12" t="n">
        <v>4</v>
      </c>
      <c r="AD1100" s="12" t="n">
        <v>0</v>
      </c>
      <c r="AE1100" s="12">
        <f>AB1100+AC1100+AD1100</f>
        <v/>
      </c>
      <c r="AF1100" s="13">
        <f>AI1099</f>
        <v/>
      </c>
      <c r="AG1100" s="13" t="n">
        <v>0</v>
      </c>
      <c r="AH1100" s="13" t="n">
        <v>0</v>
      </c>
      <c r="AI1100" s="13">
        <f>AF1100+AG1100+AH1100</f>
        <v/>
      </c>
      <c r="AJ1100" s="14" t="n">
        <v>30</v>
      </c>
      <c r="AK1100" s="14" t="n">
        <v>50</v>
      </c>
      <c r="AL1100" s="14" t="n">
        <v>0</v>
      </c>
      <c r="AM1100" s="14">
        <f>AJ1100+AK1100+AL1100</f>
        <v/>
      </c>
      <c r="AN1100" s="14">
        <f>AN1099+AM1100</f>
        <v/>
      </c>
    </row>
    <row r="1101">
      <c r="A1101" s="8" t="n">
        <v>43</v>
      </c>
      <c r="B1101" s="8" t="n">
        <v>4</v>
      </c>
      <c r="C1101" s="8" t="n">
        <v>2</v>
      </c>
      <c r="D1101" s="8" t="inlineStr">
        <is>
          <t>月卡收益</t>
        </is>
      </c>
      <c r="E1101" s="9">
        <f>K1100</f>
        <v/>
      </c>
      <c r="F1101" s="9" t="n">
        <v>1540</v>
      </c>
      <c r="G1101" s="9" t="n">
        <v>0</v>
      </c>
      <c r="H1101" s="9" t="n">
        <v>0</v>
      </c>
      <c r="I1101" s="9" t="n">
        <v>0</v>
      </c>
      <c r="J1101" s="9" t="n">
        <v>9120</v>
      </c>
      <c r="K1101" s="9">
        <f>E1101+F1101+G1101+H1101+I1101-J1101</f>
        <v/>
      </c>
      <c r="L1101" s="10">
        <f>Q1100</f>
        <v/>
      </c>
      <c r="M1101" s="10" t="n">
        <v>0</v>
      </c>
      <c r="N1101" s="10" t="n">
        <v>6</v>
      </c>
      <c r="O1101" s="10">
        <f>J1101/160</f>
        <v/>
      </c>
      <c r="P1101" s="10" t="n">
        <v>60</v>
      </c>
      <c r="Q1101" s="10">
        <f>L1101+M1101+N1101+O1101-P1101</f>
        <v/>
      </c>
      <c r="R1101" s="11">
        <f>T1100</f>
        <v/>
      </c>
      <c r="S1101" s="11">
        <f>N(V1101) + N(X1101) + N(Z1101)</f>
        <v/>
      </c>
      <c r="T1101" s="11">
        <f>R1101+P1101-S1101</f>
        <v/>
      </c>
      <c r="U1101" s="11" t="inlineStr">
        <is>
          <t>是</t>
        </is>
      </c>
      <c r="V1101" s="11" t="n">
        <v>53</v>
      </c>
      <c r="W1101" s="11" t="inlineStr">
        <is>
          <t>否</t>
        </is>
      </c>
      <c r="X1101" s="11" t="inlineStr">
        <is>
          <t>-</t>
        </is>
      </c>
      <c r="Y1101" s="11" t="inlineStr">
        <is>
          <t>-</t>
        </is>
      </c>
      <c r="Z1101" s="11" t="n">
        <v>0</v>
      </c>
      <c r="AA1101" s="11" t="inlineStr">
        <is>
          <t>垫到60抽</t>
        </is>
      </c>
      <c r="AB1101" s="12">
        <f>AE1100</f>
        <v/>
      </c>
      <c r="AC1101" s="12" t="n">
        <v>0</v>
      </c>
      <c r="AD1101" s="12" t="n">
        <v>0</v>
      </c>
      <c r="AE1101" s="12">
        <f>AB1101+AC1101+AD1101</f>
        <v/>
      </c>
      <c r="AF1101" s="13">
        <f>AI1100</f>
        <v/>
      </c>
      <c r="AG1101" s="13" t="n">
        <v>0</v>
      </c>
      <c r="AH1101" s="13" t="n">
        <v>0</v>
      </c>
      <c r="AI1101" s="13">
        <f>AF1101+AG1101+AH1101</f>
        <v/>
      </c>
      <c r="AJ1101" s="14" t="n">
        <v>0</v>
      </c>
      <c r="AK1101" s="14" t="n">
        <v>0</v>
      </c>
      <c r="AL1101" s="14" t="n">
        <v>0</v>
      </c>
      <c r="AM1101" s="14">
        <f>AJ1101+AK1101+AL1101</f>
        <v/>
      </c>
      <c r="AN1101" s="14">
        <f>AN1100+AM1101</f>
        <v/>
      </c>
    </row>
    <row r="1102">
      <c r="A1102" s="8" t="n">
        <v>43</v>
      </c>
      <c r="B1102" s="8" t="n">
        <v>5</v>
      </c>
      <c r="C1102" s="8" t="n">
        <v>1</v>
      </c>
      <c r="D1102" s="8" t="inlineStr">
        <is>
          <t>版本免费+义相逢 + 月卡收益 [月卡续费-30元]</t>
        </is>
      </c>
      <c r="E1102" s="9">
        <f>K1101</f>
        <v/>
      </c>
      <c r="F1102" s="9" t="n">
        <v>1540</v>
      </c>
      <c r="G1102" s="9" t="n">
        <v>4800</v>
      </c>
      <c r="H1102" s="9" t="n">
        <v>0</v>
      </c>
      <c r="I1102" s="9" t="n">
        <v>0</v>
      </c>
      <c r="J1102" s="9" t="n">
        <v>0</v>
      </c>
      <c r="K1102" s="9">
        <f>E1102+F1102+G1102+H1102+I1102-J1102</f>
        <v/>
      </c>
      <c r="L1102" s="10">
        <f>Q1101</f>
        <v/>
      </c>
      <c r="M1102" s="10" t="n">
        <v>85</v>
      </c>
      <c r="N1102" s="10" t="n">
        <v>11</v>
      </c>
      <c r="O1102" s="10">
        <f>J1102/160</f>
        <v/>
      </c>
      <c r="P1102" s="10" t="n">
        <v>90</v>
      </c>
      <c r="Q1102" s="10">
        <f>L1102+M1102+N1102+O1102-P1102</f>
        <v/>
      </c>
      <c r="R1102" s="11">
        <f>T1101</f>
        <v/>
      </c>
      <c r="S1102" s="11">
        <f>N(V1102) + N(X1102) + N(Z1102)</f>
        <v/>
      </c>
      <c r="T1102" s="11">
        <f>R1102+P1102-S1102</f>
        <v/>
      </c>
      <c r="U1102" s="11" t="inlineStr">
        <is>
          <t>是</t>
        </is>
      </c>
      <c r="V1102" s="11" t="n">
        <v>48</v>
      </c>
      <c r="W1102" s="11" t="inlineStr">
        <is>
          <t>是</t>
        </is>
      </c>
      <c r="X1102" s="11" t="n">
        <v>49</v>
      </c>
      <c r="Y1102" s="11" t="inlineStr">
        <is>
          <t>-</t>
        </is>
      </c>
      <c r="Z1102" s="11" t="n">
        <v>0</v>
      </c>
      <c r="AA1102" s="11" t="inlineStr">
        <is>
          <t>无</t>
        </is>
      </c>
      <c r="AB1102" s="12">
        <f>AE1101</f>
        <v/>
      </c>
      <c r="AC1102" s="12" t="n">
        <v>4</v>
      </c>
      <c r="AD1102" s="12" t="n">
        <v>0</v>
      </c>
      <c r="AE1102" s="12">
        <f>AB1102+AC1102+AD1102</f>
        <v/>
      </c>
      <c r="AF1102" s="13">
        <f>AI1101</f>
        <v/>
      </c>
      <c r="AG1102" s="13" t="n">
        <v>0</v>
      </c>
      <c r="AH1102" s="13" t="n">
        <v>0</v>
      </c>
      <c r="AI1102" s="13">
        <f>AF1102+AG1102+AH1102</f>
        <v/>
      </c>
      <c r="AJ1102" s="14" t="n">
        <v>30</v>
      </c>
      <c r="AK1102" s="14" t="n">
        <v>50</v>
      </c>
      <c r="AL1102" s="14" t="n">
        <v>0</v>
      </c>
      <c r="AM1102" s="14">
        <f>AJ1102+AK1102+AL1102</f>
        <v/>
      </c>
      <c r="AN1102" s="14">
        <f>AN1101+AM1102</f>
        <v/>
      </c>
    </row>
    <row r="1103">
      <c r="A1103" s="8" t="n">
        <v>43</v>
      </c>
      <c r="B1103" s="8" t="n">
        <v>5</v>
      </c>
      <c r="C1103" s="8" t="n">
        <v>2</v>
      </c>
      <c r="D1103" s="8" t="inlineStr">
        <is>
          <t>月卡收益</t>
        </is>
      </c>
      <c r="E1103" s="9">
        <f>K1102</f>
        <v/>
      </c>
      <c r="F1103" s="9" t="n">
        <v>1540</v>
      </c>
      <c r="G1103" s="9" t="n">
        <v>0</v>
      </c>
      <c r="H1103" s="9" t="n">
        <v>0</v>
      </c>
      <c r="I1103" s="9" t="n">
        <v>0</v>
      </c>
      <c r="J1103" s="9" t="n">
        <v>12000</v>
      </c>
      <c r="K1103" s="9">
        <f>E1103+F1103+G1103+H1103+I1103-J1103</f>
        <v/>
      </c>
      <c r="L1103" s="10">
        <f>Q1102</f>
        <v/>
      </c>
      <c r="M1103" s="10" t="n">
        <v>0</v>
      </c>
      <c r="N1103" s="10" t="n">
        <v>11</v>
      </c>
      <c r="O1103" s="10">
        <f>J1103/160</f>
        <v/>
      </c>
      <c r="P1103" s="10" t="n">
        <v>90</v>
      </c>
      <c r="Q1103" s="10">
        <f>L1103+M1103+N1103+O1103-P1103</f>
        <v/>
      </c>
      <c r="R1103" s="11">
        <f>T1102</f>
        <v/>
      </c>
      <c r="S1103" s="11">
        <f>N(V1103) + N(X1103) + N(Z1103)</f>
        <v/>
      </c>
      <c r="T1103" s="11">
        <f>R1103+P1103-S1103</f>
        <v/>
      </c>
      <c r="U1103" s="11" t="inlineStr">
        <is>
          <t>是</t>
        </is>
      </c>
      <c r="V1103" s="11" t="n">
        <v>48</v>
      </c>
      <c r="W1103" s="11" t="inlineStr">
        <is>
          <t>是</t>
        </is>
      </c>
      <c r="X1103" s="11" t="n">
        <v>49</v>
      </c>
      <c r="Y1103" s="11" t="inlineStr">
        <is>
          <t>-</t>
        </is>
      </c>
      <c r="Z1103" s="11" t="n">
        <v>0</v>
      </c>
      <c r="AA1103" s="11" t="inlineStr">
        <is>
          <t>无</t>
        </is>
      </c>
      <c r="AB1103" s="12">
        <f>AE1102</f>
        <v/>
      </c>
      <c r="AC1103" s="12" t="n">
        <v>0</v>
      </c>
      <c r="AD1103" s="12" t="n">
        <v>0</v>
      </c>
      <c r="AE1103" s="12">
        <f>AB1103+AC1103+AD1103</f>
        <v/>
      </c>
      <c r="AF1103" s="13">
        <f>AI1102</f>
        <v/>
      </c>
      <c r="AG1103" s="13" t="n">
        <v>0</v>
      </c>
      <c r="AH1103" s="13" t="n">
        <v>0</v>
      </c>
      <c r="AI1103" s="13">
        <f>AF1103+AG1103+AH1103</f>
        <v/>
      </c>
      <c r="AJ1103" s="14" t="n">
        <v>0</v>
      </c>
      <c r="AK1103" s="14" t="n">
        <v>0</v>
      </c>
      <c r="AL1103" s="14" t="n">
        <v>0</v>
      </c>
      <c r="AM1103" s="14">
        <f>AJ1103+AK1103+AL1103</f>
        <v/>
      </c>
      <c r="AN1103" s="14">
        <f>AN1102+AM1103</f>
        <v/>
      </c>
    </row>
    <row r="1104">
      <c r="A1104" s="8" t="n">
        <v>43</v>
      </c>
      <c r="B1104" s="8" t="n">
        <v>6</v>
      </c>
      <c r="C1104" s="8" t="n">
        <v>1</v>
      </c>
      <c r="D1104" s="8" t="inlineStr">
        <is>
          <t>版本免费+义相逢 + 月卡收益 [月卡续费-30元]</t>
        </is>
      </c>
      <c r="E1104" s="9">
        <f>K1103</f>
        <v/>
      </c>
      <c r="F1104" s="9" t="n">
        <v>1540</v>
      </c>
      <c r="G1104" s="9" t="n">
        <v>4800</v>
      </c>
      <c r="H1104" s="9" t="n">
        <v>0</v>
      </c>
      <c r="I1104" s="9" t="n">
        <v>0</v>
      </c>
      <c r="J1104" s="9" t="n">
        <v>1440</v>
      </c>
      <c r="K1104" s="9">
        <f>E1104+F1104+G1104+H1104+I1104-J1104</f>
        <v/>
      </c>
      <c r="L1104" s="10">
        <f>Q1103</f>
        <v/>
      </c>
      <c r="M1104" s="10" t="n">
        <v>85</v>
      </c>
      <c r="N1104" s="10" t="n">
        <v>11</v>
      </c>
      <c r="O1104" s="10">
        <f>J1104/160</f>
        <v/>
      </c>
      <c r="P1104" s="10" t="n">
        <v>110</v>
      </c>
      <c r="Q1104" s="10">
        <f>L1104+M1104+N1104+O1104-P1104</f>
        <v/>
      </c>
      <c r="R1104" s="11">
        <f>T1103</f>
        <v/>
      </c>
      <c r="S1104" s="11">
        <f>N(V1104) + N(X1104) + N(Z1104)</f>
        <v/>
      </c>
      <c r="T1104" s="11">
        <f>R1104+P1104-S1104</f>
        <v/>
      </c>
      <c r="U1104" s="11" t="inlineStr">
        <is>
          <t>是</t>
        </is>
      </c>
      <c r="V1104" s="11" t="n">
        <v>53</v>
      </c>
      <c r="W1104" s="11" t="inlineStr">
        <is>
          <t>是</t>
        </is>
      </c>
      <c r="X1104" s="11" t="n">
        <v>50</v>
      </c>
      <c r="Y1104" s="11" t="inlineStr">
        <is>
          <t>-</t>
        </is>
      </c>
      <c r="Z1104" s="11" t="n">
        <v>0</v>
      </c>
      <c r="AA1104" s="11" t="inlineStr">
        <is>
          <t>无</t>
        </is>
      </c>
      <c r="AB1104" s="12">
        <f>AE1103</f>
        <v/>
      </c>
      <c r="AC1104" s="12" t="n">
        <v>4</v>
      </c>
      <c r="AD1104" s="12" t="n">
        <v>0</v>
      </c>
      <c r="AE1104" s="12">
        <f>AB1104+AC1104+AD1104</f>
        <v/>
      </c>
      <c r="AF1104" s="13">
        <f>AI1103</f>
        <v/>
      </c>
      <c r="AG1104" s="13" t="n">
        <v>0</v>
      </c>
      <c r="AH1104" s="13" t="n">
        <v>0</v>
      </c>
      <c r="AI1104" s="13">
        <f>AF1104+AG1104+AH1104</f>
        <v/>
      </c>
      <c r="AJ1104" s="14" t="n">
        <v>30</v>
      </c>
      <c r="AK1104" s="14" t="n">
        <v>50</v>
      </c>
      <c r="AL1104" s="14" t="n">
        <v>0</v>
      </c>
      <c r="AM1104" s="14">
        <f>AJ1104+AK1104+AL1104</f>
        <v/>
      </c>
      <c r="AN1104" s="14">
        <f>AN1103+AM1104</f>
        <v/>
      </c>
    </row>
    <row r="1105">
      <c r="A1105" s="8" t="n">
        <v>43</v>
      </c>
      <c r="B1105" s="8" t="n">
        <v>6</v>
      </c>
      <c r="C1105" s="8" t="n">
        <v>2</v>
      </c>
      <c r="D1105" s="8" t="inlineStr">
        <is>
          <t>月卡收益</t>
        </is>
      </c>
      <c r="E1105" s="9">
        <f>K1104</f>
        <v/>
      </c>
      <c r="F1105" s="9" t="n">
        <v>1540</v>
      </c>
      <c r="G1105" s="9" t="n">
        <v>0</v>
      </c>
      <c r="H1105" s="9" t="n">
        <v>0</v>
      </c>
      <c r="I1105" s="9" t="n">
        <v>0</v>
      </c>
      <c r="J1105" s="9" t="n">
        <v>5920</v>
      </c>
      <c r="K1105" s="9">
        <f>E1105+F1105+G1105+H1105+I1105-J1105</f>
        <v/>
      </c>
      <c r="L1105" s="10">
        <f>Q1104</f>
        <v/>
      </c>
      <c r="M1105" s="10" t="n">
        <v>0</v>
      </c>
      <c r="N1105" s="10" t="n">
        <v>3</v>
      </c>
      <c r="O1105" s="10">
        <f>J1105/160</f>
        <v/>
      </c>
      <c r="P1105" s="10" t="n">
        <v>40</v>
      </c>
      <c r="Q1105" s="10">
        <f>L1105+M1105+N1105+O1105-P1105</f>
        <v/>
      </c>
      <c r="R1105" s="11">
        <f>T1104</f>
        <v/>
      </c>
      <c r="S1105" s="11">
        <f>N(V1105) + N(X1105) + N(Z1105)</f>
        <v/>
      </c>
      <c r="T1105" s="11">
        <f>R1105+P1105-S1105</f>
        <v/>
      </c>
      <c r="U1105" s="11" t="inlineStr">
        <is>
          <t>是</t>
        </is>
      </c>
      <c r="V1105" s="11" t="n">
        <v>49</v>
      </c>
      <c r="W1105" s="11" t="inlineStr">
        <is>
          <t>否</t>
        </is>
      </c>
      <c r="X1105" s="11" t="inlineStr">
        <is>
          <t>-</t>
        </is>
      </c>
      <c r="Y1105" s="11" t="inlineStr">
        <is>
          <t>-</t>
        </is>
      </c>
      <c r="Z1105" s="11" t="n">
        <v>0</v>
      </c>
      <c r="AA1105" s="11" t="inlineStr">
        <is>
          <t>无</t>
        </is>
      </c>
      <c r="AB1105" s="12">
        <f>AE1104</f>
        <v/>
      </c>
      <c r="AC1105" s="12" t="n">
        <v>0</v>
      </c>
      <c r="AD1105" s="12" t="n">
        <v>0</v>
      </c>
      <c r="AE1105" s="12">
        <f>AB1105+AC1105+AD1105</f>
        <v/>
      </c>
      <c r="AF1105" s="13">
        <f>AI1104</f>
        <v/>
      </c>
      <c r="AG1105" s="13" t="n">
        <v>0</v>
      </c>
      <c r="AH1105" s="13" t="n">
        <v>0</v>
      </c>
      <c r="AI1105" s="13">
        <f>AF1105+AG1105+AH1105</f>
        <v/>
      </c>
      <c r="AJ1105" s="14" t="n">
        <v>0</v>
      </c>
      <c r="AK1105" s="14" t="n">
        <v>0</v>
      </c>
      <c r="AL1105" s="14" t="n">
        <v>0</v>
      </c>
      <c r="AM1105" s="14">
        <f>AJ1105+AK1105+AL1105</f>
        <v/>
      </c>
      <c r="AN1105" s="14">
        <f>AN1104+AM1105</f>
        <v/>
      </c>
    </row>
    <row r="1106">
      <c r="A1106" s="8" t="n">
        <v>43</v>
      </c>
      <c r="B1106" s="8" t="n">
        <v>7</v>
      </c>
      <c r="C1106" s="8" t="n">
        <v>1</v>
      </c>
      <c r="D1106" s="8" t="inlineStr">
        <is>
          <t>版本免费+义相逢 + 月卡收益 [月卡续费-30元]</t>
        </is>
      </c>
      <c r="E1106" s="9">
        <f>K1105</f>
        <v/>
      </c>
      <c r="F1106" s="9" t="n">
        <v>1540</v>
      </c>
      <c r="G1106" s="9" t="n">
        <v>4800</v>
      </c>
      <c r="H1106" s="9" t="n">
        <v>0</v>
      </c>
      <c r="I1106" s="9" t="n">
        <v>0</v>
      </c>
      <c r="J1106" s="9" t="n">
        <v>640</v>
      </c>
      <c r="K1106" s="9">
        <f>E1106+F1106+G1106+H1106+I1106-J1106</f>
        <v/>
      </c>
      <c r="L1106" s="10">
        <f>Q1105</f>
        <v/>
      </c>
      <c r="M1106" s="10" t="n">
        <v>85</v>
      </c>
      <c r="N1106" s="10" t="n">
        <v>11</v>
      </c>
      <c r="O1106" s="10">
        <f>J1106/160</f>
        <v/>
      </c>
      <c r="P1106" s="10" t="n">
        <v>100</v>
      </c>
      <c r="Q1106" s="10">
        <f>L1106+M1106+N1106+O1106-P1106</f>
        <v/>
      </c>
      <c r="R1106" s="11">
        <f>T1105</f>
        <v/>
      </c>
      <c r="S1106" s="11">
        <f>N(V1106) + N(X1106) + N(Z1106)</f>
        <v/>
      </c>
      <c r="T1106" s="11">
        <f>R1106+P1106-S1106</f>
        <v/>
      </c>
      <c r="U1106" s="11" t="inlineStr">
        <is>
          <t>是</t>
        </is>
      </c>
      <c r="V1106" s="11" t="n">
        <v>48</v>
      </c>
      <c r="W1106" s="11" t="inlineStr">
        <is>
          <t>是</t>
        </is>
      </c>
      <c r="X1106" s="11" t="n">
        <v>50</v>
      </c>
      <c r="Y1106" s="11" t="inlineStr">
        <is>
          <t>-</t>
        </is>
      </c>
      <c r="Z1106" s="11" t="n">
        <v>0</v>
      </c>
      <c r="AA1106" s="11" t="inlineStr">
        <is>
          <t>无</t>
        </is>
      </c>
      <c r="AB1106" s="12">
        <f>AE1105</f>
        <v/>
      </c>
      <c r="AC1106" s="12" t="n">
        <v>4</v>
      </c>
      <c r="AD1106" s="12" t="n">
        <v>0</v>
      </c>
      <c r="AE1106" s="12">
        <f>AB1106+AC1106+AD1106</f>
        <v/>
      </c>
      <c r="AF1106" s="13">
        <f>AI1105</f>
        <v/>
      </c>
      <c r="AG1106" s="13" t="n">
        <v>0</v>
      </c>
      <c r="AH1106" s="13" t="n">
        <v>0</v>
      </c>
      <c r="AI1106" s="13">
        <f>AF1106+AG1106+AH1106</f>
        <v/>
      </c>
      <c r="AJ1106" s="14" t="n">
        <v>30</v>
      </c>
      <c r="AK1106" s="14" t="n">
        <v>50</v>
      </c>
      <c r="AL1106" s="14" t="n">
        <v>0</v>
      </c>
      <c r="AM1106" s="14">
        <f>AJ1106+AK1106+AL1106</f>
        <v/>
      </c>
      <c r="AN1106" s="14">
        <f>AN1105+AM1106</f>
        <v/>
      </c>
    </row>
    <row r="1107">
      <c r="A1107" s="8" t="n">
        <v>43</v>
      </c>
      <c r="B1107" s="8" t="n">
        <v>7</v>
      </c>
      <c r="C1107" s="8" t="n">
        <v>2</v>
      </c>
      <c r="D1107" s="8" t="inlineStr">
        <is>
          <t>月卡收益</t>
        </is>
      </c>
      <c r="E1107" s="9">
        <f>K1106</f>
        <v/>
      </c>
      <c r="F1107" s="9" t="n">
        <v>1540</v>
      </c>
      <c r="G1107" s="9" t="n">
        <v>0</v>
      </c>
      <c r="H1107" s="9" t="n">
        <v>0</v>
      </c>
      <c r="I1107" s="9" t="n">
        <v>0</v>
      </c>
      <c r="J1107" s="9" t="n">
        <v>7520</v>
      </c>
      <c r="K1107" s="9">
        <f>E1107+F1107+G1107+H1107+I1107-J1107</f>
        <v/>
      </c>
      <c r="L1107" s="10">
        <f>Q1106</f>
        <v/>
      </c>
      <c r="M1107" s="10" t="n">
        <v>0</v>
      </c>
      <c r="N1107" s="10" t="n">
        <v>3</v>
      </c>
      <c r="O1107" s="10">
        <f>J1107/160</f>
        <v/>
      </c>
      <c r="P1107" s="10" t="n">
        <v>50</v>
      </c>
      <c r="Q1107" s="10">
        <f>L1107+M1107+N1107+O1107-P1107</f>
        <v/>
      </c>
      <c r="R1107" s="11">
        <f>T1106</f>
        <v/>
      </c>
      <c r="S1107" s="11">
        <f>N(V1107) + N(X1107) + N(Z1107)</f>
        <v/>
      </c>
      <c r="T1107" s="11">
        <f>R1107+P1107-S1107</f>
        <v/>
      </c>
      <c r="U1107" s="11" t="inlineStr">
        <is>
          <t>否</t>
        </is>
      </c>
      <c r="V1107" s="11" t="inlineStr">
        <is>
          <t>-</t>
        </is>
      </c>
      <c r="W1107" s="11" t="inlineStr">
        <is>
          <t>是</t>
        </is>
      </c>
      <c r="X1107" s="11" t="n">
        <v>51</v>
      </c>
      <c r="Y1107" s="11" t="inlineStr">
        <is>
          <t>-</t>
        </is>
      </c>
      <c r="Z1107" s="11" t="n">
        <v>0</v>
      </c>
      <c r="AA1107" s="11" t="inlineStr">
        <is>
          <t>无</t>
        </is>
      </c>
      <c r="AB1107" s="12">
        <f>AE1106</f>
        <v/>
      </c>
      <c r="AC1107" s="12" t="n">
        <v>0</v>
      </c>
      <c r="AD1107" s="12" t="n">
        <v>0</v>
      </c>
      <c r="AE1107" s="12">
        <f>AB1107+AC1107+AD1107</f>
        <v/>
      </c>
      <c r="AF1107" s="13">
        <f>AI1106</f>
        <v/>
      </c>
      <c r="AG1107" s="13" t="n">
        <v>0</v>
      </c>
      <c r="AH1107" s="13" t="n">
        <v>0</v>
      </c>
      <c r="AI1107" s="13">
        <f>AF1107+AG1107+AH1107</f>
        <v/>
      </c>
      <c r="AJ1107" s="14" t="n">
        <v>0</v>
      </c>
      <c r="AK1107" s="14" t="n">
        <v>0</v>
      </c>
      <c r="AL1107" s="14" t="n">
        <v>0</v>
      </c>
      <c r="AM1107" s="14">
        <f>AJ1107+AK1107+AL1107</f>
        <v/>
      </c>
      <c r="AN1107" s="14">
        <f>AN1106+AM1107</f>
        <v/>
      </c>
    </row>
    <row r="1108">
      <c r="A1108" s="8" t="n">
        <v>43</v>
      </c>
      <c r="B1108" s="8" t="n">
        <v>8</v>
      </c>
      <c r="C1108" s="8" t="n">
        <v>1</v>
      </c>
      <c r="D1108" s="8" t="inlineStr">
        <is>
          <t>版本免费+义相逢 + 月卡收益 [月卡续费-30元]</t>
        </is>
      </c>
      <c r="E1108" s="9">
        <f>K1107</f>
        <v/>
      </c>
      <c r="F1108" s="9" t="n">
        <v>1540</v>
      </c>
      <c r="G1108" s="9" t="n">
        <v>4800</v>
      </c>
      <c r="H1108" s="9" t="n">
        <v>0</v>
      </c>
      <c r="I1108" s="9" t="n">
        <v>0</v>
      </c>
      <c r="J1108" s="9" t="n">
        <v>0</v>
      </c>
      <c r="K1108" s="9">
        <f>E1108+F1108+G1108+H1108+I1108-J1108</f>
        <v/>
      </c>
      <c r="L1108" s="10">
        <f>Q1107</f>
        <v/>
      </c>
      <c r="M1108" s="10" t="n">
        <v>85</v>
      </c>
      <c r="N1108" s="10" t="n">
        <v>6</v>
      </c>
      <c r="O1108" s="10">
        <f>J1108/160</f>
        <v/>
      </c>
      <c r="P1108" s="10" t="n">
        <v>60</v>
      </c>
      <c r="Q1108" s="10">
        <f>L1108+M1108+N1108+O1108-P1108</f>
        <v/>
      </c>
      <c r="R1108" s="11">
        <f>T1107</f>
        <v/>
      </c>
      <c r="S1108" s="11">
        <f>N(V1108) + N(X1108) + N(Z1108)</f>
        <v/>
      </c>
      <c r="T1108" s="11">
        <f>R1108+P1108-S1108</f>
        <v/>
      </c>
      <c r="U1108" s="11" t="inlineStr">
        <is>
          <t>是</t>
        </is>
      </c>
      <c r="V1108" s="11" t="n">
        <v>51</v>
      </c>
      <c r="W1108" s="11" t="inlineStr">
        <is>
          <t>否</t>
        </is>
      </c>
      <c r="X1108" s="11" t="inlineStr">
        <is>
          <t>-</t>
        </is>
      </c>
      <c r="Y1108" s="11" t="inlineStr">
        <is>
          <t>-</t>
        </is>
      </c>
      <c r="Z1108" s="11" t="n">
        <v>0</v>
      </c>
      <c r="AA1108" s="11" t="inlineStr">
        <is>
          <t>垫到60抽</t>
        </is>
      </c>
      <c r="AB1108" s="12">
        <f>AE1107</f>
        <v/>
      </c>
      <c r="AC1108" s="12" t="n">
        <v>4</v>
      </c>
      <c r="AD1108" s="12" t="n">
        <v>0</v>
      </c>
      <c r="AE1108" s="12">
        <f>AB1108+AC1108+AD1108</f>
        <v/>
      </c>
      <c r="AF1108" s="13">
        <f>AI1107</f>
        <v/>
      </c>
      <c r="AG1108" s="13" t="n">
        <v>0</v>
      </c>
      <c r="AH1108" s="13" t="n">
        <v>0</v>
      </c>
      <c r="AI1108" s="13">
        <f>AF1108+AG1108+AH1108</f>
        <v/>
      </c>
      <c r="AJ1108" s="14" t="n">
        <v>30</v>
      </c>
      <c r="AK1108" s="14" t="n">
        <v>50</v>
      </c>
      <c r="AL1108" s="14" t="n">
        <v>0</v>
      </c>
      <c r="AM1108" s="14">
        <f>AJ1108+AK1108+AL1108</f>
        <v/>
      </c>
      <c r="AN1108" s="14">
        <f>AN1107+AM1108</f>
        <v/>
      </c>
    </row>
    <row r="1109">
      <c r="A1109" s="8" t="n">
        <v>43</v>
      </c>
      <c r="B1109" s="8" t="n">
        <v>8</v>
      </c>
      <c r="C1109" s="8" t="n">
        <v>2</v>
      </c>
      <c r="D1109" s="8" t="inlineStr">
        <is>
          <t>月卡收益</t>
        </is>
      </c>
      <c r="E1109" s="9">
        <f>K1108</f>
        <v/>
      </c>
      <c r="F1109" s="9" t="n">
        <v>1540</v>
      </c>
      <c r="G1109" s="9" t="n">
        <v>0</v>
      </c>
      <c r="H1109" s="9" t="n">
        <v>0</v>
      </c>
      <c r="I1109" s="9" t="n">
        <v>0</v>
      </c>
      <c r="J1109" s="9" t="n">
        <v>960</v>
      </c>
      <c r="K1109" s="9">
        <f>E1109+F1109+G1109+H1109+I1109-J1109</f>
        <v/>
      </c>
      <c r="L1109" s="10">
        <f>Q1108</f>
        <v/>
      </c>
      <c r="M1109" s="10" t="n">
        <v>0</v>
      </c>
      <c r="N1109" s="10" t="n">
        <v>3</v>
      </c>
      <c r="O1109" s="10">
        <f>J1109/160</f>
        <v/>
      </c>
      <c r="P1109" s="10" t="n">
        <v>40</v>
      </c>
      <c r="Q1109" s="10">
        <f>L1109+M1109+N1109+O1109-P1109</f>
        <v/>
      </c>
      <c r="R1109" s="11">
        <f>T1108</f>
        <v/>
      </c>
      <c r="S1109" s="11">
        <f>N(V1109) + N(X1109) + N(Z1109)</f>
        <v/>
      </c>
      <c r="T1109" s="11">
        <f>R1109+P1109-S1109</f>
        <v/>
      </c>
      <c r="U1109" s="11" t="inlineStr">
        <is>
          <t>是</t>
        </is>
      </c>
      <c r="V1109" s="11" t="n">
        <v>49</v>
      </c>
      <c r="W1109" s="11" t="inlineStr">
        <is>
          <t>否</t>
        </is>
      </c>
      <c r="X1109" s="11" t="inlineStr">
        <is>
          <t>-</t>
        </is>
      </c>
      <c r="Y1109" s="11" t="inlineStr">
        <is>
          <t>-</t>
        </is>
      </c>
      <c r="Z1109" s="11" t="n">
        <v>0</v>
      </c>
      <c r="AA1109" s="11" t="inlineStr">
        <is>
          <t>无</t>
        </is>
      </c>
      <c r="AB1109" s="12">
        <f>AE1108</f>
        <v/>
      </c>
      <c r="AC1109" s="12" t="n">
        <v>0</v>
      </c>
      <c r="AD1109" s="12" t="n">
        <v>0</v>
      </c>
      <c r="AE1109" s="12">
        <f>AB1109+AC1109+AD1109</f>
        <v/>
      </c>
      <c r="AF1109" s="13">
        <f>AI1108</f>
        <v/>
      </c>
      <c r="AG1109" s="13" t="n">
        <v>0</v>
      </c>
      <c r="AH1109" s="13" t="n">
        <v>0</v>
      </c>
      <c r="AI1109" s="13">
        <f>AF1109+AG1109+AH1109</f>
        <v/>
      </c>
      <c r="AJ1109" s="14" t="n">
        <v>0</v>
      </c>
      <c r="AK1109" s="14" t="n">
        <v>0</v>
      </c>
      <c r="AL1109" s="14" t="n">
        <v>0</v>
      </c>
      <c r="AM1109" s="14">
        <f>AJ1109+AK1109+AL1109</f>
        <v/>
      </c>
      <c r="AN1109" s="14">
        <f>AN1108+AM1109</f>
        <v/>
      </c>
    </row>
    <row r="1110">
      <c r="A1110" s="8" t="n">
        <v>43</v>
      </c>
      <c r="B1110" s="8" t="n">
        <v>9</v>
      </c>
      <c r="C1110" s="8" t="n">
        <v>1</v>
      </c>
      <c r="D1110" s="8" t="inlineStr">
        <is>
          <t>版本免费+义相逢 + 月卡收益 [月卡续费-30元]</t>
        </is>
      </c>
      <c r="E1110" s="9">
        <f>K1109</f>
        <v/>
      </c>
      <c r="F1110" s="9" t="n">
        <v>1540</v>
      </c>
      <c r="G1110" s="9" t="n">
        <v>4800</v>
      </c>
      <c r="H1110" s="9" t="n">
        <v>0</v>
      </c>
      <c r="I1110" s="9" t="n">
        <v>0</v>
      </c>
      <c r="J1110" s="9" t="n">
        <v>640</v>
      </c>
      <c r="K1110" s="9">
        <f>E1110+F1110+G1110+H1110+I1110-J1110</f>
        <v/>
      </c>
      <c r="L1110" s="10">
        <f>Q1109</f>
        <v/>
      </c>
      <c r="M1110" s="10" t="n">
        <v>85</v>
      </c>
      <c r="N1110" s="10" t="n">
        <v>11</v>
      </c>
      <c r="O1110" s="10">
        <f>J1110/160</f>
        <v/>
      </c>
      <c r="P1110" s="10" t="n">
        <v>100</v>
      </c>
      <c r="Q1110" s="10">
        <f>L1110+M1110+N1110+O1110-P1110</f>
        <v/>
      </c>
      <c r="R1110" s="11">
        <f>T1109</f>
        <v/>
      </c>
      <c r="S1110" s="11">
        <f>N(V1110) + N(X1110) + N(Z1110)</f>
        <v/>
      </c>
      <c r="T1110" s="11">
        <f>R1110+P1110-S1110</f>
        <v/>
      </c>
      <c r="U1110" s="11" t="inlineStr">
        <is>
          <t>是</t>
        </is>
      </c>
      <c r="V1110" s="11" t="n">
        <v>46</v>
      </c>
      <c r="W1110" s="11" t="inlineStr">
        <is>
          <t>是</t>
        </is>
      </c>
      <c r="X1110" s="11" t="n">
        <v>48</v>
      </c>
      <c r="Y1110" s="11" t="inlineStr">
        <is>
          <t>-</t>
        </is>
      </c>
      <c r="Z1110" s="11" t="n">
        <v>0</v>
      </c>
      <c r="AA1110" s="11" t="inlineStr">
        <is>
          <t>无</t>
        </is>
      </c>
      <c r="AB1110" s="12">
        <f>AE1109</f>
        <v/>
      </c>
      <c r="AC1110" s="12" t="n">
        <v>4</v>
      </c>
      <c r="AD1110" s="12" t="n">
        <v>0</v>
      </c>
      <c r="AE1110" s="12">
        <f>AB1110+AC1110+AD1110</f>
        <v/>
      </c>
      <c r="AF1110" s="13">
        <f>AI1109</f>
        <v/>
      </c>
      <c r="AG1110" s="13" t="n">
        <v>0</v>
      </c>
      <c r="AH1110" s="13" t="n">
        <v>0</v>
      </c>
      <c r="AI1110" s="13">
        <f>AF1110+AG1110+AH1110</f>
        <v/>
      </c>
      <c r="AJ1110" s="14" t="n">
        <v>30</v>
      </c>
      <c r="AK1110" s="14" t="n">
        <v>50</v>
      </c>
      <c r="AL1110" s="14" t="n">
        <v>0</v>
      </c>
      <c r="AM1110" s="14">
        <f>AJ1110+AK1110+AL1110</f>
        <v/>
      </c>
      <c r="AN1110" s="14">
        <f>AN1109+AM1110</f>
        <v/>
      </c>
    </row>
    <row r="1111">
      <c r="A1111" s="8" t="n">
        <v>43</v>
      </c>
      <c r="B1111" s="8" t="n">
        <v>9</v>
      </c>
      <c r="C1111" s="8" t="n">
        <v>2</v>
      </c>
      <c r="D1111" s="8" t="inlineStr">
        <is>
          <t>月卡收益</t>
        </is>
      </c>
      <c r="E1111" s="9">
        <f>K1110</f>
        <v/>
      </c>
      <c r="F1111" s="9" t="n">
        <v>1540</v>
      </c>
      <c r="G1111" s="9" t="n">
        <v>0</v>
      </c>
      <c r="H1111" s="9" t="n">
        <v>0</v>
      </c>
      <c r="I1111" s="9" t="n">
        <v>0</v>
      </c>
      <c r="J1111" s="9" t="n">
        <v>9120</v>
      </c>
      <c r="K1111" s="9">
        <f>E1111+F1111+G1111+H1111+I1111-J1111</f>
        <v/>
      </c>
      <c r="L1111" s="10">
        <f>Q1110</f>
        <v/>
      </c>
      <c r="M1111" s="10" t="n">
        <v>0</v>
      </c>
      <c r="N1111" s="10" t="n">
        <v>6</v>
      </c>
      <c r="O1111" s="10">
        <f>J1111/160</f>
        <v/>
      </c>
      <c r="P1111" s="10" t="n">
        <v>60</v>
      </c>
      <c r="Q1111" s="10">
        <f>L1111+M1111+N1111+O1111-P1111</f>
        <v/>
      </c>
      <c r="R1111" s="11">
        <f>T1110</f>
        <v/>
      </c>
      <c r="S1111" s="11">
        <f>N(V1111) + N(X1111) + N(Z1111)</f>
        <v/>
      </c>
      <c r="T1111" s="11">
        <f>R1111+P1111-S1111</f>
        <v/>
      </c>
      <c r="U1111" s="11" t="inlineStr">
        <is>
          <t>是</t>
        </is>
      </c>
      <c r="V1111" s="11" t="n">
        <v>49</v>
      </c>
      <c r="W1111" s="11" t="inlineStr">
        <is>
          <t>是</t>
        </is>
      </c>
      <c r="X1111" s="11" t="n">
        <v>2</v>
      </c>
      <c r="Y1111" s="11" t="inlineStr">
        <is>
          <t>-</t>
        </is>
      </c>
      <c r="Z1111" s="11" t="n">
        <v>0</v>
      </c>
      <c r="AA1111" s="11" t="inlineStr">
        <is>
          <t>垫到60抽</t>
        </is>
      </c>
      <c r="AB1111" s="12">
        <f>AE1110</f>
        <v/>
      </c>
      <c r="AC1111" s="12" t="n">
        <v>0</v>
      </c>
      <c r="AD1111" s="12" t="n">
        <v>0</v>
      </c>
      <c r="AE1111" s="12">
        <f>AB1111+AC1111+AD1111</f>
        <v/>
      </c>
      <c r="AF1111" s="13">
        <f>AI1110</f>
        <v/>
      </c>
      <c r="AG1111" s="13" t="n">
        <v>0</v>
      </c>
      <c r="AH1111" s="13" t="n">
        <v>0</v>
      </c>
      <c r="AI1111" s="13">
        <f>AF1111+AG1111+AH1111</f>
        <v/>
      </c>
      <c r="AJ1111" s="14" t="n">
        <v>0</v>
      </c>
      <c r="AK1111" s="14" t="n">
        <v>0</v>
      </c>
      <c r="AL1111" s="14" t="n">
        <v>0</v>
      </c>
      <c r="AM1111" s="14">
        <f>AJ1111+AK1111+AL1111</f>
        <v/>
      </c>
      <c r="AN1111" s="14">
        <f>AN1110+AM1111</f>
        <v/>
      </c>
    </row>
    <row r="1112">
      <c r="A1112" s="8" t="n">
        <v>43</v>
      </c>
      <c r="B1112" s="8" t="n">
        <v>10</v>
      </c>
      <c r="C1112" s="8" t="n">
        <v>1</v>
      </c>
      <c r="D1112" s="8" t="inlineStr">
        <is>
          <t>版本免费+义相逢 + 月卡收益</t>
        </is>
      </c>
      <c r="E1112" s="9">
        <f>K1111</f>
        <v/>
      </c>
      <c r="F1112" s="9" t="n">
        <v>1540</v>
      </c>
      <c r="G1112" s="9" t="n">
        <v>4800</v>
      </c>
      <c r="H1112" s="9" t="n">
        <v>0</v>
      </c>
      <c r="I1112" s="9" t="n">
        <v>0</v>
      </c>
      <c r="J1112" s="9" t="n">
        <v>0</v>
      </c>
      <c r="K1112" s="9">
        <f>E1112+F1112+G1112+H1112+I1112-J1112</f>
        <v/>
      </c>
      <c r="L1112" s="10">
        <f>Q1111</f>
        <v/>
      </c>
      <c r="M1112" s="10" t="n">
        <v>85</v>
      </c>
      <c r="N1112" s="10" t="n">
        <v>3</v>
      </c>
      <c r="O1112" s="10">
        <f>J1112/160</f>
        <v/>
      </c>
      <c r="P1112" s="10" t="n">
        <v>40</v>
      </c>
      <c r="Q1112" s="10">
        <f>L1112+M1112+N1112+O1112-P1112</f>
        <v/>
      </c>
      <c r="R1112" s="11">
        <f>T1111</f>
        <v/>
      </c>
      <c r="S1112" s="11">
        <f>N(V1112) + N(X1112) + N(Z1112)</f>
        <v/>
      </c>
      <c r="T1112" s="11">
        <f>R1112+P1112-S1112</f>
        <v/>
      </c>
      <c r="U1112" s="11" t="inlineStr">
        <is>
          <t>是</t>
        </is>
      </c>
      <c r="V1112" s="11" t="n">
        <v>52</v>
      </c>
      <c r="W1112" s="11" t="inlineStr">
        <is>
          <t>否</t>
        </is>
      </c>
      <c r="X1112" s="11" t="inlineStr">
        <is>
          <t>-</t>
        </is>
      </c>
      <c r="Y1112" s="11" t="inlineStr">
        <is>
          <t>-</t>
        </is>
      </c>
      <c r="Z1112" s="11" t="n">
        <v>0</v>
      </c>
      <c r="AA1112" s="11" t="inlineStr">
        <is>
          <t>无</t>
        </is>
      </c>
      <c r="AB1112" s="12">
        <f>AE1111</f>
        <v/>
      </c>
      <c r="AC1112" s="12" t="n">
        <v>4</v>
      </c>
      <c r="AD1112" s="12" t="n">
        <v>0</v>
      </c>
      <c r="AE1112" s="12">
        <f>AB1112+AC1112+AD1112</f>
        <v/>
      </c>
      <c r="AF1112" s="13">
        <f>AI1111</f>
        <v/>
      </c>
      <c r="AG1112" s="13" t="n">
        <v>0</v>
      </c>
      <c r="AH1112" s="13" t="n">
        <v>0</v>
      </c>
      <c r="AI1112" s="13">
        <f>AF1112+AG1112+AH1112</f>
        <v/>
      </c>
      <c r="AJ1112" s="14" t="n">
        <v>0</v>
      </c>
      <c r="AK1112" s="14" t="n">
        <v>50</v>
      </c>
      <c r="AL1112" s="14" t="n">
        <v>0</v>
      </c>
      <c r="AM1112" s="14">
        <f>AJ1112+AK1112+AL1112</f>
        <v/>
      </c>
      <c r="AN1112" s="14">
        <f>AN1111+AM1112</f>
        <v/>
      </c>
    </row>
    <row r="1113">
      <c r="A1113" s="8" t="n">
        <v>43</v>
      </c>
      <c r="B1113" s="8" t="n">
        <v>10</v>
      </c>
      <c r="C1113" s="8" t="n">
        <v>2</v>
      </c>
      <c r="D1113" s="8" t="inlineStr">
        <is>
          <t>月卡收益 [月卡续费-30元]</t>
        </is>
      </c>
      <c r="E1113" s="9">
        <f>K1112</f>
        <v/>
      </c>
      <c r="F1113" s="9" t="n">
        <v>1540</v>
      </c>
      <c r="G1113" s="9" t="n">
        <v>0</v>
      </c>
      <c r="H1113" s="9" t="n">
        <v>0</v>
      </c>
      <c r="I1113" s="9" t="n">
        <v>0</v>
      </c>
      <c r="J1113" s="9" t="n">
        <v>6080</v>
      </c>
      <c r="K1113" s="9">
        <f>E1113+F1113+G1113+H1113+I1113-J1113</f>
        <v/>
      </c>
      <c r="L1113" s="10">
        <f>Q1112</f>
        <v/>
      </c>
      <c r="M1113" s="10" t="n">
        <v>0</v>
      </c>
      <c r="N1113" s="10" t="n">
        <v>11</v>
      </c>
      <c r="O1113" s="10">
        <f>J1113/160</f>
        <v/>
      </c>
      <c r="P1113" s="10" t="n">
        <v>100</v>
      </c>
      <c r="Q1113" s="10">
        <f>L1113+M1113+N1113+O1113-P1113</f>
        <v/>
      </c>
      <c r="R1113" s="11">
        <f>T1112</f>
        <v/>
      </c>
      <c r="S1113" s="11">
        <f>N(V1113) + N(X1113) + N(Z1113)</f>
        <v/>
      </c>
      <c r="T1113" s="11">
        <f>R1113+P1113-S1113</f>
        <v/>
      </c>
      <c r="U1113" s="11" t="inlineStr">
        <is>
          <t>是</t>
        </is>
      </c>
      <c r="V1113" s="11" t="n">
        <v>46</v>
      </c>
      <c r="W1113" s="11" t="inlineStr">
        <is>
          <t>是</t>
        </is>
      </c>
      <c r="X1113" s="11" t="n">
        <v>50</v>
      </c>
      <c r="Y1113" s="11" t="inlineStr">
        <is>
          <t>-</t>
        </is>
      </c>
      <c r="Z1113" s="11" t="n">
        <v>0</v>
      </c>
      <c r="AA1113" s="11" t="inlineStr">
        <is>
          <t>无</t>
        </is>
      </c>
      <c r="AB1113" s="12">
        <f>AE1112</f>
        <v/>
      </c>
      <c r="AC1113" s="12" t="n">
        <v>0</v>
      </c>
      <c r="AD1113" s="12" t="n">
        <v>0</v>
      </c>
      <c r="AE1113" s="12">
        <f>AB1113+AC1113+AD1113</f>
        <v/>
      </c>
      <c r="AF1113" s="13">
        <f>AI1112</f>
        <v/>
      </c>
      <c r="AG1113" s="13" t="n">
        <v>0</v>
      </c>
      <c r="AH1113" s="13" t="n">
        <v>0</v>
      </c>
      <c r="AI1113" s="13">
        <f>AF1113+AG1113+AH1113</f>
        <v/>
      </c>
      <c r="AJ1113" s="14" t="n">
        <v>30</v>
      </c>
      <c r="AK1113" s="14" t="n">
        <v>0</v>
      </c>
      <c r="AL1113" s="14" t="n">
        <v>0</v>
      </c>
      <c r="AM1113" s="14">
        <f>AJ1113+AK1113+AL1113</f>
        <v/>
      </c>
      <c r="AN1113" s="14">
        <f>AN1112+AM1113</f>
        <v/>
      </c>
    </row>
    <row r="1114">
      <c r="A1114" s="8" t="n">
        <v>43</v>
      </c>
      <c r="B1114" s="8" t="n">
        <v>11</v>
      </c>
      <c r="C1114" s="8" t="n">
        <v>1</v>
      </c>
      <c r="D1114" s="8" t="inlineStr">
        <is>
          <t>版本免费+义相逢 + 月卡收益</t>
        </is>
      </c>
      <c r="E1114" s="9">
        <f>K1113</f>
        <v/>
      </c>
      <c r="F1114" s="9" t="n">
        <v>1540</v>
      </c>
      <c r="G1114" s="9" t="n">
        <v>4800</v>
      </c>
      <c r="H1114" s="9" t="n">
        <v>0</v>
      </c>
      <c r="I1114" s="9" t="n">
        <v>0</v>
      </c>
      <c r="J1114" s="9" t="n">
        <v>0</v>
      </c>
      <c r="K1114" s="9">
        <f>E1114+F1114+G1114+H1114+I1114-J1114</f>
        <v/>
      </c>
      <c r="L1114" s="10">
        <f>Q1113</f>
        <v/>
      </c>
      <c r="M1114" s="10" t="n">
        <v>85</v>
      </c>
      <c r="N1114" s="10" t="n">
        <v>11</v>
      </c>
      <c r="O1114" s="10">
        <f>J1114/160</f>
        <v/>
      </c>
      <c r="P1114" s="10" t="n">
        <v>90</v>
      </c>
      <c r="Q1114" s="10">
        <f>L1114+M1114+N1114+O1114-P1114</f>
        <v/>
      </c>
      <c r="R1114" s="11">
        <f>T1113</f>
        <v/>
      </c>
      <c r="S1114" s="11">
        <f>N(V1114) + N(X1114) + N(Z1114)</f>
        <v/>
      </c>
      <c r="T1114" s="11">
        <f>R1114+P1114-S1114</f>
        <v/>
      </c>
      <c r="U1114" s="11" t="inlineStr">
        <is>
          <t>是</t>
        </is>
      </c>
      <c r="V1114" s="11" t="n">
        <v>48</v>
      </c>
      <c r="W1114" s="11" t="inlineStr">
        <is>
          <t>是</t>
        </is>
      </c>
      <c r="X1114" s="11" t="n">
        <v>47</v>
      </c>
      <c r="Y1114" s="11" t="inlineStr">
        <is>
          <t>-</t>
        </is>
      </c>
      <c r="Z1114" s="11" t="n">
        <v>0</v>
      </c>
      <c r="AA1114" s="11" t="inlineStr">
        <is>
          <t>无</t>
        </is>
      </c>
      <c r="AB1114" s="12">
        <f>AE1113</f>
        <v/>
      </c>
      <c r="AC1114" s="12" t="n">
        <v>4</v>
      </c>
      <c r="AD1114" s="12" t="n">
        <v>0</v>
      </c>
      <c r="AE1114" s="12">
        <f>AB1114+AC1114+AD1114</f>
        <v/>
      </c>
      <c r="AF1114" s="13">
        <f>AI1113</f>
        <v/>
      </c>
      <c r="AG1114" s="13" t="n">
        <v>0</v>
      </c>
      <c r="AH1114" s="13" t="n">
        <v>0</v>
      </c>
      <c r="AI1114" s="13">
        <f>AF1114+AG1114+AH1114</f>
        <v/>
      </c>
      <c r="AJ1114" s="14" t="n">
        <v>0</v>
      </c>
      <c r="AK1114" s="14" t="n">
        <v>50</v>
      </c>
      <c r="AL1114" s="14" t="n">
        <v>0</v>
      </c>
      <c r="AM1114" s="14">
        <f>AJ1114+AK1114+AL1114</f>
        <v/>
      </c>
      <c r="AN1114" s="14">
        <f>AN1113+AM1114</f>
        <v/>
      </c>
    </row>
    <row r="1115">
      <c r="A1115" s="8" t="n">
        <v>43</v>
      </c>
      <c r="B1115" s="8" t="n">
        <v>11</v>
      </c>
      <c r="C1115" s="8" t="n">
        <v>2</v>
      </c>
      <c r="D1115" s="8" t="inlineStr">
        <is>
          <t>月卡收益 [月卡续费-30元]</t>
        </is>
      </c>
      <c r="E1115" s="9">
        <f>K1114</f>
        <v/>
      </c>
      <c r="F1115" s="9" t="n">
        <v>1540</v>
      </c>
      <c r="G1115" s="9" t="n">
        <v>0</v>
      </c>
      <c r="H1115" s="9" t="n">
        <v>0</v>
      </c>
      <c r="I1115" s="9" t="n">
        <v>0</v>
      </c>
      <c r="J1115" s="9" t="n">
        <v>8160</v>
      </c>
      <c r="K1115" s="9">
        <f>E1115+F1115+G1115+H1115+I1115-J1115</f>
        <v/>
      </c>
      <c r="L1115" s="10">
        <f>Q1114</f>
        <v/>
      </c>
      <c r="M1115" s="10" t="n">
        <v>0</v>
      </c>
      <c r="N1115" s="10" t="n">
        <v>6</v>
      </c>
      <c r="O1115" s="10">
        <f>J1115/160</f>
        <v/>
      </c>
      <c r="P1115" s="10" t="n">
        <v>60</v>
      </c>
      <c r="Q1115" s="10">
        <f>L1115+M1115+N1115+O1115-P1115</f>
        <v/>
      </c>
      <c r="R1115" s="11">
        <f>T1114</f>
        <v/>
      </c>
      <c r="S1115" s="11">
        <f>N(V1115) + N(X1115) + N(Z1115)</f>
        <v/>
      </c>
      <c r="T1115" s="11">
        <f>R1115+P1115-S1115</f>
        <v/>
      </c>
      <c r="U1115" s="11" t="inlineStr">
        <is>
          <t>是</t>
        </is>
      </c>
      <c r="V1115" s="11" t="n">
        <v>46</v>
      </c>
      <c r="W1115" s="11" t="inlineStr">
        <is>
          <t>否</t>
        </is>
      </c>
      <c r="X1115" s="11" t="inlineStr">
        <is>
          <t>-</t>
        </is>
      </c>
      <c r="Y1115" s="11" t="inlineStr">
        <is>
          <t>-</t>
        </is>
      </c>
      <c r="Z1115" s="11" t="n">
        <v>0</v>
      </c>
      <c r="AA1115" s="11" t="inlineStr">
        <is>
          <t>垫到60抽</t>
        </is>
      </c>
      <c r="AB1115" s="12">
        <f>AE1114</f>
        <v/>
      </c>
      <c r="AC1115" s="12" t="n">
        <v>0</v>
      </c>
      <c r="AD1115" s="12" t="n">
        <v>0</v>
      </c>
      <c r="AE1115" s="12">
        <f>AB1115+AC1115+AD1115</f>
        <v/>
      </c>
      <c r="AF1115" s="13">
        <f>AI1114</f>
        <v/>
      </c>
      <c r="AG1115" s="13" t="n">
        <v>0</v>
      </c>
      <c r="AH1115" s="13" t="n">
        <v>0</v>
      </c>
      <c r="AI1115" s="13">
        <f>AF1115+AG1115+AH1115</f>
        <v/>
      </c>
      <c r="AJ1115" s="14" t="n">
        <v>30</v>
      </c>
      <c r="AK1115" s="14" t="n">
        <v>0</v>
      </c>
      <c r="AL1115" s="14" t="n">
        <v>0</v>
      </c>
      <c r="AM1115" s="14">
        <f>AJ1115+AK1115+AL1115</f>
        <v/>
      </c>
      <c r="AN1115" s="14">
        <f>AN1114+AM1115</f>
        <v/>
      </c>
    </row>
    <row r="1116">
      <c r="A1116" s="8" t="n">
        <v>43</v>
      </c>
      <c r="B1116" s="8" t="n">
        <v>12</v>
      </c>
      <c r="C1116" s="8" t="n">
        <v>1</v>
      </c>
      <c r="D1116" s="8" t="inlineStr">
        <is>
          <t>版本免费+义相逢 + 月卡收益</t>
        </is>
      </c>
      <c r="E1116" s="9">
        <f>K1115</f>
        <v/>
      </c>
      <c r="F1116" s="9" t="n">
        <v>1540</v>
      </c>
      <c r="G1116" s="9" t="n">
        <v>4800</v>
      </c>
      <c r="H1116" s="9" t="n">
        <v>0</v>
      </c>
      <c r="I1116" s="9" t="n">
        <v>0</v>
      </c>
      <c r="J1116" s="9" t="n">
        <v>0</v>
      </c>
      <c r="K1116" s="9">
        <f>E1116+F1116+G1116+H1116+I1116-J1116</f>
        <v/>
      </c>
      <c r="L1116" s="10">
        <f>Q1115</f>
        <v/>
      </c>
      <c r="M1116" s="10" t="n">
        <v>85</v>
      </c>
      <c r="N1116" s="10" t="n">
        <v>11</v>
      </c>
      <c r="O1116" s="10">
        <f>J1116/160</f>
        <v/>
      </c>
      <c r="P1116" s="10" t="n">
        <v>90</v>
      </c>
      <c r="Q1116" s="10">
        <f>L1116+M1116+N1116+O1116-P1116</f>
        <v/>
      </c>
      <c r="R1116" s="11">
        <f>T1115</f>
        <v/>
      </c>
      <c r="S1116" s="11">
        <f>N(V1116) + N(X1116) + N(Z1116)</f>
        <v/>
      </c>
      <c r="T1116" s="11">
        <f>R1116+P1116-S1116</f>
        <v/>
      </c>
      <c r="U1116" s="11" t="inlineStr">
        <is>
          <t>是</t>
        </is>
      </c>
      <c r="V1116" s="11" t="n">
        <v>48</v>
      </c>
      <c r="W1116" s="11" t="inlineStr">
        <is>
          <t>是</t>
        </is>
      </c>
      <c r="X1116" s="11" t="n">
        <v>46</v>
      </c>
      <c r="Y1116" s="11" t="inlineStr">
        <is>
          <t>-</t>
        </is>
      </c>
      <c r="Z1116" s="11" t="n">
        <v>0</v>
      </c>
      <c r="AA1116" s="11" t="inlineStr">
        <is>
          <t>垫到90抽</t>
        </is>
      </c>
      <c r="AB1116" s="12">
        <f>AE1115</f>
        <v/>
      </c>
      <c r="AC1116" s="12" t="n">
        <v>4</v>
      </c>
      <c r="AD1116" s="12" t="n">
        <v>0</v>
      </c>
      <c r="AE1116" s="12">
        <f>AB1116+AC1116+AD1116</f>
        <v/>
      </c>
      <c r="AF1116" s="13">
        <f>AI1115</f>
        <v/>
      </c>
      <c r="AG1116" s="13" t="n">
        <v>0</v>
      </c>
      <c r="AH1116" s="13" t="n">
        <v>0</v>
      </c>
      <c r="AI1116" s="13">
        <f>AF1116+AG1116+AH1116</f>
        <v/>
      </c>
      <c r="AJ1116" s="14" t="n">
        <v>0</v>
      </c>
      <c r="AK1116" s="14" t="n">
        <v>50</v>
      </c>
      <c r="AL1116" s="14" t="n">
        <v>0</v>
      </c>
      <c r="AM1116" s="14">
        <f>AJ1116+AK1116+AL1116</f>
        <v/>
      </c>
      <c r="AN1116" s="14">
        <f>AN1115+AM1116</f>
        <v/>
      </c>
    </row>
    <row r="1117">
      <c r="A1117" s="8" t="n">
        <v>43</v>
      </c>
      <c r="B1117" s="8" t="n">
        <v>12</v>
      </c>
      <c r="C1117" s="8" t="n">
        <v>2</v>
      </c>
      <c r="D1117" s="8" t="inlineStr">
        <is>
          <t>月卡收益 [月卡续费-30元]</t>
        </is>
      </c>
      <c r="E1117" s="9">
        <f>K1116</f>
        <v/>
      </c>
      <c r="F1117" s="9" t="n">
        <v>1540</v>
      </c>
      <c r="G1117" s="9" t="n">
        <v>0</v>
      </c>
      <c r="H1117" s="9" t="n">
        <v>0</v>
      </c>
      <c r="I1117" s="9" t="n">
        <v>0</v>
      </c>
      <c r="J1117" s="9" t="n">
        <v>12000</v>
      </c>
      <c r="K1117" s="9">
        <f>E1117+F1117+G1117+H1117+I1117-J1117</f>
        <v/>
      </c>
      <c r="L1117" s="10">
        <f>Q1116</f>
        <v/>
      </c>
      <c r="M1117" s="10" t="n">
        <v>0</v>
      </c>
      <c r="N1117" s="10" t="n">
        <v>11</v>
      </c>
      <c r="O1117" s="10">
        <f>J1117/160</f>
        <v/>
      </c>
      <c r="P1117" s="10" t="n">
        <v>90</v>
      </c>
      <c r="Q1117" s="10">
        <f>L1117+M1117+N1117+O1117-P1117</f>
        <v/>
      </c>
      <c r="R1117" s="11">
        <f>T1116</f>
        <v/>
      </c>
      <c r="S1117" s="11">
        <f>N(V1117) + N(X1117) + N(Z1117)</f>
        <v/>
      </c>
      <c r="T1117" s="11">
        <f>R1117+P1117-S1117</f>
        <v/>
      </c>
      <c r="U1117" s="11" t="inlineStr">
        <is>
          <t>是</t>
        </is>
      </c>
      <c r="V1117" s="11" t="n">
        <v>50</v>
      </c>
      <c r="W1117" s="11" t="inlineStr">
        <is>
          <t>是</t>
        </is>
      </c>
      <c r="X1117" s="11" t="n">
        <v>48</v>
      </c>
      <c r="Y1117" s="11" t="inlineStr">
        <is>
          <t>-</t>
        </is>
      </c>
      <c r="Z1117" s="11" t="n">
        <v>0</v>
      </c>
      <c r="AA1117" s="11" t="inlineStr">
        <is>
          <t>无</t>
        </is>
      </c>
      <c r="AB1117" s="12">
        <f>AE1116</f>
        <v/>
      </c>
      <c r="AC1117" s="12" t="n">
        <v>0</v>
      </c>
      <c r="AD1117" s="12" t="n">
        <v>0</v>
      </c>
      <c r="AE1117" s="12">
        <f>AB1117+AC1117+AD1117</f>
        <v/>
      </c>
      <c r="AF1117" s="13">
        <f>AI1116</f>
        <v/>
      </c>
      <c r="AG1117" s="13" t="n">
        <v>0</v>
      </c>
      <c r="AH1117" s="13" t="n">
        <v>0</v>
      </c>
      <c r="AI1117" s="13">
        <f>AF1117+AG1117+AH1117</f>
        <v/>
      </c>
      <c r="AJ1117" s="14" t="n">
        <v>30</v>
      </c>
      <c r="AK1117" s="14" t="n">
        <v>0</v>
      </c>
      <c r="AL1117" s="14" t="n">
        <v>0</v>
      </c>
      <c r="AM1117" s="14">
        <f>AJ1117+AK1117+AL1117</f>
        <v/>
      </c>
      <c r="AN1117" s="14">
        <f>AN1116+AM1117</f>
        <v/>
      </c>
    </row>
    <row r="1118">
      <c r="A1118" s="8" t="n">
        <v>43</v>
      </c>
      <c r="B1118" s="8" t="n">
        <v>13</v>
      </c>
      <c r="C1118" s="8" t="n">
        <v>1</v>
      </c>
      <c r="D1118" s="8" t="inlineStr">
        <is>
          <t>版本免费+义相逢 + 月卡收益</t>
        </is>
      </c>
      <c r="E1118" s="9">
        <f>K1117</f>
        <v/>
      </c>
      <c r="F1118" s="9" t="n">
        <v>1540</v>
      </c>
      <c r="G1118" s="9" t="n">
        <v>4800</v>
      </c>
      <c r="H1118" s="9" t="n">
        <v>0</v>
      </c>
      <c r="I1118" s="9" t="n">
        <v>0</v>
      </c>
      <c r="J1118" s="9" t="n">
        <v>0</v>
      </c>
      <c r="K1118" s="9">
        <f>E1118+F1118+G1118+H1118+I1118-J1118</f>
        <v/>
      </c>
      <c r="L1118" s="10">
        <f>Q1117</f>
        <v/>
      </c>
      <c r="M1118" s="10" t="n">
        <v>85</v>
      </c>
      <c r="N1118" s="10" t="n">
        <v>6</v>
      </c>
      <c r="O1118" s="10">
        <f>J1118/160</f>
        <v/>
      </c>
      <c r="P1118" s="10" t="n">
        <v>60</v>
      </c>
      <c r="Q1118" s="10">
        <f>L1118+M1118+N1118+O1118-P1118</f>
        <v/>
      </c>
      <c r="R1118" s="11">
        <f>T1117</f>
        <v/>
      </c>
      <c r="S1118" s="11">
        <f>N(V1118) + N(X1118) + N(Z1118)</f>
        <v/>
      </c>
      <c r="T1118" s="11">
        <f>R1118+P1118-S1118</f>
        <v/>
      </c>
      <c r="U1118" s="11" t="inlineStr">
        <is>
          <t>是</t>
        </is>
      </c>
      <c r="V1118" s="11" t="n">
        <v>48</v>
      </c>
      <c r="W1118" s="11" t="inlineStr">
        <is>
          <t>否</t>
        </is>
      </c>
      <c r="X1118" s="11" t="inlineStr">
        <is>
          <t>-</t>
        </is>
      </c>
      <c r="Y1118" s="11" t="inlineStr">
        <is>
          <t>-</t>
        </is>
      </c>
      <c r="Z1118" s="11" t="n">
        <v>0</v>
      </c>
      <c r="AA1118" s="11" t="inlineStr">
        <is>
          <t>垫到60抽</t>
        </is>
      </c>
      <c r="AB1118" s="12">
        <f>AE1117</f>
        <v/>
      </c>
      <c r="AC1118" s="12" t="n">
        <v>4</v>
      </c>
      <c r="AD1118" s="12" t="n">
        <v>0</v>
      </c>
      <c r="AE1118" s="12">
        <f>AB1118+AC1118+AD1118</f>
        <v/>
      </c>
      <c r="AF1118" s="13">
        <f>AI1117</f>
        <v/>
      </c>
      <c r="AG1118" s="13" t="n">
        <v>0</v>
      </c>
      <c r="AH1118" s="13" t="n">
        <v>0</v>
      </c>
      <c r="AI1118" s="13">
        <f>AF1118+AG1118+AH1118</f>
        <v/>
      </c>
      <c r="AJ1118" s="14" t="n">
        <v>0</v>
      </c>
      <c r="AK1118" s="14" t="n">
        <v>50</v>
      </c>
      <c r="AL1118" s="14" t="n">
        <v>0</v>
      </c>
      <c r="AM1118" s="14">
        <f>AJ1118+AK1118+AL1118</f>
        <v/>
      </c>
      <c r="AN1118" s="14">
        <f>AN1117+AM1118</f>
        <v/>
      </c>
    </row>
    <row r="1119">
      <c r="A1119" s="8" t="n">
        <v>43</v>
      </c>
      <c r="B1119" s="8" t="n">
        <v>13</v>
      </c>
      <c r="C1119" s="8" t="n">
        <v>2</v>
      </c>
      <c r="D1119" s="8" t="inlineStr">
        <is>
          <t>月卡收益 [月卡续费-30元]</t>
        </is>
      </c>
      <c r="E1119" s="9">
        <f>K1118</f>
        <v/>
      </c>
      <c r="F1119" s="9" t="n">
        <v>1540</v>
      </c>
      <c r="G1119" s="9" t="n">
        <v>0</v>
      </c>
      <c r="H1119" s="9" t="n">
        <v>0</v>
      </c>
      <c r="I1119" s="9" t="n">
        <v>0</v>
      </c>
      <c r="J1119" s="9" t="n">
        <v>160</v>
      </c>
      <c r="K1119" s="9">
        <f>E1119+F1119+G1119+H1119+I1119-J1119</f>
        <v/>
      </c>
      <c r="L1119" s="10">
        <f>Q1118</f>
        <v/>
      </c>
      <c r="M1119" s="10" t="n">
        <v>0</v>
      </c>
      <c r="N1119" s="10" t="n">
        <v>3</v>
      </c>
      <c r="O1119" s="10">
        <f>J1119/160</f>
        <v/>
      </c>
      <c r="P1119" s="10" t="n">
        <v>40</v>
      </c>
      <c r="Q1119" s="10">
        <f>L1119+M1119+N1119+O1119-P1119</f>
        <v/>
      </c>
      <c r="R1119" s="11">
        <f>T1118</f>
        <v/>
      </c>
      <c r="S1119" s="11">
        <f>N(V1119) + N(X1119) + N(Z1119)</f>
        <v/>
      </c>
      <c r="T1119" s="11">
        <f>R1119+P1119-S1119</f>
        <v/>
      </c>
      <c r="U1119" s="11" t="inlineStr">
        <is>
          <t>是</t>
        </is>
      </c>
      <c r="V1119" s="11" t="n">
        <v>50</v>
      </c>
      <c r="W1119" s="11" t="inlineStr">
        <is>
          <t>否</t>
        </is>
      </c>
      <c r="X1119" s="11" t="inlineStr">
        <is>
          <t>-</t>
        </is>
      </c>
      <c r="Y1119" s="11" t="inlineStr">
        <is>
          <t>-</t>
        </is>
      </c>
      <c r="Z1119" s="11" t="n">
        <v>0</v>
      </c>
      <c r="AA1119" s="11" t="inlineStr">
        <is>
          <t>无</t>
        </is>
      </c>
      <c r="AB1119" s="12">
        <f>AE1118</f>
        <v/>
      </c>
      <c r="AC1119" s="12" t="n">
        <v>0</v>
      </c>
      <c r="AD1119" s="12" t="n">
        <v>0</v>
      </c>
      <c r="AE1119" s="12">
        <f>AB1119+AC1119+AD1119</f>
        <v/>
      </c>
      <c r="AF1119" s="13">
        <f>AI1118</f>
        <v/>
      </c>
      <c r="AG1119" s="13" t="n">
        <v>0</v>
      </c>
      <c r="AH1119" s="13" t="n">
        <v>0</v>
      </c>
      <c r="AI1119" s="13">
        <f>AF1119+AG1119+AH1119</f>
        <v/>
      </c>
      <c r="AJ1119" s="14" t="n">
        <v>30</v>
      </c>
      <c r="AK1119" s="14" t="n">
        <v>0</v>
      </c>
      <c r="AL1119" s="14" t="n">
        <v>0</v>
      </c>
      <c r="AM1119" s="14">
        <f>AJ1119+AK1119+AL1119</f>
        <v/>
      </c>
      <c r="AN1119" s="14">
        <f>AN1118+AM1119</f>
        <v/>
      </c>
    </row>
    <row r="1120">
      <c r="A1120" s="8" t="n">
        <v>44</v>
      </c>
      <c r="B1120" s="8" t="n">
        <v>1</v>
      </c>
      <c r="C1120" s="8" t="n">
        <v>1</v>
      </c>
      <c r="D1120" s="8" t="inlineStr">
        <is>
          <t>版本免费+义相逢 + 月卡收益</t>
        </is>
      </c>
      <c r="E1120" s="9" t="n">
        <v>11640</v>
      </c>
      <c r="F1120" s="9" t="n">
        <v>1540</v>
      </c>
      <c r="G1120" s="9" t="n">
        <v>4800</v>
      </c>
      <c r="H1120" s="9" t="n">
        <v>0</v>
      </c>
      <c r="I1120" s="9" t="n">
        <v>0</v>
      </c>
      <c r="J1120" s="9" t="n">
        <v>0</v>
      </c>
      <c r="K1120" s="9">
        <f>E1120+F1120+G1120+H1120+I1120-J1120</f>
        <v/>
      </c>
      <c r="L1120" s="10" t="n">
        <v>0</v>
      </c>
      <c r="M1120" s="10" t="n">
        <v>85</v>
      </c>
      <c r="N1120" s="10" t="n">
        <v>6</v>
      </c>
      <c r="O1120" s="10">
        <f>J1120/160</f>
        <v/>
      </c>
      <c r="P1120" s="10" t="n">
        <v>60</v>
      </c>
      <c r="Q1120" s="10">
        <f>L1120+M1120+N1120+O1120-P1120</f>
        <v/>
      </c>
      <c r="R1120" s="11" t="n">
        <v>7</v>
      </c>
      <c r="S1120" s="11">
        <f>N(V1120) + N(X1120) + N(Z1120)</f>
        <v/>
      </c>
      <c r="T1120" s="11">
        <f>R1120+P1120-S1120</f>
        <v/>
      </c>
      <c r="U1120" s="11" t="inlineStr">
        <is>
          <t>是</t>
        </is>
      </c>
      <c r="V1120" s="11" t="n">
        <v>5</v>
      </c>
      <c r="W1120" s="11" t="inlineStr">
        <is>
          <t>是</t>
        </is>
      </c>
      <c r="X1120" s="11" t="n">
        <v>52</v>
      </c>
      <c r="Y1120" s="11" t="inlineStr">
        <is>
          <t>-</t>
        </is>
      </c>
      <c r="Z1120" s="11" t="n">
        <v>0</v>
      </c>
      <c r="AA1120" s="11" t="inlineStr">
        <is>
          <t>垫到60抽</t>
        </is>
      </c>
      <c r="AB1120" s="12" t="n">
        <v>2299</v>
      </c>
      <c r="AC1120" s="12" t="n">
        <v>4</v>
      </c>
      <c r="AD1120" s="12" t="n">
        <v>0</v>
      </c>
      <c r="AE1120" s="12">
        <f>AB1120+AC1120+AD1120</f>
        <v/>
      </c>
      <c r="AF1120" s="13" t="n">
        <v>315000</v>
      </c>
      <c r="AG1120" s="13" t="n">
        <v>0</v>
      </c>
      <c r="AH1120" s="13" t="n">
        <v>0</v>
      </c>
      <c r="AI1120" s="13">
        <f>AF1120+AG1120+AH1120</f>
        <v/>
      </c>
      <c r="AJ1120" s="14" t="n">
        <v>0</v>
      </c>
      <c r="AK1120" s="14" t="n">
        <v>50</v>
      </c>
      <c r="AL1120" s="14" t="n">
        <v>0</v>
      </c>
      <c r="AM1120" s="14">
        <f>AJ1120+AK1120+AL1120</f>
        <v/>
      </c>
      <c r="AN1120" s="14">
        <f>AM1120</f>
        <v/>
      </c>
    </row>
    <row r="1121">
      <c r="A1121" s="8" t="n">
        <v>44</v>
      </c>
      <c r="B1121" s="8" t="n">
        <v>1</v>
      </c>
      <c r="C1121" s="8" t="n">
        <v>2</v>
      </c>
      <c r="D1121" s="8" t="inlineStr">
        <is>
          <t>月卡收益 [月卡续费-30元]</t>
        </is>
      </c>
      <c r="E1121" s="9">
        <f>K1120</f>
        <v/>
      </c>
      <c r="F1121" s="9" t="n">
        <v>1540</v>
      </c>
      <c r="G1121" s="9" t="n">
        <v>0</v>
      </c>
      <c r="H1121" s="9" t="n">
        <v>0</v>
      </c>
      <c r="I1121" s="9" t="n">
        <v>0</v>
      </c>
      <c r="J1121" s="9" t="n">
        <v>9280</v>
      </c>
      <c r="K1121" s="9">
        <f>E1121+F1121+G1121+H1121+I1121-J1121</f>
        <v/>
      </c>
      <c r="L1121" s="10">
        <f>Q1120</f>
        <v/>
      </c>
      <c r="M1121" s="10" t="n">
        <v>0</v>
      </c>
      <c r="N1121" s="10" t="n">
        <v>11</v>
      </c>
      <c r="O1121" s="10">
        <f>J1121/160</f>
        <v/>
      </c>
      <c r="P1121" s="10" t="n">
        <v>100</v>
      </c>
      <c r="Q1121" s="10">
        <f>L1121+M1121+N1121+O1121-P1121</f>
        <v/>
      </c>
      <c r="R1121" s="11">
        <f>T1120</f>
        <v/>
      </c>
      <c r="S1121" s="11">
        <f>N(V1121) + N(X1121) + N(Z1121)</f>
        <v/>
      </c>
      <c r="T1121" s="11">
        <f>R1121+P1121-S1121</f>
        <v/>
      </c>
      <c r="U1121" s="11" t="inlineStr">
        <is>
          <t>是</t>
        </is>
      </c>
      <c r="V1121" s="11" t="n">
        <v>55</v>
      </c>
      <c r="W1121" s="11" t="inlineStr">
        <is>
          <t>是</t>
        </is>
      </c>
      <c r="X1121" s="11" t="n">
        <v>48</v>
      </c>
      <c r="Y1121" s="11" t="inlineStr">
        <is>
          <t>-</t>
        </is>
      </c>
      <c r="Z1121" s="11" t="n">
        <v>0</v>
      </c>
      <c r="AA1121" s="11" t="inlineStr">
        <is>
          <t>无</t>
        </is>
      </c>
      <c r="AB1121" s="12">
        <f>AE1120</f>
        <v/>
      </c>
      <c r="AC1121" s="12" t="n">
        <v>0</v>
      </c>
      <c r="AD1121" s="12" t="n">
        <v>0</v>
      </c>
      <c r="AE1121" s="12">
        <f>AB1121+AC1121+AD1121</f>
        <v/>
      </c>
      <c r="AF1121" s="13">
        <f>AI1120</f>
        <v/>
      </c>
      <c r="AG1121" s="13" t="n">
        <v>0</v>
      </c>
      <c r="AH1121" s="13" t="n">
        <v>0</v>
      </c>
      <c r="AI1121" s="13">
        <f>AF1121+AG1121+AH1121</f>
        <v/>
      </c>
      <c r="AJ1121" s="14" t="n">
        <v>30</v>
      </c>
      <c r="AK1121" s="14" t="n">
        <v>0</v>
      </c>
      <c r="AL1121" s="14" t="n">
        <v>0</v>
      </c>
      <c r="AM1121" s="14">
        <f>AJ1121+AK1121+AL1121</f>
        <v/>
      </c>
      <c r="AN1121" s="14">
        <f>AN1120+AM1121</f>
        <v/>
      </c>
    </row>
    <row r="1122">
      <c r="A1122" s="8" t="n">
        <v>44</v>
      </c>
      <c r="B1122" s="8" t="n">
        <v>2</v>
      </c>
      <c r="C1122" s="8" t="n">
        <v>1</v>
      </c>
      <c r="D1122" s="8" t="inlineStr">
        <is>
          <t>版本免费+义相逢 + 月卡收益</t>
        </is>
      </c>
      <c r="E1122" s="9">
        <f>K1121</f>
        <v/>
      </c>
      <c r="F1122" s="9" t="n">
        <v>1540</v>
      </c>
      <c r="G1122" s="9" t="n">
        <v>4800</v>
      </c>
      <c r="H1122" s="9" t="n">
        <v>0</v>
      </c>
      <c r="I1122" s="9" t="n">
        <v>0</v>
      </c>
      <c r="J1122" s="9" t="n">
        <v>0</v>
      </c>
      <c r="K1122" s="9">
        <f>E1122+F1122+G1122+H1122+I1122-J1122</f>
        <v/>
      </c>
      <c r="L1122" s="10">
        <f>Q1121</f>
        <v/>
      </c>
      <c r="M1122" s="10" t="n">
        <v>85</v>
      </c>
      <c r="N1122" s="10" t="n">
        <v>6</v>
      </c>
      <c r="O1122" s="10">
        <f>J1122/160</f>
        <v/>
      </c>
      <c r="P1122" s="10" t="n">
        <v>70</v>
      </c>
      <c r="Q1122" s="10">
        <f>L1122+M1122+N1122+O1122-P1122</f>
        <v/>
      </c>
      <c r="R1122" s="11">
        <f>T1121</f>
        <v/>
      </c>
      <c r="S1122" s="11">
        <f>N(V1122) + N(X1122) + N(Z1122)</f>
        <v/>
      </c>
      <c r="T1122" s="11">
        <f>R1122+P1122-S1122</f>
        <v/>
      </c>
      <c r="U1122" s="11" t="inlineStr">
        <is>
          <t>是</t>
        </is>
      </c>
      <c r="V1122" s="11" t="n">
        <v>19</v>
      </c>
      <c r="W1122" s="11" t="inlineStr">
        <is>
          <t>是</t>
        </is>
      </c>
      <c r="X1122" s="11" t="n">
        <v>52</v>
      </c>
      <c r="Y1122" s="11" t="inlineStr">
        <is>
          <t>-</t>
        </is>
      </c>
      <c r="Z1122" s="11" t="n">
        <v>0</v>
      </c>
      <c r="AA1122" s="11" t="inlineStr">
        <is>
          <t>无</t>
        </is>
      </c>
      <c r="AB1122" s="12">
        <f>AE1121</f>
        <v/>
      </c>
      <c r="AC1122" s="12" t="n">
        <v>4</v>
      </c>
      <c r="AD1122" s="12" t="n">
        <v>0</v>
      </c>
      <c r="AE1122" s="12">
        <f>AB1122+AC1122+AD1122</f>
        <v/>
      </c>
      <c r="AF1122" s="13">
        <f>AI1121</f>
        <v/>
      </c>
      <c r="AG1122" s="13" t="n">
        <v>0</v>
      </c>
      <c r="AH1122" s="13" t="n">
        <v>0</v>
      </c>
      <c r="AI1122" s="13">
        <f>AF1122+AG1122+AH1122</f>
        <v/>
      </c>
      <c r="AJ1122" s="14" t="n">
        <v>0</v>
      </c>
      <c r="AK1122" s="14" t="n">
        <v>50</v>
      </c>
      <c r="AL1122" s="14" t="n">
        <v>0</v>
      </c>
      <c r="AM1122" s="14">
        <f>AJ1122+AK1122+AL1122</f>
        <v/>
      </c>
      <c r="AN1122" s="14">
        <f>AN1121+AM1122</f>
        <v/>
      </c>
    </row>
    <row r="1123">
      <c r="A1123" s="8" t="n">
        <v>44</v>
      </c>
      <c r="B1123" s="8" t="n">
        <v>2</v>
      </c>
      <c r="C1123" s="8" t="n">
        <v>2</v>
      </c>
      <c r="D1123" s="8" t="inlineStr">
        <is>
          <t>月卡收益 [月卡续费-30元]</t>
        </is>
      </c>
      <c r="E1123" s="9">
        <f>K1122</f>
        <v/>
      </c>
      <c r="F1123" s="9" t="n">
        <v>1540</v>
      </c>
      <c r="G1123" s="9" t="n">
        <v>0</v>
      </c>
      <c r="H1123" s="9" t="n">
        <v>0</v>
      </c>
      <c r="I1123" s="9" t="n">
        <v>0</v>
      </c>
      <c r="J1123" s="9" t="n">
        <v>5760</v>
      </c>
      <c r="K1123" s="9">
        <f>E1123+F1123+G1123+H1123+I1123-J1123</f>
        <v/>
      </c>
      <c r="L1123" s="10">
        <f>Q1122</f>
        <v/>
      </c>
      <c r="M1123" s="10" t="n">
        <v>0</v>
      </c>
      <c r="N1123" s="10" t="n">
        <v>6</v>
      </c>
      <c r="O1123" s="10">
        <f>J1123/160</f>
        <v/>
      </c>
      <c r="P1123" s="10" t="n">
        <v>60</v>
      </c>
      <c r="Q1123" s="10">
        <f>L1123+M1123+N1123+O1123-P1123</f>
        <v/>
      </c>
      <c r="R1123" s="11">
        <f>T1122</f>
        <v/>
      </c>
      <c r="S1123" s="11">
        <f>N(V1123) + N(X1123) + N(Z1123)</f>
        <v/>
      </c>
      <c r="T1123" s="11">
        <f>R1123+P1123-S1123</f>
        <v/>
      </c>
      <c r="U1123" s="11" t="inlineStr">
        <is>
          <t>是</t>
        </is>
      </c>
      <c r="V1123" s="11" t="n">
        <v>49</v>
      </c>
      <c r="W1123" s="11" t="inlineStr">
        <is>
          <t>否</t>
        </is>
      </c>
      <c r="X1123" s="11" t="inlineStr">
        <is>
          <t>-</t>
        </is>
      </c>
      <c r="Y1123" s="11" t="inlineStr">
        <is>
          <t>-</t>
        </is>
      </c>
      <c r="Z1123" s="11" t="n">
        <v>0</v>
      </c>
      <c r="AA1123" s="11" t="inlineStr">
        <is>
          <t>垫到60抽</t>
        </is>
      </c>
      <c r="AB1123" s="12">
        <f>AE1122</f>
        <v/>
      </c>
      <c r="AC1123" s="12" t="n">
        <v>0</v>
      </c>
      <c r="AD1123" s="12" t="n">
        <v>0</v>
      </c>
      <c r="AE1123" s="12">
        <f>AB1123+AC1123+AD1123</f>
        <v/>
      </c>
      <c r="AF1123" s="13">
        <f>AI1122</f>
        <v/>
      </c>
      <c r="AG1123" s="13" t="n">
        <v>0</v>
      </c>
      <c r="AH1123" s="13" t="n">
        <v>0</v>
      </c>
      <c r="AI1123" s="13">
        <f>AF1123+AG1123+AH1123</f>
        <v/>
      </c>
      <c r="AJ1123" s="14" t="n">
        <v>30</v>
      </c>
      <c r="AK1123" s="14" t="n">
        <v>0</v>
      </c>
      <c r="AL1123" s="14" t="n">
        <v>0</v>
      </c>
      <c r="AM1123" s="14">
        <f>AJ1123+AK1123+AL1123</f>
        <v/>
      </c>
      <c r="AN1123" s="14">
        <f>AN1122+AM1123</f>
        <v/>
      </c>
    </row>
    <row r="1124">
      <c r="A1124" s="8" t="n">
        <v>44</v>
      </c>
      <c r="B1124" s="8" t="n">
        <v>3</v>
      </c>
      <c r="C1124" s="8" t="n">
        <v>1</v>
      </c>
      <c r="D1124" s="8" t="inlineStr">
        <is>
          <t>版本免费+义相逢 + 月卡收益</t>
        </is>
      </c>
      <c r="E1124" s="9">
        <f>K1123</f>
        <v/>
      </c>
      <c r="F1124" s="9" t="n">
        <v>1540</v>
      </c>
      <c r="G1124" s="9" t="n">
        <v>4800</v>
      </c>
      <c r="H1124" s="9" t="n">
        <v>0</v>
      </c>
      <c r="I1124" s="9" t="n">
        <v>0</v>
      </c>
      <c r="J1124" s="9" t="n">
        <v>0</v>
      </c>
      <c r="K1124" s="9">
        <f>E1124+F1124+G1124+H1124+I1124-J1124</f>
        <v/>
      </c>
      <c r="L1124" s="10">
        <f>Q1123</f>
        <v/>
      </c>
      <c r="M1124" s="10" t="n">
        <v>85</v>
      </c>
      <c r="N1124" s="10" t="n">
        <v>11</v>
      </c>
      <c r="O1124" s="10">
        <f>J1124/160</f>
        <v/>
      </c>
      <c r="P1124" s="10" t="n">
        <v>90</v>
      </c>
      <c r="Q1124" s="10">
        <f>L1124+M1124+N1124+O1124-P1124</f>
        <v/>
      </c>
      <c r="R1124" s="11">
        <f>T1123</f>
        <v/>
      </c>
      <c r="S1124" s="11">
        <f>N(V1124) + N(X1124) + N(Z1124)</f>
        <v/>
      </c>
      <c r="T1124" s="11">
        <f>R1124+P1124-S1124</f>
        <v/>
      </c>
      <c r="U1124" s="11" t="inlineStr">
        <is>
          <t>是</t>
        </is>
      </c>
      <c r="V1124" s="11" t="n">
        <v>48</v>
      </c>
      <c r="W1124" s="11" t="inlineStr">
        <is>
          <t>是</t>
        </is>
      </c>
      <c r="X1124" s="11" t="n">
        <v>47</v>
      </c>
      <c r="Y1124" s="11" t="inlineStr">
        <is>
          <t>-</t>
        </is>
      </c>
      <c r="Z1124" s="11" t="n">
        <v>0</v>
      </c>
      <c r="AA1124" s="11" t="inlineStr">
        <is>
          <t>垫到90抽</t>
        </is>
      </c>
      <c r="AB1124" s="12">
        <f>AE1123</f>
        <v/>
      </c>
      <c r="AC1124" s="12" t="n">
        <v>4</v>
      </c>
      <c r="AD1124" s="12" t="n">
        <v>0</v>
      </c>
      <c r="AE1124" s="12">
        <f>AB1124+AC1124+AD1124</f>
        <v/>
      </c>
      <c r="AF1124" s="13">
        <f>AI1123</f>
        <v/>
      </c>
      <c r="AG1124" s="13" t="n">
        <v>0</v>
      </c>
      <c r="AH1124" s="13" t="n">
        <v>0</v>
      </c>
      <c r="AI1124" s="13">
        <f>AF1124+AG1124+AH1124</f>
        <v/>
      </c>
      <c r="AJ1124" s="14" t="n">
        <v>0</v>
      </c>
      <c r="AK1124" s="14" t="n">
        <v>50</v>
      </c>
      <c r="AL1124" s="14" t="n">
        <v>0</v>
      </c>
      <c r="AM1124" s="14">
        <f>AJ1124+AK1124+AL1124</f>
        <v/>
      </c>
      <c r="AN1124" s="14">
        <f>AN1123+AM1124</f>
        <v/>
      </c>
    </row>
    <row r="1125">
      <c r="A1125" s="8" t="n">
        <v>44</v>
      </c>
      <c r="B1125" s="8" t="n">
        <v>3</v>
      </c>
      <c r="C1125" s="8" t="n">
        <v>2</v>
      </c>
      <c r="D1125" s="8" t="inlineStr">
        <is>
          <t>月卡收益 [月卡续费-30元]</t>
        </is>
      </c>
      <c r="E1125" s="9">
        <f>K1124</f>
        <v/>
      </c>
      <c r="F1125" s="9" t="n">
        <v>1540</v>
      </c>
      <c r="G1125" s="9" t="n">
        <v>0</v>
      </c>
      <c r="H1125" s="9" t="n">
        <v>0</v>
      </c>
      <c r="I1125" s="9" t="n">
        <v>0</v>
      </c>
      <c r="J1125" s="9" t="n">
        <v>4480</v>
      </c>
      <c r="K1125" s="9">
        <f>E1125+F1125+G1125+H1125+I1125-J1125</f>
        <v/>
      </c>
      <c r="L1125" s="10">
        <f>Q1124</f>
        <v/>
      </c>
      <c r="M1125" s="10" t="n">
        <v>0</v>
      </c>
      <c r="N1125" s="10" t="n">
        <v>3</v>
      </c>
      <c r="O1125" s="10">
        <f>J1125/160</f>
        <v/>
      </c>
      <c r="P1125" s="10" t="n">
        <v>40</v>
      </c>
      <c r="Q1125" s="10">
        <f>L1125+M1125+N1125+O1125-P1125</f>
        <v/>
      </c>
      <c r="R1125" s="11">
        <f>T1124</f>
        <v/>
      </c>
      <c r="S1125" s="11">
        <f>N(V1125) + N(X1125) + N(Z1125)</f>
        <v/>
      </c>
      <c r="T1125" s="11">
        <f>R1125+P1125-S1125</f>
        <v/>
      </c>
      <c r="U1125" s="11" t="inlineStr">
        <is>
          <t>是</t>
        </is>
      </c>
      <c r="V1125" s="11" t="n">
        <v>49</v>
      </c>
      <c r="W1125" s="11" t="inlineStr">
        <is>
          <t>否</t>
        </is>
      </c>
      <c r="X1125" s="11" t="inlineStr">
        <is>
          <t>-</t>
        </is>
      </c>
      <c r="Y1125" s="11" t="inlineStr">
        <is>
          <t>-</t>
        </is>
      </c>
      <c r="Z1125" s="11" t="n">
        <v>0</v>
      </c>
      <c r="AA1125" s="11" t="inlineStr">
        <is>
          <t>无</t>
        </is>
      </c>
      <c r="AB1125" s="12">
        <f>AE1124</f>
        <v/>
      </c>
      <c r="AC1125" s="12" t="n">
        <v>0</v>
      </c>
      <c r="AD1125" s="12" t="n">
        <v>0</v>
      </c>
      <c r="AE1125" s="12">
        <f>AB1125+AC1125+AD1125</f>
        <v/>
      </c>
      <c r="AF1125" s="13">
        <f>AI1124</f>
        <v/>
      </c>
      <c r="AG1125" s="13" t="n">
        <v>0</v>
      </c>
      <c r="AH1125" s="13" t="n">
        <v>0</v>
      </c>
      <c r="AI1125" s="13">
        <f>AF1125+AG1125+AH1125</f>
        <v/>
      </c>
      <c r="AJ1125" s="14" t="n">
        <v>30</v>
      </c>
      <c r="AK1125" s="14" t="n">
        <v>0</v>
      </c>
      <c r="AL1125" s="14" t="n">
        <v>0</v>
      </c>
      <c r="AM1125" s="14">
        <f>AJ1125+AK1125+AL1125</f>
        <v/>
      </c>
      <c r="AN1125" s="14">
        <f>AN1124+AM1125</f>
        <v/>
      </c>
    </row>
    <row r="1126">
      <c r="A1126" s="8" t="n">
        <v>44</v>
      </c>
      <c r="B1126" s="8" t="n">
        <v>4</v>
      </c>
      <c r="C1126" s="8" t="n">
        <v>1</v>
      </c>
      <c r="D1126" s="8" t="inlineStr">
        <is>
          <t>版本免费+义相逢 + 月卡收益</t>
        </is>
      </c>
      <c r="E1126" s="9">
        <f>K1125</f>
        <v/>
      </c>
      <c r="F1126" s="9" t="n">
        <v>1540</v>
      </c>
      <c r="G1126" s="9" t="n">
        <v>4800</v>
      </c>
      <c r="H1126" s="9" t="n">
        <v>0</v>
      </c>
      <c r="I1126" s="9" t="n">
        <v>0</v>
      </c>
      <c r="J1126" s="9" t="n">
        <v>0</v>
      </c>
      <c r="K1126" s="9">
        <f>E1126+F1126+G1126+H1126+I1126-J1126</f>
        <v/>
      </c>
      <c r="L1126" s="10">
        <f>Q1125</f>
        <v/>
      </c>
      <c r="M1126" s="10" t="n">
        <v>85</v>
      </c>
      <c r="N1126" s="10" t="n">
        <v>6</v>
      </c>
      <c r="O1126" s="10">
        <f>J1126/160</f>
        <v/>
      </c>
      <c r="P1126" s="10" t="n">
        <v>60</v>
      </c>
      <c r="Q1126" s="10">
        <f>L1126+M1126+N1126+O1126-P1126</f>
        <v/>
      </c>
      <c r="R1126" s="11">
        <f>T1125</f>
        <v/>
      </c>
      <c r="S1126" s="11">
        <f>N(V1126) + N(X1126) + N(Z1126)</f>
        <v/>
      </c>
      <c r="T1126" s="11">
        <f>R1126+P1126-S1126</f>
        <v/>
      </c>
      <c r="U1126" s="11" t="inlineStr">
        <is>
          <t>是</t>
        </is>
      </c>
      <c r="V1126" s="11" t="n">
        <v>51</v>
      </c>
      <c r="W1126" s="11" t="inlineStr">
        <is>
          <t>否</t>
        </is>
      </c>
      <c r="X1126" s="11" t="inlineStr">
        <is>
          <t>-</t>
        </is>
      </c>
      <c r="Y1126" s="11" t="inlineStr">
        <is>
          <t>-</t>
        </is>
      </c>
      <c r="Z1126" s="11" t="n">
        <v>0</v>
      </c>
      <c r="AA1126" s="11" t="inlineStr">
        <is>
          <t>垫到60抽</t>
        </is>
      </c>
      <c r="AB1126" s="12">
        <f>AE1125</f>
        <v/>
      </c>
      <c r="AC1126" s="12" t="n">
        <v>4</v>
      </c>
      <c r="AD1126" s="12" t="n">
        <v>0</v>
      </c>
      <c r="AE1126" s="12">
        <f>AB1126+AC1126+AD1126</f>
        <v/>
      </c>
      <c r="AF1126" s="13">
        <f>AI1125</f>
        <v/>
      </c>
      <c r="AG1126" s="13" t="n">
        <v>0</v>
      </c>
      <c r="AH1126" s="13" t="n">
        <v>0</v>
      </c>
      <c r="AI1126" s="13">
        <f>AF1126+AG1126+AH1126</f>
        <v/>
      </c>
      <c r="AJ1126" s="14" t="n">
        <v>0</v>
      </c>
      <c r="AK1126" s="14" t="n">
        <v>50</v>
      </c>
      <c r="AL1126" s="14" t="n">
        <v>0</v>
      </c>
      <c r="AM1126" s="14">
        <f>AJ1126+AK1126+AL1126</f>
        <v/>
      </c>
      <c r="AN1126" s="14">
        <f>AN1125+AM1126</f>
        <v/>
      </c>
    </row>
    <row r="1127">
      <c r="A1127" s="8" t="n">
        <v>44</v>
      </c>
      <c r="B1127" s="8" t="n">
        <v>4</v>
      </c>
      <c r="C1127" s="8" t="n">
        <v>2</v>
      </c>
      <c r="D1127" s="8" t="inlineStr">
        <is>
          <t>月卡收益</t>
        </is>
      </c>
      <c r="E1127" s="9">
        <f>K1126</f>
        <v/>
      </c>
      <c r="F1127" s="9" t="n">
        <v>1540</v>
      </c>
      <c r="G1127" s="9" t="n">
        <v>0</v>
      </c>
      <c r="H1127" s="9" t="n">
        <v>0</v>
      </c>
      <c r="I1127" s="9" t="n">
        <v>0</v>
      </c>
      <c r="J1127" s="9" t="n">
        <v>8480</v>
      </c>
      <c r="K1127" s="9">
        <f>E1127+F1127+G1127+H1127+I1127-J1127</f>
        <v/>
      </c>
      <c r="L1127" s="10">
        <f>Q1126</f>
        <v/>
      </c>
      <c r="M1127" s="10" t="n">
        <v>0</v>
      </c>
      <c r="N1127" s="10" t="n">
        <v>11</v>
      </c>
      <c r="O1127" s="10">
        <f>J1127/160</f>
        <v/>
      </c>
      <c r="P1127" s="10" t="n">
        <v>90</v>
      </c>
      <c r="Q1127" s="10">
        <f>L1127+M1127+N1127+O1127-P1127</f>
        <v/>
      </c>
      <c r="R1127" s="11">
        <f>T1126</f>
        <v/>
      </c>
      <c r="S1127" s="11">
        <f>N(V1127) + N(X1127) + N(Z1127)</f>
        <v/>
      </c>
      <c r="T1127" s="11">
        <f>R1127+P1127-S1127</f>
        <v/>
      </c>
      <c r="U1127" s="11" t="inlineStr">
        <is>
          <t>是</t>
        </is>
      </c>
      <c r="V1127" s="11" t="n">
        <v>48</v>
      </c>
      <c r="W1127" s="11" t="inlineStr">
        <is>
          <t>是</t>
        </is>
      </c>
      <c r="X1127" s="11" t="n">
        <v>52</v>
      </c>
      <c r="Y1127" s="11" t="inlineStr">
        <is>
          <t>-</t>
        </is>
      </c>
      <c r="Z1127" s="11" t="n">
        <v>0</v>
      </c>
      <c r="AA1127" s="11" t="inlineStr">
        <is>
          <t>无</t>
        </is>
      </c>
      <c r="AB1127" s="12">
        <f>AE1126</f>
        <v/>
      </c>
      <c r="AC1127" s="12" t="n">
        <v>0</v>
      </c>
      <c r="AD1127" s="12" t="n">
        <v>0</v>
      </c>
      <c r="AE1127" s="12">
        <f>AB1127+AC1127+AD1127</f>
        <v/>
      </c>
      <c r="AF1127" s="13">
        <f>AI1126</f>
        <v/>
      </c>
      <c r="AG1127" s="13" t="n">
        <v>0</v>
      </c>
      <c r="AH1127" s="13" t="n">
        <v>0</v>
      </c>
      <c r="AI1127" s="13">
        <f>AF1127+AG1127+AH1127</f>
        <v/>
      </c>
      <c r="AJ1127" s="14" t="n">
        <v>0</v>
      </c>
      <c r="AK1127" s="14" t="n">
        <v>0</v>
      </c>
      <c r="AL1127" s="14" t="n">
        <v>0</v>
      </c>
      <c r="AM1127" s="14">
        <f>AJ1127+AK1127+AL1127</f>
        <v/>
      </c>
      <c r="AN1127" s="14">
        <f>AN1126+AM1127</f>
        <v/>
      </c>
    </row>
    <row r="1128">
      <c r="A1128" s="8" t="n">
        <v>44</v>
      </c>
      <c r="B1128" s="8" t="n">
        <v>5</v>
      </c>
      <c r="C1128" s="8" t="n">
        <v>1</v>
      </c>
      <c r="D1128" s="8" t="inlineStr">
        <is>
          <t>版本免费+义相逢 + 月卡收益 [月卡续费-30元]</t>
        </is>
      </c>
      <c r="E1128" s="9">
        <f>K1127</f>
        <v/>
      </c>
      <c r="F1128" s="9" t="n">
        <v>1540</v>
      </c>
      <c r="G1128" s="9" t="n">
        <v>4800</v>
      </c>
      <c r="H1128" s="9" t="n">
        <v>0</v>
      </c>
      <c r="I1128" s="9" t="n">
        <v>0</v>
      </c>
      <c r="J1128" s="9" t="n">
        <v>0</v>
      </c>
      <c r="K1128" s="9">
        <f>E1128+F1128+G1128+H1128+I1128-J1128</f>
        <v/>
      </c>
      <c r="L1128" s="10">
        <f>Q1127</f>
        <v/>
      </c>
      <c r="M1128" s="10" t="n">
        <v>85</v>
      </c>
      <c r="N1128" s="10" t="n">
        <v>11</v>
      </c>
      <c r="O1128" s="10">
        <f>J1128/160</f>
        <v/>
      </c>
      <c r="P1128" s="10" t="n">
        <v>100</v>
      </c>
      <c r="Q1128" s="10">
        <f>L1128+M1128+N1128+O1128-P1128</f>
        <v/>
      </c>
      <c r="R1128" s="11">
        <f>T1127</f>
        <v/>
      </c>
      <c r="S1128" s="11">
        <f>N(V1128) + N(X1128) + N(Z1128)</f>
        <v/>
      </c>
      <c r="T1128" s="11">
        <f>R1128+P1128-S1128</f>
        <v/>
      </c>
      <c r="U1128" s="11" t="inlineStr">
        <is>
          <t>是</t>
        </is>
      </c>
      <c r="V1128" s="11" t="n">
        <v>49</v>
      </c>
      <c r="W1128" s="11" t="inlineStr">
        <is>
          <t>是</t>
        </is>
      </c>
      <c r="X1128" s="11" t="n">
        <v>46</v>
      </c>
      <c r="Y1128" s="11" t="inlineStr">
        <is>
          <t>-</t>
        </is>
      </c>
      <c r="Z1128" s="11" t="n">
        <v>0</v>
      </c>
      <c r="AA1128" s="11" t="inlineStr">
        <is>
          <t>无</t>
        </is>
      </c>
      <c r="AB1128" s="12">
        <f>AE1127</f>
        <v/>
      </c>
      <c r="AC1128" s="12" t="n">
        <v>4</v>
      </c>
      <c r="AD1128" s="12" t="n">
        <v>0</v>
      </c>
      <c r="AE1128" s="12">
        <f>AB1128+AC1128+AD1128</f>
        <v/>
      </c>
      <c r="AF1128" s="13">
        <f>AI1127</f>
        <v/>
      </c>
      <c r="AG1128" s="13" t="n">
        <v>0</v>
      </c>
      <c r="AH1128" s="13" t="n">
        <v>0</v>
      </c>
      <c r="AI1128" s="13">
        <f>AF1128+AG1128+AH1128</f>
        <v/>
      </c>
      <c r="AJ1128" s="14" t="n">
        <v>30</v>
      </c>
      <c r="AK1128" s="14" t="n">
        <v>50</v>
      </c>
      <c r="AL1128" s="14" t="n">
        <v>0</v>
      </c>
      <c r="AM1128" s="14">
        <f>AJ1128+AK1128+AL1128</f>
        <v/>
      </c>
      <c r="AN1128" s="14">
        <f>AN1127+AM1128</f>
        <v/>
      </c>
    </row>
    <row r="1129">
      <c r="A1129" s="8" t="n">
        <v>44</v>
      </c>
      <c r="B1129" s="8" t="n">
        <v>5</v>
      </c>
      <c r="C1129" s="8" t="n">
        <v>2</v>
      </c>
      <c r="D1129" s="8" t="inlineStr">
        <is>
          <t>月卡收益</t>
        </is>
      </c>
      <c r="E1129" s="9">
        <f>K1128</f>
        <v/>
      </c>
      <c r="F1129" s="9" t="n">
        <v>1540</v>
      </c>
      <c r="G1129" s="9" t="n">
        <v>0</v>
      </c>
      <c r="H1129" s="9" t="n">
        <v>0</v>
      </c>
      <c r="I1129" s="9" t="n">
        <v>0</v>
      </c>
      <c r="J1129" s="9" t="n">
        <v>14080</v>
      </c>
      <c r="K1129" s="9">
        <f>E1129+F1129+G1129+H1129+I1129-J1129</f>
        <v/>
      </c>
      <c r="L1129" s="10">
        <f>Q1128</f>
        <v/>
      </c>
      <c r="M1129" s="10" t="n">
        <v>0</v>
      </c>
      <c r="N1129" s="10" t="n">
        <v>11</v>
      </c>
      <c r="O1129" s="10">
        <f>J1129/160</f>
        <v/>
      </c>
      <c r="P1129" s="10" t="n">
        <v>100</v>
      </c>
      <c r="Q1129" s="10">
        <f>L1129+M1129+N1129+O1129-P1129</f>
        <v/>
      </c>
      <c r="R1129" s="11">
        <f>T1128</f>
        <v/>
      </c>
      <c r="S1129" s="11">
        <f>N(V1129) + N(X1129) + N(Z1129)</f>
        <v/>
      </c>
      <c r="T1129" s="11">
        <f>R1129+P1129-S1129</f>
        <v/>
      </c>
      <c r="U1129" s="11" t="inlineStr">
        <is>
          <t>是</t>
        </is>
      </c>
      <c r="V1129" s="11" t="n">
        <v>50</v>
      </c>
      <c r="W1129" s="11" t="inlineStr">
        <is>
          <t>是</t>
        </is>
      </c>
      <c r="X1129" s="11" t="n">
        <v>51</v>
      </c>
      <c r="Y1129" s="11" t="inlineStr">
        <is>
          <t>-</t>
        </is>
      </c>
      <c r="Z1129" s="11" t="n">
        <v>0</v>
      </c>
      <c r="AA1129" s="11" t="inlineStr">
        <is>
          <t>无</t>
        </is>
      </c>
      <c r="AB1129" s="12">
        <f>AE1128</f>
        <v/>
      </c>
      <c r="AC1129" s="12" t="n">
        <v>0</v>
      </c>
      <c r="AD1129" s="12" t="n">
        <v>0</v>
      </c>
      <c r="AE1129" s="12">
        <f>AB1129+AC1129+AD1129</f>
        <v/>
      </c>
      <c r="AF1129" s="13">
        <f>AI1128</f>
        <v/>
      </c>
      <c r="AG1129" s="13" t="n">
        <v>0</v>
      </c>
      <c r="AH1129" s="13" t="n">
        <v>0</v>
      </c>
      <c r="AI1129" s="13">
        <f>AF1129+AG1129+AH1129</f>
        <v/>
      </c>
      <c r="AJ1129" s="14" t="n">
        <v>0</v>
      </c>
      <c r="AK1129" s="14" t="n">
        <v>0</v>
      </c>
      <c r="AL1129" s="14" t="n">
        <v>0</v>
      </c>
      <c r="AM1129" s="14">
        <f>AJ1129+AK1129+AL1129</f>
        <v/>
      </c>
      <c r="AN1129" s="14">
        <f>AN1128+AM1129</f>
        <v/>
      </c>
    </row>
    <row r="1130">
      <c r="A1130" s="8" t="n">
        <v>44</v>
      </c>
      <c r="B1130" s="8" t="n">
        <v>6</v>
      </c>
      <c r="C1130" s="8" t="n">
        <v>1</v>
      </c>
      <c r="D1130" s="8" t="inlineStr">
        <is>
          <t>版本免费+义相逢 + 月卡收益 [月卡续费-30元]</t>
        </is>
      </c>
      <c r="E1130" s="9">
        <f>K1129</f>
        <v/>
      </c>
      <c r="F1130" s="9" t="n">
        <v>1540</v>
      </c>
      <c r="G1130" s="9" t="n">
        <v>4800</v>
      </c>
      <c r="H1130" s="9" t="n">
        <v>0</v>
      </c>
      <c r="I1130" s="9" t="n">
        <v>0</v>
      </c>
      <c r="J1130" s="9" t="n">
        <v>640</v>
      </c>
      <c r="K1130" s="9">
        <f>E1130+F1130+G1130+H1130+I1130-J1130</f>
        <v/>
      </c>
      <c r="L1130" s="10">
        <f>Q1129</f>
        <v/>
      </c>
      <c r="M1130" s="10" t="n">
        <v>85</v>
      </c>
      <c r="N1130" s="10" t="n">
        <v>11</v>
      </c>
      <c r="O1130" s="10">
        <f>J1130/160</f>
        <v/>
      </c>
      <c r="P1130" s="10" t="n">
        <v>100</v>
      </c>
      <c r="Q1130" s="10">
        <f>L1130+M1130+N1130+O1130-P1130</f>
        <v/>
      </c>
      <c r="R1130" s="11">
        <f>T1129</f>
        <v/>
      </c>
      <c r="S1130" s="11">
        <f>N(V1130) + N(X1130) + N(Z1130)</f>
        <v/>
      </c>
      <c r="T1130" s="11">
        <f>R1130+P1130-S1130</f>
        <v/>
      </c>
      <c r="U1130" s="11" t="inlineStr">
        <is>
          <t>是</t>
        </is>
      </c>
      <c r="V1130" s="11" t="n">
        <v>50</v>
      </c>
      <c r="W1130" s="11" t="inlineStr">
        <is>
          <t>是</t>
        </is>
      </c>
      <c r="X1130" s="11" t="n">
        <v>50</v>
      </c>
      <c r="Y1130" s="11" t="inlineStr">
        <is>
          <t>-</t>
        </is>
      </c>
      <c r="Z1130" s="11" t="n">
        <v>0</v>
      </c>
      <c r="AA1130" s="11" t="inlineStr">
        <is>
          <t>无</t>
        </is>
      </c>
      <c r="AB1130" s="12">
        <f>AE1129</f>
        <v/>
      </c>
      <c r="AC1130" s="12" t="n">
        <v>4</v>
      </c>
      <c r="AD1130" s="12" t="n">
        <v>0</v>
      </c>
      <c r="AE1130" s="12">
        <f>AB1130+AC1130+AD1130</f>
        <v/>
      </c>
      <c r="AF1130" s="13">
        <f>AI1129</f>
        <v/>
      </c>
      <c r="AG1130" s="13" t="n">
        <v>0</v>
      </c>
      <c r="AH1130" s="13" t="n">
        <v>0</v>
      </c>
      <c r="AI1130" s="13">
        <f>AF1130+AG1130+AH1130</f>
        <v/>
      </c>
      <c r="AJ1130" s="14" t="n">
        <v>30</v>
      </c>
      <c r="AK1130" s="14" t="n">
        <v>50</v>
      </c>
      <c r="AL1130" s="14" t="n">
        <v>0</v>
      </c>
      <c r="AM1130" s="14">
        <f>AJ1130+AK1130+AL1130</f>
        <v/>
      </c>
      <c r="AN1130" s="14">
        <f>AN1129+AM1130</f>
        <v/>
      </c>
    </row>
    <row r="1131">
      <c r="A1131" s="8" t="n">
        <v>44</v>
      </c>
      <c r="B1131" s="8" t="n">
        <v>6</v>
      </c>
      <c r="C1131" s="8" t="n">
        <v>2</v>
      </c>
      <c r="D1131" s="8" t="inlineStr">
        <is>
          <t>月卡收益</t>
        </is>
      </c>
      <c r="E1131" s="9">
        <f>K1130</f>
        <v/>
      </c>
      <c r="F1131" s="9" t="n">
        <v>1540</v>
      </c>
      <c r="G1131" s="9" t="n">
        <v>0</v>
      </c>
      <c r="H1131" s="9" t="n">
        <v>0</v>
      </c>
      <c r="I1131" s="9" t="n">
        <v>0</v>
      </c>
      <c r="J1131" s="9" t="n">
        <v>13440</v>
      </c>
      <c r="K1131" s="9">
        <f>E1131+F1131+G1131+H1131+I1131-J1131</f>
        <v/>
      </c>
      <c r="L1131" s="10">
        <f>Q1130</f>
        <v/>
      </c>
      <c r="M1131" s="10" t="n">
        <v>0</v>
      </c>
      <c r="N1131" s="10" t="n">
        <v>11</v>
      </c>
      <c r="O1131" s="10">
        <f>J1131/160</f>
        <v/>
      </c>
      <c r="P1131" s="10" t="n">
        <v>90</v>
      </c>
      <c r="Q1131" s="10">
        <f>L1131+M1131+N1131+O1131-P1131</f>
        <v/>
      </c>
      <c r="R1131" s="11">
        <f>T1130</f>
        <v/>
      </c>
      <c r="S1131" s="11">
        <f>N(V1131) + N(X1131) + N(Z1131)</f>
        <v/>
      </c>
      <c r="T1131" s="11">
        <f>R1131+P1131-S1131</f>
        <v/>
      </c>
      <c r="U1131" s="11" t="inlineStr">
        <is>
          <t>是</t>
        </is>
      </c>
      <c r="V1131" s="11" t="n">
        <v>48</v>
      </c>
      <c r="W1131" s="11" t="inlineStr">
        <is>
          <t>是</t>
        </is>
      </c>
      <c r="X1131" s="11" t="n">
        <v>47</v>
      </c>
      <c r="Y1131" s="11" t="inlineStr">
        <is>
          <t>-</t>
        </is>
      </c>
      <c r="Z1131" s="11" t="n">
        <v>0</v>
      </c>
      <c r="AA1131" s="11" t="inlineStr">
        <is>
          <t>无</t>
        </is>
      </c>
      <c r="AB1131" s="12">
        <f>AE1130</f>
        <v/>
      </c>
      <c r="AC1131" s="12" t="n">
        <v>0</v>
      </c>
      <c r="AD1131" s="12" t="n">
        <v>0</v>
      </c>
      <c r="AE1131" s="12">
        <f>AB1131+AC1131+AD1131</f>
        <v/>
      </c>
      <c r="AF1131" s="13">
        <f>AI1130</f>
        <v/>
      </c>
      <c r="AG1131" s="13" t="n">
        <v>0</v>
      </c>
      <c r="AH1131" s="13" t="n">
        <v>0</v>
      </c>
      <c r="AI1131" s="13">
        <f>AF1131+AG1131+AH1131</f>
        <v/>
      </c>
      <c r="AJ1131" s="14" t="n">
        <v>0</v>
      </c>
      <c r="AK1131" s="14" t="n">
        <v>0</v>
      </c>
      <c r="AL1131" s="14" t="n">
        <v>0</v>
      </c>
      <c r="AM1131" s="14">
        <f>AJ1131+AK1131+AL1131</f>
        <v/>
      </c>
      <c r="AN1131" s="14">
        <f>AN1130+AM1131</f>
        <v/>
      </c>
    </row>
    <row r="1132">
      <c r="A1132" s="8" t="n">
        <v>44</v>
      </c>
      <c r="B1132" s="8" t="n">
        <v>7</v>
      </c>
      <c r="C1132" s="8" t="n">
        <v>1</v>
      </c>
      <c r="D1132" s="8" t="inlineStr">
        <is>
          <t>版本免费+义相逢 + 月卡收益 [月卡续费-30元]</t>
        </is>
      </c>
      <c r="E1132" s="9">
        <f>K1131</f>
        <v/>
      </c>
      <c r="F1132" s="9" t="n">
        <v>1540</v>
      </c>
      <c r="G1132" s="9" t="n">
        <v>4800</v>
      </c>
      <c r="H1132" s="9" t="n">
        <v>0</v>
      </c>
      <c r="I1132" s="9" t="n">
        <v>0</v>
      </c>
      <c r="J1132" s="9" t="n">
        <v>0</v>
      </c>
      <c r="K1132" s="9">
        <f>E1132+F1132+G1132+H1132+I1132-J1132</f>
        <v/>
      </c>
      <c r="L1132" s="10">
        <f>Q1131</f>
        <v/>
      </c>
      <c r="M1132" s="10" t="n">
        <v>85</v>
      </c>
      <c r="N1132" s="10" t="n">
        <v>6</v>
      </c>
      <c r="O1132" s="10">
        <f>J1132/160</f>
        <v/>
      </c>
      <c r="P1132" s="10" t="n">
        <v>60</v>
      </c>
      <c r="Q1132" s="10">
        <f>L1132+M1132+N1132+O1132-P1132</f>
        <v/>
      </c>
      <c r="R1132" s="11">
        <f>T1131</f>
        <v/>
      </c>
      <c r="S1132" s="11">
        <f>N(V1132) + N(X1132) + N(Z1132)</f>
        <v/>
      </c>
      <c r="T1132" s="11">
        <f>R1132+P1132-S1132</f>
        <v/>
      </c>
      <c r="U1132" s="11" t="inlineStr">
        <is>
          <t>是</t>
        </is>
      </c>
      <c r="V1132" s="11" t="n">
        <v>48</v>
      </c>
      <c r="W1132" s="11" t="inlineStr">
        <is>
          <t>否</t>
        </is>
      </c>
      <c r="X1132" s="11" t="inlineStr">
        <is>
          <t>-</t>
        </is>
      </c>
      <c r="Y1132" s="11" t="inlineStr">
        <is>
          <t>-</t>
        </is>
      </c>
      <c r="Z1132" s="11" t="n">
        <v>0</v>
      </c>
      <c r="AA1132" s="11" t="inlineStr">
        <is>
          <t>垫到60抽</t>
        </is>
      </c>
      <c r="AB1132" s="12">
        <f>AE1131</f>
        <v/>
      </c>
      <c r="AC1132" s="12" t="n">
        <v>4</v>
      </c>
      <c r="AD1132" s="12" t="n">
        <v>0</v>
      </c>
      <c r="AE1132" s="12">
        <f>AB1132+AC1132+AD1132</f>
        <v/>
      </c>
      <c r="AF1132" s="13">
        <f>AI1131</f>
        <v/>
      </c>
      <c r="AG1132" s="13" t="n">
        <v>0</v>
      </c>
      <c r="AH1132" s="13" t="n">
        <v>0</v>
      </c>
      <c r="AI1132" s="13">
        <f>AF1132+AG1132+AH1132</f>
        <v/>
      </c>
      <c r="AJ1132" s="14" t="n">
        <v>30</v>
      </c>
      <c r="AK1132" s="14" t="n">
        <v>50</v>
      </c>
      <c r="AL1132" s="14" t="n">
        <v>0</v>
      </c>
      <c r="AM1132" s="14">
        <f>AJ1132+AK1132+AL1132</f>
        <v/>
      </c>
      <c r="AN1132" s="14">
        <f>AN1131+AM1132</f>
        <v/>
      </c>
    </row>
    <row r="1133">
      <c r="A1133" s="8" t="n">
        <v>44</v>
      </c>
      <c r="B1133" s="8" t="n">
        <v>7</v>
      </c>
      <c r="C1133" s="8" t="n">
        <v>2</v>
      </c>
      <c r="D1133" s="8" t="inlineStr">
        <is>
          <t>月卡收益</t>
        </is>
      </c>
      <c r="E1133" s="9">
        <f>K1132</f>
        <v/>
      </c>
      <c r="F1133" s="9" t="n">
        <v>1540</v>
      </c>
      <c r="G1133" s="9" t="n">
        <v>0</v>
      </c>
      <c r="H1133" s="9" t="n">
        <v>0</v>
      </c>
      <c r="I1133" s="9" t="n">
        <v>0</v>
      </c>
      <c r="J1133" s="9" t="n">
        <v>7680</v>
      </c>
      <c r="K1133" s="9">
        <f>E1133+F1133+G1133+H1133+I1133-J1133</f>
        <v/>
      </c>
      <c r="L1133" s="10">
        <f>Q1132</f>
        <v/>
      </c>
      <c r="M1133" s="10" t="n">
        <v>0</v>
      </c>
      <c r="N1133" s="10" t="n">
        <v>11</v>
      </c>
      <c r="O1133" s="10">
        <f>J1133/160</f>
        <v/>
      </c>
      <c r="P1133" s="10" t="n">
        <v>90</v>
      </c>
      <c r="Q1133" s="10">
        <f>L1133+M1133+N1133+O1133-P1133</f>
        <v/>
      </c>
      <c r="R1133" s="11">
        <f>T1132</f>
        <v/>
      </c>
      <c r="S1133" s="11">
        <f>N(V1133) + N(X1133) + N(Z1133)</f>
        <v/>
      </c>
      <c r="T1133" s="11">
        <f>R1133+P1133-S1133</f>
        <v/>
      </c>
      <c r="U1133" s="11" t="inlineStr">
        <is>
          <t>是</t>
        </is>
      </c>
      <c r="V1133" s="11" t="n">
        <v>52</v>
      </c>
      <c r="W1133" s="11" t="inlineStr">
        <is>
          <t>是</t>
        </is>
      </c>
      <c r="X1133" s="11" t="n">
        <v>47</v>
      </c>
      <c r="Y1133" s="11" t="inlineStr">
        <is>
          <t>-</t>
        </is>
      </c>
      <c r="Z1133" s="11" t="n">
        <v>0</v>
      </c>
      <c r="AA1133" s="11" t="inlineStr">
        <is>
          <t>无</t>
        </is>
      </c>
      <c r="AB1133" s="12">
        <f>AE1132</f>
        <v/>
      </c>
      <c r="AC1133" s="12" t="n">
        <v>0</v>
      </c>
      <c r="AD1133" s="12" t="n">
        <v>0</v>
      </c>
      <c r="AE1133" s="12">
        <f>AB1133+AC1133+AD1133</f>
        <v/>
      </c>
      <c r="AF1133" s="13">
        <f>AI1132</f>
        <v/>
      </c>
      <c r="AG1133" s="13" t="n">
        <v>0</v>
      </c>
      <c r="AH1133" s="13" t="n">
        <v>0</v>
      </c>
      <c r="AI1133" s="13">
        <f>AF1133+AG1133+AH1133</f>
        <v/>
      </c>
      <c r="AJ1133" s="14" t="n">
        <v>0</v>
      </c>
      <c r="AK1133" s="14" t="n">
        <v>0</v>
      </c>
      <c r="AL1133" s="14" t="n">
        <v>0</v>
      </c>
      <c r="AM1133" s="14">
        <f>AJ1133+AK1133+AL1133</f>
        <v/>
      </c>
      <c r="AN1133" s="14">
        <f>AN1132+AM1133</f>
        <v/>
      </c>
    </row>
    <row r="1134">
      <c r="A1134" s="8" t="n">
        <v>44</v>
      </c>
      <c r="B1134" s="8" t="n">
        <v>8</v>
      </c>
      <c r="C1134" s="8" t="n">
        <v>1</v>
      </c>
      <c r="D1134" s="8" t="inlineStr">
        <is>
          <t>版本免费+义相逢 + 月卡收益 [月卡续费-30元]</t>
        </is>
      </c>
      <c r="E1134" s="9">
        <f>K1133</f>
        <v/>
      </c>
      <c r="F1134" s="9" t="n">
        <v>1540</v>
      </c>
      <c r="G1134" s="9" t="n">
        <v>4800</v>
      </c>
      <c r="H1134" s="9" t="n">
        <v>0</v>
      </c>
      <c r="I1134" s="9" t="n">
        <v>0</v>
      </c>
      <c r="J1134" s="9" t="n">
        <v>0</v>
      </c>
      <c r="K1134" s="9">
        <f>E1134+F1134+G1134+H1134+I1134-J1134</f>
        <v/>
      </c>
      <c r="L1134" s="10">
        <f>Q1133</f>
        <v/>
      </c>
      <c r="M1134" s="10" t="n">
        <v>85</v>
      </c>
      <c r="N1134" s="10" t="n">
        <v>6</v>
      </c>
      <c r="O1134" s="10">
        <f>J1134/160</f>
        <v/>
      </c>
      <c r="P1134" s="10" t="n">
        <v>60</v>
      </c>
      <c r="Q1134" s="10">
        <f>L1134+M1134+N1134+O1134-P1134</f>
        <v/>
      </c>
      <c r="R1134" s="11">
        <f>T1133</f>
        <v/>
      </c>
      <c r="S1134" s="11">
        <f>N(V1134) + N(X1134) + N(Z1134)</f>
        <v/>
      </c>
      <c r="T1134" s="11">
        <f>R1134+P1134-S1134</f>
        <v/>
      </c>
      <c r="U1134" s="11" t="inlineStr">
        <is>
          <t>是</t>
        </is>
      </c>
      <c r="V1134" s="11" t="n">
        <v>50</v>
      </c>
      <c r="W1134" s="11" t="inlineStr">
        <is>
          <t>否</t>
        </is>
      </c>
      <c r="X1134" s="11" t="inlineStr">
        <is>
          <t>-</t>
        </is>
      </c>
      <c r="Y1134" s="11" t="inlineStr">
        <is>
          <t>-</t>
        </is>
      </c>
      <c r="Z1134" s="11" t="n">
        <v>0</v>
      </c>
      <c r="AA1134" s="11" t="inlineStr">
        <is>
          <t>垫到60抽</t>
        </is>
      </c>
      <c r="AB1134" s="12">
        <f>AE1133</f>
        <v/>
      </c>
      <c r="AC1134" s="12" t="n">
        <v>4</v>
      </c>
      <c r="AD1134" s="12" t="n">
        <v>0</v>
      </c>
      <c r="AE1134" s="12">
        <f>AB1134+AC1134+AD1134</f>
        <v/>
      </c>
      <c r="AF1134" s="13">
        <f>AI1133</f>
        <v/>
      </c>
      <c r="AG1134" s="13" t="n">
        <v>0</v>
      </c>
      <c r="AH1134" s="13" t="n">
        <v>0</v>
      </c>
      <c r="AI1134" s="13">
        <f>AF1134+AG1134+AH1134</f>
        <v/>
      </c>
      <c r="AJ1134" s="14" t="n">
        <v>30</v>
      </c>
      <c r="AK1134" s="14" t="n">
        <v>50</v>
      </c>
      <c r="AL1134" s="14" t="n">
        <v>0</v>
      </c>
      <c r="AM1134" s="14">
        <f>AJ1134+AK1134+AL1134</f>
        <v/>
      </c>
      <c r="AN1134" s="14">
        <f>AN1133+AM1134</f>
        <v/>
      </c>
    </row>
    <row r="1135">
      <c r="A1135" s="8" t="n">
        <v>44</v>
      </c>
      <c r="B1135" s="8" t="n">
        <v>8</v>
      </c>
      <c r="C1135" s="8" t="n">
        <v>2</v>
      </c>
      <c r="D1135" s="8" t="inlineStr">
        <is>
          <t>月卡收益</t>
        </is>
      </c>
      <c r="E1135" s="9">
        <f>K1134</f>
        <v/>
      </c>
      <c r="F1135" s="9" t="n">
        <v>1540</v>
      </c>
      <c r="G1135" s="9" t="n">
        <v>0</v>
      </c>
      <c r="H1135" s="9" t="n">
        <v>0</v>
      </c>
      <c r="I1135" s="9" t="n">
        <v>0</v>
      </c>
      <c r="J1135" s="9" t="n">
        <v>160</v>
      </c>
      <c r="K1135" s="9">
        <f>E1135+F1135+G1135+H1135+I1135-J1135</f>
        <v/>
      </c>
      <c r="L1135" s="10">
        <f>Q1134</f>
        <v/>
      </c>
      <c r="M1135" s="10" t="n">
        <v>0</v>
      </c>
      <c r="N1135" s="10" t="n">
        <v>3</v>
      </c>
      <c r="O1135" s="10">
        <f>J1135/160</f>
        <v/>
      </c>
      <c r="P1135" s="10" t="n">
        <v>40</v>
      </c>
      <c r="Q1135" s="10">
        <f>L1135+M1135+N1135+O1135-P1135</f>
        <v/>
      </c>
      <c r="R1135" s="11">
        <f>T1134</f>
        <v/>
      </c>
      <c r="S1135" s="11">
        <f>N(V1135) + N(X1135) + N(Z1135)</f>
        <v/>
      </c>
      <c r="T1135" s="11">
        <f>R1135+P1135-S1135</f>
        <v/>
      </c>
      <c r="U1135" s="11" t="inlineStr">
        <is>
          <t>是</t>
        </is>
      </c>
      <c r="V1135" s="11" t="n">
        <v>49</v>
      </c>
      <c r="W1135" s="11" t="inlineStr">
        <is>
          <t>否</t>
        </is>
      </c>
      <c r="X1135" s="11" t="inlineStr">
        <is>
          <t>-</t>
        </is>
      </c>
      <c r="Y1135" s="11" t="inlineStr">
        <is>
          <t>-</t>
        </is>
      </c>
      <c r="Z1135" s="11" t="n">
        <v>0</v>
      </c>
      <c r="AA1135" s="11" t="inlineStr">
        <is>
          <t>无</t>
        </is>
      </c>
      <c r="AB1135" s="12">
        <f>AE1134</f>
        <v/>
      </c>
      <c r="AC1135" s="12" t="n">
        <v>0</v>
      </c>
      <c r="AD1135" s="12" t="n">
        <v>0</v>
      </c>
      <c r="AE1135" s="12">
        <f>AB1135+AC1135+AD1135</f>
        <v/>
      </c>
      <c r="AF1135" s="13">
        <f>AI1134</f>
        <v/>
      </c>
      <c r="AG1135" s="13" t="n">
        <v>0</v>
      </c>
      <c r="AH1135" s="13" t="n">
        <v>0</v>
      </c>
      <c r="AI1135" s="13">
        <f>AF1135+AG1135+AH1135</f>
        <v/>
      </c>
      <c r="AJ1135" s="14" t="n">
        <v>0</v>
      </c>
      <c r="AK1135" s="14" t="n">
        <v>0</v>
      </c>
      <c r="AL1135" s="14" t="n">
        <v>0</v>
      </c>
      <c r="AM1135" s="14">
        <f>AJ1135+AK1135+AL1135</f>
        <v/>
      </c>
      <c r="AN1135" s="14">
        <f>AN1134+AM1135</f>
        <v/>
      </c>
    </row>
    <row r="1136">
      <c r="A1136" s="8" t="n">
        <v>44</v>
      </c>
      <c r="B1136" s="8" t="n">
        <v>9</v>
      </c>
      <c r="C1136" s="8" t="n">
        <v>1</v>
      </c>
      <c r="D1136" s="8" t="inlineStr">
        <is>
          <t>版本免费+义相逢 + 月卡收益 [月卡续费-30元]</t>
        </is>
      </c>
      <c r="E1136" s="9">
        <f>K1135</f>
        <v/>
      </c>
      <c r="F1136" s="9" t="n">
        <v>1540</v>
      </c>
      <c r="G1136" s="9" t="n">
        <v>4800</v>
      </c>
      <c r="H1136" s="9" t="n">
        <v>0</v>
      </c>
      <c r="I1136" s="9" t="n">
        <v>0</v>
      </c>
      <c r="J1136" s="9" t="n">
        <v>0</v>
      </c>
      <c r="K1136" s="9">
        <f>E1136+F1136+G1136+H1136+I1136-J1136</f>
        <v/>
      </c>
      <c r="L1136" s="10">
        <f>Q1135</f>
        <v/>
      </c>
      <c r="M1136" s="10" t="n">
        <v>85</v>
      </c>
      <c r="N1136" s="10" t="n">
        <v>6</v>
      </c>
      <c r="O1136" s="10">
        <f>J1136/160</f>
        <v/>
      </c>
      <c r="P1136" s="10" t="n">
        <v>60</v>
      </c>
      <c r="Q1136" s="10">
        <f>L1136+M1136+N1136+O1136-P1136</f>
        <v/>
      </c>
      <c r="R1136" s="11">
        <f>T1135</f>
        <v/>
      </c>
      <c r="S1136" s="11">
        <f>N(V1136) + N(X1136) + N(Z1136)</f>
        <v/>
      </c>
      <c r="T1136" s="11">
        <f>R1136+P1136-S1136</f>
        <v/>
      </c>
      <c r="U1136" s="11" t="inlineStr">
        <is>
          <t>是</t>
        </is>
      </c>
      <c r="V1136" s="11" t="n">
        <v>46</v>
      </c>
      <c r="W1136" s="11" t="inlineStr">
        <is>
          <t>否</t>
        </is>
      </c>
      <c r="X1136" s="11" t="inlineStr">
        <is>
          <t>-</t>
        </is>
      </c>
      <c r="Y1136" s="11" t="inlineStr">
        <is>
          <t>UP(4)</t>
        </is>
      </c>
      <c r="Z1136" s="11" t="n">
        <v>4</v>
      </c>
      <c r="AA1136" s="11" t="inlineStr">
        <is>
          <t>垫到60抽</t>
        </is>
      </c>
      <c r="AB1136" s="12">
        <f>AE1135</f>
        <v/>
      </c>
      <c r="AC1136" s="12" t="n">
        <v>4</v>
      </c>
      <c r="AD1136" s="12" t="n">
        <v>0</v>
      </c>
      <c r="AE1136" s="12">
        <f>AB1136+AC1136+AD1136</f>
        <v/>
      </c>
      <c r="AF1136" s="13">
        <f>AI1135</f>
        <v/>
      </c>
      <c r="AG1136" s="13" t="n">
        <v>0</v>
      </c>
      <c r="AH1136" s="13" t="n">
        <v>0</v>
      </c>
      <c r="AI1136" s="13">
        <f>AF1136+AG1136+AH1136</f>
        <v/>
      </c>
      <c r="AJ1136" s="14" t="n">
        <v>30</v>
      </c>
      <c r="AK1136" s="14" t="n">
        <v>50</v>
      </c>
      <c r="AL1136" s="14" t="n">
        <v>0</v>
      </c>
      <c r="AM1136" s="14">
        <f>AJ1136+AK1136+AL1136</f>
        <v/>
      </c>
      <c r="AN1136" s="14">
        <f>AN1135+AM1136</f>
        <v/>
      </c>
    </row>
    <row r="1137">
      <c r="A1137" s="8" t="n">
        <v>44</v>
      </c>
      <c r="B1137" s="8" t="n">
        <v>9</v>
      </c>
      <c r="C1137" s="8" t="n">
        <v>2</v>
      </c>
      <c r="D1137" s="8" t="inlineStr">
        <is>
          <t>月卡收益</t>
        </is>
      </c>
      <c r="E1137" s="9">
        <f>K1136</f>
        <v/>
      </c>
      <c r="F1137" s="9" t="n">
        <v>1540</v>
      </c>
      <c r="G1137" s="9" t="n">
        <v>0</v>
      </c>
      <c r="H1137" s="9" t="n">
        <v>0</v>
      </c>
      <c r="I1137" s="9" t="n">
        <v>0</v>
      </c>
      <c r="J1137" s="9" t="n">
        <v>8480</v>
      </c>
      <c r="K1137" s="9">
        <f>E1137+F1137+G1137+H1137+I1137-J1137</f>
        <v/>
      </c>
      <c r="L1137" s="10">
        <f>Q1136</f>
        <v/>
      </c>
      <c r="M1137" s="10" t="n">
        <v>0</v>
      </c>
      <c r="N1137" s="10" t="n">
        <v>11</v>
      </c>
      <c r="O1137" s="10">
        <f>J1137/160</f>
        <v/>
      </c>
      <c r="P1137" s="10" t="n">
        <v>90</v>
      </c>
      <c r="Q1137" s="10">
        <f>L1137+M1137+N1137+O1137-P1137</f>
        <v/>
      </c>
      <c r="R1137" s="11">
        <f>T1136</f>
        <v/>
      </c>
      <c r="S1137" s="11">
        <f>N(V1137) + N(X1137) + N(Z1137)</f>
        <v/>
      </c>
      <c r="T1137" s="11">
        <f>R1137+P1137-S1137</f>
        <v/>
      </c>
      <c r="U1137" s="11" t="inlineStr">
        <is>
          <t>是</t>
        </is>
      </c>
      <c r="V1137" s="11" t="n">
        <v>53</v>
      </c>
      <c r="W1137" s="11" t="inlineStr">
        <is>
          <t>是</t>
        </is>
      </c>
      <c r="X1137" s="11" t="n">
        <v>51</v>
      </c>
      <c r="Y1137" s="11" t="inlineStr">
        <is>
          <t>-</t>
        </is>
      </c>
      <c r="Z1137" s="11" t="n">
        <v>0</v>
      </c>
      <c r="AA1137" s="11" t="inlineStr">
        <is>
          <t>无</t>
        </is>
      </c>
      <c r="AB1137" s="12">
        <f>AE1136</f>
        <v/>
      </c>
      <c r="AC1137" s="12" t="n">
        <v>0</v>
      </c>
      <c r="AD1137" s="12" t="n">
        <v>0</v>
      </c>
      <c r="AE1137" s="12">
        <f>AB1137+AC1137+AD1137</f>
        <v/>
      </c>
      <c r="AF1137" s="13">
        <f>AI1136</f>
        <v/>
      </c>
      <c r="AG1137" s="13" t="n">
        <v>0</v>
      </c>
      <c r="AH1137" s="13" t="n">
        <v>0</v>
      </c>
      <c r="AI1137" s="13">
        <f>AF1137+AG1137+AH1137</f>
        <v/>
      </c>
      <c r="AJ1137" s="14" t="n">
        <v>0</v>
      </c>
      <c r="AK1137" s="14" t="n">
        <v>0</v>
      </c>
      <c r="AL1137" s="14" t="n">
        <v>0</v>
      </c>
      <c r="AM1137" s="14">
        <f>AJ1137+AK1137+AL1137</f>
        <v/>
      </c>
      <c r="AN1137" s="14">
        <f>AN1136+AM1137</f>
        <v/>
      </c>
    </row>
    <row r="1138">
      <c r="A1138" s="8" t="n">
        <v>44</v>
      </c>
      <c r="B1138" s="8" t="n">
        <v>10</v>
      </c>
      <c r="C1138" s="8" t="n">
        <v>1</v>
      </c>
      <c r="D1138" s="8" t="inlineStr">
        <is>
          <t>版本免费+义相逢 + 月卡收益 [月卡续费-30元]</t>
        </is>
      </c>
      <c r="E1138" s="9">
        <f>K1137</f>
        <v/>
      </c>
      <c r="F1138" s="9" t="n">
        <v>1540</v>
      </c>
      <c r="G1138" s="9" t="n">
        <v>4800</v>
      </c>
      <c r="H1138" s="9" t="n">
        <v>0</v>
      </c>
      <c r="I1138" s="9" t="n">
        <v>0</v>
      </c>
      <c r="J1138" s="9" t="n">
        <v>0</v>
      </c>
      <c r="K1138" s="9">
        <f>E1138+F1138+G1138+H1138+I1138-J1138</f>
        <v/>
      </c>
      <c r="L1138" s="10">
        <f>Q1137</f>
        <v/>
      </c>
      <c r="M1138" s="10" t="n">
        <v>85</v>
      </c>
      <c r="N1138" s="10" t="n">
        <v>6</v>
      </c>
      <c r="O1138" s="10">
        <f>J1138/160</f>
        <v/>
      </c>
      <c r="P1138" s="10" t="n">
        <v>60</v>
      </c>
      <c r="Q1138" s="10">
        <f>L1138+M1138+N1138+O1138-P1138</f>
        <v/>
      </c>
      <c r="R1138" s="11">
        <f>T1137</f>
        <v/>
      </c>
      <c r="S1138" s="11">
        <f>N(V1138) + N(X1138) + N(Z1138)</f>
        <v/>
      </c>
      <c r="T1138" s="11">
        <f>R1138+P1138-S1138</f>
        <v/>
      </c>
      <c r="U1138" s="11" t="inlineStr">
        <is>
          <t>是</t>
        </is>
      </c>
      <c r="V1138" s="11" t="n">
        <v>49</v>
      </c>
      <c r="W1138" s="11" t="inlineStr">
        <is>
          <t>否</t>
        </is>
      </c>
      <c r="X1138" s="11" t="inlineStr">
        <is>
          <t>-</t>
        </is>
      </c>
      <c r="Y1138" s="11" t="inlineStr">
        <is>
          <t>-</t>
        </is>
      </c>
      <c r="Z1138" s="11" t="n">
        <v>0</v>
      </c>
      <c r="AA1138" s="11" t="inlineStr">
        <is>
          <t>垫到60抽</t>
        </is>
      </c>
      <c r="AB1138" s="12">
        <f>AE1137</f>
        <v/>
      </c>
      <c r="AC1138" s="12" t="n">
        <v>4</v>
      </c>
      <c r="AD1138" s="12" t="n">
        <v>0</v>
      </c>
      <c r="AE1138" s="12">
        <f>AB1138+AC1138+AD1138</f>
        <v/>
      </c>
      <c r="AF1138" s="13">
        <f>AI1137</f>
        <v/>
      </c>
      <c r="AG1138" s="13" t="n">
        <v>0</v>
      </c>
      <c r="AH1138" s="13" t="n">
        <v>0</v>
      </c>
      <c r="AI1138" s="13">
        <f>AF1138+AG1138+AH1138</f>
        <v/>
      </c>
      <c r="AJ1138" s="14" t="n">
        <v>30</v>
      </c>
      <c r="AK1138" s="14" t="n">
        <v>50</v>
      </c>
      <c r="AL1138" s="14" t="n">
        <v>0</v>
      </c>
      <c r="AM1138" s="14">
        <f>AJ1138+AK1138+AL1138</f>
        <v/>
      </c>
      <c r="AN1138" s="14">
        <f>AN1137+AM1138</f>
        <v/>
      </c>
    </row>
    <row r="1139">
      <c r="A1139" s="8" t="n">
        <v>44</v>
      </c>
      <c r="B1139" s="8" t="n">
        <v>10</v>
      </c>
      <c r="C1139" s="8" t="n">
        <v>2</v>
      </c>
      <c r="D1139" s="8" t="inlineStr">
        <is>
          <t>月卡收益</t>
        </is>
      </c>
      <c r="E1139" s="9">
        <f>K1138</f>
        <v/>
      </c>
      <c r="F1139" s="9" t="n">
        <v>1540</v>
      </c>
      <c r="G1139" s="9" t="n">
        <v>0</v>
      </c>
      <c r="H1139" s="9" t="n">
        <v>0</v>
      </c>
      <c r="I1139" s="9" t="n">
        <v>0</v>
      </c>
      <c r="J1139" s="9" t="n">
        <v>7680</v>
      </c>
      <c r="K1139" s="9">
        <f>E1139+F1139+G1139+H1139+I1139-J1139</f>
        <v/>
      </c>
      <c r="L1139" s="10">
        <f>Q1138</f>
        <v/>
      </c>
      <c r="M1139" s="10" t="n">
        <v>0</v>
      </c>
      <c r="N1139" s="10" t="n">
        <v>11</v>
      </c>
      <c r="O1139" s="10">
        <f>J1139/160</f>
        <v/>
      </c>
      <c r="P1139" s="10" t="n">
        <v>90</v>
      </c>
      <c r="Q1139" s="10">
        <f>L1139+M1139+N1139+O1139-P1139</f>
        <v/>
      </c>
      <c r="R1139" s="11">
        <f>T1138</f>
        <v/>
      </c>
      <c r="S1139" s="11">
        <f>N(V1139) + N(X1139) + N(Z1139)</f>
        <v/>
      </c>
      <c r="T1139" s="11">
        <f>R1139+P1139-S1139</f>
        <v/>
      </c>
      <c r="U1139" s="11" t="inlineStr">
        <is>
          <t>是</t>
        </is>
      </c>
      <c r="V1139" s="11" t="n">
        <v>48</v>
      </c>
      <c r="W1139" s="11" t="inlineStr">
        <is>
          <t>是</t>
        </is>
      </c>
      <c r="X1139" s="11" t="n">
        <v>48</v>
      </c>
      <c r="Y1139" s="11" t="inlineStr">
        <is>
          <t>-</t>
        </is>
      </c>
      <c r="Z1139" s="11" t="n">
        <v>0</v>
      </c>
      <c r="AA1139" s="11" t="inlineStr">
        <is>
          <t>无</t>
        </is>
      </c>
      <c r="AB1139" s="12">
        <f>AE1138</f>
        <v/>
      </c>
      <c r="AC1139" s="12" t="n">
        <v>0</v>
      </c>
      <c r="AD1139" s="12" t="n">
        <v>0</v>
      </c>
      <c r="AE1139" s="12">
        <f>AB1139+AC1139+AD1139</f>
        <v/>
      </c>
      <c r="AF1139" s="13">
        <f>AI1138</f>
        <v/>
      </c>
      <c r="AG1139" s="13" t="n">
        <v>0</v>
      </c>
      <c r="AH1139" s="13" t="n">
        <v>0</v>
      </c>
      <c r="AI1139" s="13">
        <f>AF1139+AG1139+AH1139</f>
        <v/>
      </c>
      <c r="AJ1139" s="14" t="n">
        <v>0</v>
      </c>
      <c r="AK1139" s="14" t="n">
        <v>0</v>
      </c>
      <c r="AL1139" s="14" t="n">
        <v>0</v>
      </c>
      <c r="AM1139" s="14">
        <f>AJ1139+AK1139+AL1139</f>
        <v/>
      </c>
      <c r="AN1139" s="14">
        <f>AN1138+AM1139</f>
        <v/>
      </c>
    </row>
    <row r="1140">
      <c r="A1140" s="8" t="n">
        <v>44</v>
      </c>
      <c r="B1140" s="8" t="n">
        <v>11</v>
      </c>
      <c r="C1140" s="8" t="n">
        <v>1</v>
      </c>
      <c r="D1140" s="8" t="inlineStr">
        <is>
          <t>版本免费+义相逢 + 月卡收益 [月卡续费-30元]</t>
        </is>
      </c>
      <c r="E1140" s="9">
        <f>K1139</f>
        <v/>
      </c>
      <c r="F1140" s="9" t="n">
        <v>1540</v>
      </c>
      <c r="G1140" s="9" t="n">
        <v>4800</v>
      </c>
      <c r="H1140" s="9" t="n">
        <v>0</v>
      </c>
      <c r="I1140" s="9" t="n">
        <v>0</v>
      </c>
      <c r="J1140" s="9" t="n">
        <v>0</v>
      </c>
      <c r="K1140" s="9">
        <f>E1140+F1140+G1140+H1140+I1140-J1140</f>
        <v/>
      </c>
      <c r="L1140" s="10">
        <f>Q1139</f>
        <v/>
      </c>
      <c r="M1140" s="10" t="n">
        <v>85</v>
      </c>
      <c r="N1140" s="10" t="n">
        <v>6</v>
      </c>
      <c r="O1140" s="10">
        <f>J1140/160</f>
        <v/>
      </c>
      <c r="P1140" s="10" t="n">
        <v>60</v>
      </c>
      <c r="Q1140" s="10">
        <f>L1140+M1140+N1140+O1140-P1140</f>
        <v/>
      </c>
      <c r="R1140" s="11">
        <f>T1139</f>
        <v/>
      </c>
      <c r="S1140" s="11">
        <f>N(V1140) + N(X1140) + N(Z1140)</f>
        <v/>
      </c>
      <c r="T1140" s="11">
        <f>R1140+P1140-S1140</f>
        <v/>
      </c>
      <c r="U1140" s="11" t="inlineStr">
        <is>
          <t>是</t>
        </is>
      </c>
      <c r="V1140" s="11" t="n">
        <v>48</v>
      </c>
      <c r="W1140" s="11" t="inlineStr">
        <is>
          <t>否</t>
        </is>
      </c>
      <c r="X1140" s="11" t="inlineStr">
        <is>
          <t>-</t>
        </is>
      </c>
      <c r="Y1140" s="11" t="inlineStr">
        <is>
          <t>-</t>
        </is>
      </c>
      <c r="Z1140" s="11" t="n">
        <v>0</v>
      </c>
      <c r="AA1140" s="11" t="inlineStr">
        <is>
          <t>垫到60抽</t>
        </is>
      </c>
      <c r="AB1140" s="12">
        <f>AE1139</f>
        <v/>
      </c>
      <c r="AC1140" s="12" t="n">
        <v>4</v>
      </c>
      <c r="AD1140" s="12" t="n">
        <v>0</v>
      </c>
      <c r="AE1140" s="12">
        <f>AB1140+AC1140+AD1140</f>
        <v/>
      </c>
      <c r="AF1140" s="13">
        <f>AI1139</f>
        <v/>
      </c>
      <c r="AG1140" s="13" t="n">
        <v>0</v>
      </c>
      <c r="AH1140" s="13" t="n">
        <v>0</v>
      </c>
      <c r="AI1140" s="13">
        <f>AF1140+AG1140+AH1140</f>
        <v/>
      </c>
      <c r="AJ1140" s="14" t="n">
        <v>30</v>
      </c>
      <c r="AK1140" s="14" t="n">
        <v>50</v>
      </c>
      <c r="AL1140" s="14" t="n">
        <v>0</v>
      </c>
      <c r="AM1140" s="14">
        <f>AJ1140+AK1140+AL1140</f>
        <v/>
      </c>
      <c r="AN1140" s="14">
        <f>AN1139+AM1140</f>
        <v/>
      </c>
    </row>
    <row r="1141">
      <c r="A1141" s="8" t="n">
        <v>44</v>
      </c>
      <c r="B1141" s="8" t="n">
        <v>11</v>
      </c>
      <c r="C1141" s="8" t="n">
        <v>2</v>
      </c>
      <c r="D1141" s="8" t="inlineStr">
        <is>
          <t>月卡收益</t>
        </is>
      </c>
      <c r="E1141" s="9">
        <f>K1140</f>
        <v/>
      </c>
      <c r="F1141" s="9" t="n">
        <v>1540</v>
      </c>
      <c r="G1141" s="9" t="n">
        <v>0</v>
      </c>
      <c r="H1141" s="9" t="n">
        <v>0</v>
      </c>
      <c r="I1141" s="9" t="n">
        <v>0</v>
      </c>
      <c r="J1141" s="9" t="n">
        <v>7680</v>
      </c>
      <c r="K1141" s="9">
        <f>E1141+F1141+G1141+H1141+I1141-J1141</f>
        <v/>
      </c>
      <c r="L1141" s="10">
        <f>Q1140</f>
        <v/>
      </c>
      <c r="M1141" s="10" t="n">
        <v>0</v>
      </c>
      <c r="N1141" s="10" t="n">
        <v>11</v>
      </c>
      <c r="O1141" s="10">
        <f>J1141/160</f>
        <v/>
      </c>
      <c r="P1141" s="10" t="n">
        <v>90</v>
      </c>
      <c r="Q1141" s="10">
        <f>L1141+M1141+N1141+O1141-P1141</f>
        <v/>
      </c>
      <c r="R1141" s="11">
        <f>T1140</f>
        <v/>
      </c>
      <c r="S1141" s="11">
        <f>N(V1141) + N(X1141) + N(Z1141)</f>
        <v/>
      </c>
      <c r="T1141" s="11">
        <f>R1141+P1141-S1141</f>
        <v/>
      </c>
      <c r="U1141" s="11" t="inlineStr">
        <is>
          <t>是</t>
        </is>
      </c>
      <c r="V1141" s="11" t="n">
        <v>54</v>
      </c>
      <c r="W1141" s="11" t="inlineStr">
        <is>
          <t>是</t>
        </is>
      </c>
      <c r="X1141" s="11" t="n">
        <v>47</v>
      </c>
      <c r="Y1141" s="11" t="inlineStr">
        <is>
          <t>-</t>
        </is>
      </c>
      <c r="Z1141" s="11" t="n">
        <v>0</v>
      </c>
      <c r="AA1141" s="11" t="inlineStr">
        <is>
          <t>无</t>
        </is>
      </c>
      <c r="AB1141" s="12">
        <f>AE1140</f>
        <v/>
      </c>
      <c r="AC1141" s="12" t="n">
        <v>0</v>
      </c>
      <c r="AD1141" s="12" t="n">
        <v>0</v>
      </c>
      <c r="AE1141" s="12">
        <f>AB1141+AC1141+AD1141</f>
        <v/>
      </c>
      <c r="AF1141" s="13">
        <f>AI1140</f>
        <v/>
      </c>
      <c r="AG1141" s="13" t="n">
        <v>0</v>
      </c>
      <c r="AH1141" s="13" t="n">
        <v>0</v>
      </c>
      <c r="AI1141" s="13">
        <f>AF1141+AG1141+AH1141</f>
        <v/>
      </c>
      <c r="AJ1141" s="14" t="n">
        <v>0</v>
      </c>
      <c r="AK1141" s="14" t="n">
        <v>0</v>
      </c>
      <c r="AL1141" s="14" t="n">
        <v>0</v>
      </c>
      <c r="AM1141" s="14">
        <f>AJ1141+AK1141+AL1141</f>
        <v/>
      </c>
      <c r="AN1141" s="14">
        <f>AN1140+AM1141</f>
        <v/>
      </c>
    </row>
    <row r="1142">
      <c r="A1142" s="8" t="n">
        <v>44</v>
      </c>
      <c r="B1142" s="8" t="n">
        <v>12</v>
      </c>
      <c r="C1142" s="8" t="n">
        <v>1</v>
      </c>
      <c r="D1142" s="8" t="inlineStr">
        <is>
          <t>版本免费+义相逢 + 月卡收益</t>
        </is>
      </c>
      <c r="E1142" s="9">
        <f>K1141</f>
        <v/>
      </c>
      <c r="F1142" s="9" t="n">
        <v>1540</v>
      </c>
      <c r="G1142" s="9" t="n">
        <v>4800</v>
      </c>
      <c r="H1142" s="9" t="n">
        <v>0</v>
      </c>
      <c r="I1142" s="9" t="n">
        <v>0</v>
      </c>
      <c r="J1142" s="9" t="n">
        <v>0</v>
      </c>
      <c r="K1142" s="9">
        <f>E1142+F1142+G1142+H1142+I1142-J1142</f>
        <v/>
      </c>
      <c r="L1142" s="10">
        <f>Q1141</f>
        <v/>
      </c>
      <c r="M1142" s="10" t="n">
        <v>85</v>
      </c>
      <c r="N1142" s="10" t="n">
        <v>11</v>
      </c>
      <c r="O1142" s="10">
        <f>J1142/160</f>
        <v/>
      </c>
      <c r="P1142" s="10" t="n">
        <v>90</v>
      </c>
      <c r="Q1142" s="10">
        <f>L1142+M1142+N1142+O1142-P1142</f>
        <v/>
      </c>
      <c r="R1142" s="11">
        <f>T1141</f>
        <v/>
      </c>
      <c r="S1142" s="11">
        <f>N(V1142) + N(X1142) + N(Z1142)</f>
        <v/>
      </c>
      <c r="T1142" s="11">
        <f>R1142+P1142-S1142</f>
        <v/>
      </c>
      <c r="U1142" s="11" t="inlineStr">
        <is>
          <t>是</t>
        </is>
      </c>
      <c r="V1142" s="11" t="n">
        <v>49</v>
      </c>
      <c r="W1142" s="11" t="inlineStr">
        <is>
          <t>是</t>
        </is>
      </c>
      <c r="X1142" s="11" t="n">
        <v>39</v>
      </c>
      <c r="Y1142" s="11" t="inlineStr">
        <is>
          <t>-</t>
        </is>
      </c>
      <c r="Z1142" s="11" t="n">
        <v>0</v>
      </c>
      <c r="AA1142" s="11" t="inlineStr">
        <is>
          <t>无</t>
        </is>
      </c>
      <c r="AB1142" s="12">
        <f>AE1141</f>
        <v/>
      </c>
      <c r="AC1142" s="12" t="n">
        <v>4</v>
      </c>
      <c r="AD1142" s="12" t="n">
        <v>0</v>
      </c>
      <c r="AE1142" s="12">
        <f>AB1142+AC1142+AD1142</f>
        <v/>
      </c>
      <c r="AF1142" s="13">
        <f>AI1141</f>
        <v/>
      </c>
      <c r="AG1142" s="13" t="n">
        <v>0</v>
      </c>
      <c r="AH1142" s="13" t="n">
        <v>0</v>
      </c>
      <c r="AI1142" s="13">
        <f>AF1142+AG1142+AH1142</f>
        <v/>
      </c>
      <c r="AJ1142" s="14" t="n">
        <v>0</v>
      </c>
      <c r="AK1142" s="14" t="n">
        <v>50</v>
      </c>
      <c r="AL1142" s="14" t="n">
        <v>0</v>
      </c>
      <c r="AM1142" s="14">
        <f>AJ1142+AK1142+AL1142</f>
        <v/>
      </c>
      <c r="AN1142" s="14">
        <f>AN1141+AM1142</f>
        <v/>
      </c>
    </row>
    <row r="1143">
      <c r="A1143" s="8" t="n">
        <v>44</v>
      </c>
      <c r="B1143" s="8" t="n">
        <v>12</v>
      </c>
      <c r="C1143" s="8" t="n">
        <v>2</v>
      </c>
      <c r="D1143" s="8" t="inlineStr">
        <is>
          <t>月卡收益 [月卡续费-30元]</t>
        </is>
      </c>
      <c r="E1143" s="9">
        <f>K1142</f>
        <v/>
      </c>
      <c r="F1143" s="9" t="n">
        <v>1540</v>
      </c>
      <c r="G1143" s="9" t="n">
        <v>0</v>
      </c>
      <c r="H1143" s="9" t="n">
        <v>0</v>
      </c>
      <c r="I1143" s="9" t="n">
        <v>0</v>
      </c>
      <c r="J1143" s="9" t="n">
        <v>12480</v>
      </c>
      <c r="K1143" s="9">
        <f>E1143+F1143+G1143+H1143+I1143-J1143</f>
        <v/>
      </c>
      <c r="L1143" s="10">
        <f>Q1142</f>
        <v/>
      </c>
      <c r="M1143" s="10" t="n">
        <v>0</v>
      </c>
      <c r="N1143" s="10" t="n">
        <v>11</v>
      </c>
      <c r="O1143" s="10">
        <f>J1143/160</f>
        <v/>
      </c>
      <c r="P1143" s="10" t="n">
        <v>100</v>
      </c>
      <c r="Q1143" s="10">
        <f>L1143+M1143+N1143+O1143-P1143</f>
        <v/>
      </c>
      <c r="R1143" s="11">
        <f>T1142</f>
        <v/>
      </c>
      <c r="S1143" s="11">
        <f>N(V1143) + N(X1143) + N(Z1143)</f>
        <v/>
      </c>
      <c r="T1143" s="11">
        <f>R1143+P1143-S1143</f>
        <v/>
      </c>
      <c r="U1143" s="11" t="inlineStr">
        <is>
          <t>是</t>
        </is>
      </c>
      <c r="V1143" s="11" t="n">
        <v>48</v>
      </c>
      <c r="W1143" s="11" t="inlineStr">
        <is>
          <t>是</t>
        </is>
      </c>
      <c r="X1143" s="11" t="n">
        <v>54</v>
      </c>
      <c r="Y1143" s="11" t="inlineStr">
        <is>
          <t>-</t>
        </is>
      </c>
      <c r="Z1143" s="11" t="n">
        <v>0</v>
      </c>
      <c r="AA1143" s="11" t="inlineStr">
        <is>
          <t>无</t>
        </is>
      </c>
      <c r="AB1143" s="12">
        <f>AE1142</f>
        <v/>
      </c>
      <c r="AC1143" s="12" t="n">
        <v>0</v>
      </c>
      <c r="AD1143" s="12" t="n">
        <v>0</v>
      </c>
      <c r="AE1143" s="12">
        <f>AB1143+AC1143+AD1143</f>
        <v/>
      </c>
      <c r="AF1143" s="13">
        <f>AI1142</f>
        <v/>
      </c>
      <c r="AG1143" s="13" t="n">
        <v>0</v>
      </c>
      <c r="AH1143" s="13" t="n">
        <v>0</v>
      </c>
      <c r="AI1143" s="13">
        <f>AF1143+AG1143+AH1143</f>
        <v/>
      </c>
      <c r="AJ1143" s="14" t="n">
        <v>30</v>
      </c>
      <c r="AK1143" s="14" t="n">
        <v>0</v>
      </c>
      <c r="AL1143" s="14" t="n">
        <v>0</v>
      </c>
      <c r="AM1143" s="14">
        <f>AJ1143+AK1143+AL1143</f>
        <v/>
      </c>
      <c r="AN1143" s="14">
        <f>AN1142+AM1143</f>
        <v/>
      </c>
    </row>
    <row r="1144">
      <c r="A1144" s="8" t="n">
        <v>44</v>
      </c>
      <c r="B1144" s="8" t="n">
        <v>13</v>
      </c>
      <c r="C1144" s="8" t="n">
        <v>1</v>
      </c>
      <c r="D1144" s="8" t="inlineStr">
        <is>
          <t>版本免费+义相逢 + 月卡收益</t>
        </is>
      </c>
      <c r="E1144" s="9">
        <f>K1143</f>
        <v/>
      </c>
      <c r="F1144" s="9" t="n">
        <v>1540</v>
      </c>
      <c r="G1144" s="9" t="n">
        <v>4800</v>
      </c>
      <c r="H1144" s="9" t="n">
        <v>0</v>
      </c>
      <c r="I1144" s="9" t="n">
        <v>0</v>
      </c>
      <c r="J1144" s="9" t="n">
        <v>0</v>
      </c>
      <c r="K1144" s="9">
        <f>E1144+F1144+G1144+H1144+I1144-J1144</f>
        <v/>
      </c>
      <c r="L1144" s="10">
        <f>Q1143</f>
        <v/>
      </c>
      <c r="M1144" s="10" t="n">
        <v>85</v>
      </c>
      <c r="N1144" s="10" t="n">
        <v>11</v>
      </c>
      <c r="O1144" s="10">
        <f>J1144/160</f>
        <v/>
      </c>
      <c r="P1144" s="10" t="n">
        <v>90</v>
      </c>
      <c r="Q1144" s="10">
        <f>L1144+M1144+N1144+O1144-P1144</f>
        <v/>
      </c>
      <c r="R1144" s="11">
        <f>T1143</f>
        <v/>
      </c>
      <c r="S1144" s="11">
        <f>N(V1144) + N(X1144) + N(Z1144)</f>
        <v/>
      </c>
      <c r="T1144" s="11">
        <f>R1144+P1144-S1144</f>
        <v/>
      </c>
      <c r="U1144" s="11" t="inlineStr">
        <is>
          <t>是</t>
        </is>
      </c>
      <c r="V1144" s="11" t="n">
        <v>48</v>
      </c>
      <c r="W1144" s="11" t="inlineStr">
        <is>
          <t>是</t>
        </is>
      </c>
      <c r="X1144" s="11" t="n">
        <v>48</v>
      </c>
      <c r="Y1144" s="11" t="inlineStr">
        <is>
          <t>-</t>
        </is>
      </c>
      <c r="Z1144" s="11" t="n">
        <v>0</v>
      </c>
      <c r="AA1144" s="11" t="inlineStr">
        <is>
          <t>无</t>
        </is>
      </c>
      <c r="AB1144" s="12">
        <f>AE1143</f>
        <v/>
      </c>
      <c r="AC1144" s="12" t="n">
        <v>4</v>
      </c>
      <c r="AD1144" s="12" t="n">
        <v>0</v>
      </c>
      <c r="AE1144" s="12">
        <f>AB1144+AC1144+AD1144</f>
        <v/>
      </c>
      <c r="AF1144" s="13">
        <f>AI1143</f>
        <v/>
      </c>
      <c r="AG1144" s="13" t="n">
        <v>0</v>
      </c>
      <c r="AH1144" s="13" t="n">
        <v>0</v>
      </c>
      <c r="AI1144" s="13">
        <f>AF1144+AG1144+AH1144</f>
        <v/>
      </c>
      <c r="AJ1144" s="14" t="n">
        <v>0</v>
      </c>
      <c r="AK1144" s="14" t="n">
        <v>50</v>
      </c>
      <c r="AL1144" s="14" t="n">
        <v>0</v>
      </c>
      <c r="AM1144" s="14">
        <f>AJ1144+AK1144+AL1144</f>
        <v/>
      </c>
      <c r="AN1144" s="14">
        <f>AN1143+AM1144</f>
        <v/>
      </c>
    </row>
    <row r="1145">
      <c r="A1145" s="8" t="n">
        <v>44</v>
      </c>
      <c r="B1145" s="8" t="n">
        <v>13</v>
      </c>
      <c r="C1145" s="8" t="n">
        <v>2</v>
      </c>
      <c r="D1145" s="8" t="inlineStr">
        <is>
          <t>月卡收益 [月卡续费-30元]</t>
        </is>
      </c>
      <c r="E1145" s="9">
        <f>K1144</f>
        <v/>
      </c>
      <c r="F1145" s="9" t="n">
        <v>1540</v>
      </c>
      <c r="G1145" s="9" t="n">
        <v>0</v>
      </c>
      <c r="H1145" s="9" t="n">
        <v>0</v>
      </c>
      <c r="I1145" s="9" t="n">
        <v>0</v>
      </c>
      <c r="J1145" s="9" t="n">
        <v>8160</v>
      </c>
      <c r="K1145" s="9">
        <f>E1145+F1145+G1145+H1145+I1145-J1145</f>
        <v/>
      </c>
      <c r="L1145" s="10">
        <f>Q1144</f>
        <v/>
      </c>
      <c r="M1145" s="10" t="n">
        <v>0</v>
      </c>
      <c r="N1145" s="10" t="n">
        <v>6</v>
      </c>
      <c r="O1145" s="10">
        <f>J1145/160</f>
        <v/>
      </c>
      <c r="P1145" s="10" t="n">
        <v>60</v>
      </c>
      <c r="Q1145" s="10">
        <f>L1145+M1145+N1145+O1145-P1145</f>
        <v/>
      </c>
      <c r="R1145" s="11">
        <f>T1144</f>
        <v/>
      </c>
      <c r="S1145" s="11">
        <f>N(V1145) + N(X1145) + N(Z1145)</f>
        <v/>
      </c>
      <c r="T1145" s="11">
        <f>R1145+P1145-S1145</f>
        <v/>
      </c>
      <c r="U1145" s="11" t="inlineStr">
        <is>
          <t>是</t>
        </is>
      </c>
      <c r="V1145" s="11" t="n">
        <v>53</v>
      </c>
      <c r="W1145" s="11" t="inlineStr">
        <is>
          <t>否</t>
        </is>
      </c>
      <c r="X1145" s="11" t="inlineStr">
        <is>
          <t>-</t>
        </is>
      </c>
      <c r="Y1145" s="11" t="inlineStr">
        <is>
          <t>-</t>
        </is>
      </c>
      <c r="Z1145" s="11" t="n">
        <v>0</v>
      </c>
      <c r="AA1145" s="11" t="inlineStr">
        <is>
          <t>无</t>
        </is>
      </c>
      <c r="AB1145" s="12">
        <f>AE1144</f>
        <v/>
      </c>
      <c r="AC1145" s="12" t="n">
        <v>0</v>
      </c>
      <c r="AD1145" s="12" t="n">
        <v>0</v>
      </c>
      <c r="AE1145" s="12">
        <f>AB1145+AC1145+AD1145</f>
        <v/>
      </c>
      <c r="AF1145" s="13">
        <f>AI1144</f>
        <v/>
      </c>
      <c r="AG1145" s="13" t="n">
        <v>0</v>
      </c>
      <c r="AH1145" s="13" t="n">
        <v>0</v>
      </c>
      <c r="AI1145" s="13">
        <f>AF1145+AG1145+AH1145</f>
        <v/>
      </c>
      <c r="AJ1145" s="14" t="n">
        <v>30</v>
      </c>
      <c r="AK1145" s="14" t="n">
        <v>0</v>
      </c>
      <c r="AL1145" s="14" t="n">
        <v>0</v>
      </c>
      <c r="AM1145" s="14">
        <f>AJ1145+AK1145+AL1145</f>
        <v/>
      </c>
      <c r="AN1145" s="14">
        <f>AN1144+AM1145</f>
        <v/>
      </c>
    </row>
    <row r="1146">
      <c r="A1146" s="8" t="n">
        <v>45</v>
      </c>
      <c r="B1146" s="8" t="n">
        <v>1</v>
      </c>
      <c r="C1146" s="8" t="n">
        <v>1</v>
      </c>
      <c r="D1146" s="8" t="inlineStr">
        <is>
          <t>版本免费+义相逢 + 月卡收益</t>
        </is>
      </c>
      <c r="E1146" s="9" t="n">
        <v>5600</v>
      </c>
      <c r="F1146" s="9" t="n">
        <v>1540</v>
      </c>
      <c r="G1146" s="9" t="n">
        <v>4800</v>
      </c>
      <c r="H1146" s="9" t="n">
        <v>0</v>
      </c>
      <c r="I1146" s="9" t="n">
        <v>0</v>
      </c>
      <c r="J1146" s="9" t="n">
        <v>0</v>
      </c>
      <c r="K1146" s="9">
        <f>E1146+F1146+G1146+H1146+I1146-J1146</f>
        <v/>
      </c>
      <c r="L1146" s="10" t="n">
        <v>3</v>
      </c>
      <c r="M1146" s="10" t="n">
        <v>85</v>
      </c>
      <c r="N1146" s="10" t="n">
        <v>3</v>
      </c>
      <c r="O1146" s="10">
        <f>J1146/160</f>
        <v/>
      </c>
      <c r="P1146" s="10" t="n">
        <v>40</v>
      </c>
      <c r="Q1146" s="10">
        <f>L1146+M1146+N1146+O1146-P1146</f>
        <v/>
      </c>
      <c r="R1146" s="11" t="n">
        <v>8</v>
      </c>
      <c r="S1146" s="11">
        <f>N(V1146) + N(X1146) + N(Z1146)</f>
        <v/>
      </c>
      <c r="T1146" s="11">
        <f>R1146+P1146-S1146</f>
        <v/>
      </c>
      <c r="U1146" s="11" t="inlineStr">
        <is>
          <t>是</t>
        </is>
      </c>
      <c r="V1146" s="11" t="n">
        <v>47</v>
      </c>
      <c r="W1146" s="11" t="inlineStr">
        <is>
          <t>否</t>
        </is>
      </c>
      <c r="X1146" s="11" t="inlineStr">
        <is>
          <t>-</t>
        </is>
      </c>
      <c r="Y1146" s="11" t="inlineStr">
        <is>
          <t>-</t>
        </is>
      </c>
      <c r="Z1146" s="11" t="n">
        <v>0</v>
      </c>
      <c r="AA1146" s="11" t="inlineStr">
        <is>
          <t>无</t>
        </is>
      </c>
      <c r="AB1146" s="12" t="n">
        <v>2351</v>
      </c>
      <c r="AC1146" s="12" t="n">
        <v>4</v>
      </c>
      <c r="AD1146" s="12" t="n">
        <v>0</v>
      </c>
      <c r="AE1146" s="12">
        <f>AB1146+AC1146+AD1146</f>
        <v/>
      </c>
      <c r="AF1146" s="13" t="n">
        <v>315000</v>
      </c>
      <c r="AG1146" s="13" t="n">
        <v>0</v>
      </c>
      <c r="AH1146" s="13" t="n">
        <v>0</v>
      </c>
      <c r="AI1146" s="13">
        <f>AF1146+AG1146+AH1146</f>
        <v/>
      </c>
      <c r="AJ1146" s="14" t="n">
        <v>0</v>
      </c>
      <c r="AK1146" s="14" t="n">
        <v>50</v>
      </c>
      <c r="AL1146" s="14" t="n">
        <v>0</v>
      </c>
      <c r="AM1146" s="14">
        <f>AJ1146+AK1146+AL1146</f>
        <v/>
      </c>
      <c r="AN1146" s="14">
        <f>AM1146</f>
        <v/>
      </c>
    </row>
    <row r="1147">
      <c r="A1147" s="8" t="n">
        <v>45</v>
      </c>
      <c r="B1147" s="8" t="n">
        <v>1</v>
      </c>
      <c r="C1147" s="8" t="n">
        <v>2</v>
      </c>
      <c r="D1147" s="8" t="inlineStr">
        <is>
          <t>月卡收益 [月卡续费-30元]</t>
        </is>
      </c>
      <c r="E1147" s="9">
        <f>K1146</f>
        <v/>
      </c>
      <c r="F1147" s="9" t="n">
        <v>1540</v>
      </c>
      <c r="G1147" s="9" t="n">
        <v>0</v>
      </c>
      <c r="H1147" s="9" t="n">
        <v>0</v>
      </c>
      <c r="I1147" s="9" t="n">
        <v>0</v>
      </c>
      <c r="J1147" s="9" t="n">
        <v>6080</v>
      </c>
      <c r="K1147" s="9">
        <f>E1147+F1147+G1147+H1147+I1147-J1147</f>
        <v/>
      </c>
      <c r="L1147" s="10">
        <f>Q1146</f>
        <v/>
      </c>
      <c r="M1147" s="10" t="n">
        <v>0</v>
      </c>
      <c r="N1147" s="10" t="n">
        <v>11</v>
      </c>
      <c r="O1147" s="10">
        <f>J1147/160</f>
        <v/>
      </c>
      <c r="P1147" s="10" t="n">
        <v>100</v>
      </c>
      <c r="Q1147" s="10">
        <f>L1147+M1147+N1147+O1147-P1147</f>
        <v/>
      </c>
      <c r="R1147" s="11">
        <f>T1146</f>
        <v/>
      </c>
      <c r="S1147" s="11">
        <f>N(V1147) + N(X1147) + N(Z1147)</f>
        <v/>
      </c>
      <c r="T1147" s="11">
        <f>R1147+P1147-S1147</f>
        <v/>
      </c>
      <c r="U1147" s="11" t="inlineStr">
        <is>
          <t>是</t>
        </is>
      </c>
      <c r="V1147" s="11" t="n">
        <v>53</v>
      </c>
      <c r="W1147" s="11" t="inlineStr">
        <is>
          <t>是</t>
        </is>
      </c>
      <c r="X1147" s="11" t="n">
        <v>48</v>
      </c>
      <c r="Y1147" s="11" t="inlineStr">
        <is>
          <t>-</t>
        </is>
      </c>
      <c r="Z1147" s="11" t="n">
        <v>0</v>
      </c>
      <c r="AA1147" s="11" t="inlineStr">
        <is>
          <t>无</t>
        </is>
      </c>
      <c r="AB1147" s="12">
        <f>AE1146</f>
        <v/>
      </c>
      <c r="AC1147" s="12" t="n">
        <v>0</v>
      </c>
      <c r="AD1147" s="12" t="n">
        <v>0</v>
      </c>
      <c r="AE1147" s="12">
        <f>AB1147+AC1147+AD1147</f>
        <v/>
      </c>
      <c r="AF1147" s="13">
        <f>AI1146</f>
        <v/>
      </c>
      <c r="AG1147" s="13" t="n">
        <v>0</v>
      </c>
      <c r="AH1147" s="13" t="n">
        <v>0</v>
      </c>
      <c r="AI1147" s="13">
        <f>AF1147+AG1147+AH1147</f>
        <v/>
      </c>
      <c r="AJ1147" s="14" t="n">
        <v>30</v>
      </c>
      <c r="AK1147" s="14" t="n">
        <v>0</v>
      </c>
      <c r="AL1147" s="14" t="n">
        <v>0</v>
      </c>
      <c r="AM1147" s="14">
        <f>AJ1147+AK1147+AL1147</f>
        <v/>
      </c>
      <c r="AN1147" s="14">
        <f>AN1146+AM1147</f>
        <v/>
      </c>
    </row>
    <row r="1148">
      <c r="A1148" s="8" t="n">
        <v>45</v>
      </c>
      <c r="B1148" s="8" t="n">
        <v>2</v>
      </c>
      <c r="C1148" s="8" t="n">
        <v>1</v>
      </c>
      <c r="D1148" s="8" t="inlineStr">
        <is>
          <t>版本免费+义相逢 + 月卡收益</t>
        </is>
      </c>
      <c r="E1148" s="9">
        <f>K1147</f>
        <v/>
      </c>
      <c r="F1148" s="9" t="n">
        <v>1540</v>
      </c>
      <c r="G1148" s="9" t="n">
        <v>4800</v>
      </c>
      <c r="H1148" s="9" t="n">
        <v>0</v>
      </c>
      <c r="I1148" s="9" t="n">
        <v>0</v>
      </c>
      <c r="J1148" s="9" t="n">
        <v>0</v>
      </c>
      <c r="K1148" s="9">
        <f>E1148+F1148+G1148+H1148+I1148-J1148</f>
        <v/>
      </c>
      <c r="L1148" s="10">
        <f>Q1147</f>
        <v/>
      </c>
      <c r="M1148" s="10" t="n">
        <v>85</v>
      </c>
      <c r="N1148" s="10" t="n">
        <v>1</v>
      </c>
      <c r="O1148" s="10">
        <f>J1148/160</f>
        <v/>
      </c>
      <c r="P1148" s="10" t="n">
        <v>20</v>
      </c>
      <c r="Q1148" s="10">
        <f>L1148+M1148+N1148+O1148-P1148</f>
        <v/>
      </c>
      <c r="R1148" s="11">
        <f>T1147</f>
        <v/>
      </c>
      <c r="S1148" s="11">
        <f>N(V1148) + N(X1148) + N(Z1148)</f>
        <v/>
      </c>
      <c r="T1148" s="11">
        <f>R1148+P1148-S1148</f>
        <v/>
      </c>
      <c r="U1148" s="11" t="inlineStr">
        <is>
          <t>是</t>
        </is>
      </c>
      <c r="V1148" s="11" t="n">
        <v>20</v>
      </c>
      <c r="W1148" s="11" t="inlineStr">
        <is>
          <t>否</t>
        </is>
      </c>
      <c r="X1148" s="11" t="inlineStr">
        <is>
          <t>-</t>
        </is>
      </c>
      <c r="Y1148" s="11" t="inlineStr">
        <is>
          <t>-</t>
        </is>
      </c>
      <c r="Z1148" s="11" t="n">
        <v>0</v>
      </c>
      <c r="AA1148" s="11" t="inlineStr">
        <is>
          <t>无</t>
        </is>
      </c>
      <c r="AB1148" s="12">
        <f>AE1147</f>
        <v/>
      </c>
      <c r="AC1148" s="12" t="n">
        <v>4</v>
      </c>
      <c r="AD1148" s="12" t="n">
        <v>0</v>
      </c>
      <c r="AE1148" s="12">
        <f>AB1148+AC1148+AD1148</f>
        <v/>
      </c>
      <c r="AF1148" s="13">
        <f>AI1147</f>
        <v/>
      </c>
      <c r="AG1148" s="13" t="n">
        <v>0</v>
      </c>
      <c r="AH1148" s="13" t="n">
        <v>0</v>
      </c>
      <c r="AI1148" s="13">
        <f>AF1148+AG1148+AH1148</f>
        <v/>
      </c>
      <c r="AJ1148" s="14" t="n">
        <v>0</v>
      </c>
      <c r="AK1148" s="14" t="n">
        <v>50</v>
      </c>
      <c r="AL1148" s="14" t="n">
        <v>0</v>
      </c>
      <c r="AM1148" s="14">
        <f>AJ1148+AK1148+AL1148</f>
        <v/>
      </c>
      <c r="AN1148" s="14">
        <f>AN1147+AM1148</f>
        <v/>
      </c>
    </row>
    <row r="1149">
      <c r="A1149" s="8" t="n">
        <v>45</v>
      </c>
      <c r="B1149" s="8" t="n">
        <v>2</v>
      </c>
      <c r="C1149" s="8" t="n">
        <v>2</v>
      </c>
      <c r="D1149" s="8" t="inlineStr">
        <is>
          <t>月卡收益 [月卡续费-30元]</t>
        </is>
      </c>
      <c r="E1149" s="9">
        <f>K1148</f>
        <v/>
      </c>
      <c r="F1149" s="9" t="n">
        <v>1540</v>
      </c>
      <c r="G1149" s="9" t="n">
        <v>0</v>
      </c>
      <c r="H1149" s="9" t="n">
        <v>0</v>
      </c>
      <c r="I1149" s="9" t="n">
        <v>0</v>
      </c>
      <c r="J1149" s="9" t="n">
        <v>3680</v>
      </c>
      <c r="K1149" s="9">
        <f>E1149+F1149+G1149+H1149+I1149-J1149</f>
        <v/>
      </c>
      <c r="L1149" s="10">
        <f>Q1148</f>
        <v/>
      </c>
      <c r="M1149" s="10" t="n">
        <v>0</v>
      </c>
      <c r="N1149" s="10" t="n">
        <v>11</v>
      </c>
      <c r="O1149" s="10">
        <f>J1149/160</f>
        <v/>
      </c>
      <c r="P1149" s="10" t="n">
        <v>100</v>
      </c>
      <c r="Q1149" s="10">
        <f>L1149+M1149+N1149+O1149-P1149</f>
        <v/>
      </c>
      <c r="R1149" s="11">
        <f>T1148</f>
        <v/>
      </c>
      <c r="S1149" s="11">
        <f>N(V1149) + N(X1149) + N(Z1149)</f>
        <v/>
      </c>
      <c r="T1149" s="11">
        <f>R1149+P1149-S1149</f>
        <v/>
      </c>
      <c r="U1149" s="11" t="inlineStr">
        <is>
          <t>是</t>
        </is>
      </c>
      <c r="V1149" s="11" t="n">
        <v>48</v>
      </c>
      <c r="W1149" s="11" t="inlineStr">
        <is>
          <t>是</t>
        </is>
      </c>
      <c r="X1149" s="11" t="n">
        <v>49</v>
      </c>
      <c r="Y1149" s="11" t="inlineStr">
        <is>
          <t>-</t>
        </is>
      </c>
      <c r="Z1149" s="11" t="n">
        <v>0</v>
      </c>
      <c r="AA1149" s="11" t="inlineStr">
        <is>
          <t>无</t>
        </is>
      </c>
      <c r="AB1149" s="12">
        <f>AE1148</f>
        <v/>
      </c>
      <c r="AC1149" s="12" t="n">
        <v>0</v>
      </c>
      <c r="AD1149" s="12" t="n">
        <v>0</v>
      </c>
      <c r="AE1149" s="12">
        <f>AB1149+AC1149+AD1149</f>
        <v/>
      </c>
      <c r="AF1149" s="13">
        <f>AI1148</f>
        <v/>
      </c>
      <c r="AG1149" s="13" t="n">
        <v>0</v>
      </c>
      <c r="AH1149" s="13" t="n">
        <v>0</v>
      </c>
      <c r="AI1149" s="13">
        <f>AF1149+AG1149+AH1149</f>
        <v/>
      </c>
      <c r="AJ1149" s="14" t="n">
        <v>30</v>
      </c>
      <c r="AK1149" s="14" t="n">
        <v>0</v>
      </c>
      <c r="AL1149" s="14" t="n">
        <v>0</v>
      </c>
      <c r="AM1149" s="14">
        <f>AJ1149+AK1149+AL1149</f>
        <v/>
      </c>
      <c r="AN1149" s="14">
        <f>AN1148+AM1149</f>
        <v/>
      </c>
    </row>
    <row r="1150">
      <c r="A1150" s="8" t="n">
        <v>45</v>
      </c>
      <c r="B1150" s="8" t="n">
        <v>3</v>
      </c>
      <c r="C1150" s="8" t="n">
        <v>1</v>
      </c>
      <c r="D1150" s="8" t="inlineStr">
        <is>
          <t>版本免费+义相逢 + 月卡收益</t>
        </is>
      </c>
      <c r="E1150" s="9">
        <f>K1149</f>
        <v/>
      </c>
      <c r="F1150" s="9" t="n">
        <v>1540</v>
      </c>
      <c r="G1150" s="9" t="n">
        <v>4800</v>
      </c>
      <c r="H1150" s="9" t="n">
        <v>0</v>
      </c>
      <c r="I1150" s="9" t="n">
        <v>0</v>
      </c>
      <c r="J1150" s="9" t="n">
        <v>640</v>
      </c>
      <c r="K1150" s="9">
        <f>E1150+F1150+G1150+H1150+I1150-J1150</f>
        <v/>
      </c>
      <c r="L1150" s="10">
        <f>Q1149</f>
        <v/>
      </c>
      <c r="M1150" s="10" t="n">
        <v>85</v>
      </c>
      <c r="N1150" s="10" t="n">
        <v>11</v>
      </c>
      <c r="O1150" s="10">
        <f>J1150/160</f>
        <v/>
      </c>
      <c r="P1150" s="10" t="n">
        <v>100</v>
      </c>
      <c r="Q1150" s="10">
        <f>L1150+M1150+N1150+O1150-P1150</f>
        <v/>
      </c>
      <c r="R1150" s="11">
        <f>T1149</f>
        <v/>
      </c>
      <c r="S1150" s="11">
        <f>N(V1150) + N(X1150) + N(Z1150)</f>
        <v/>
      </c>
      <c r="T1150" s="11">
        <f>R1150+P1150-S1150</f>
        <v/>
      </c>
      <c r="U1150" s="11" t="inlineStr">
        <is>
          <t>是</t>
        </is>
      </c>
      <c r="V1150" s="11" t="n">
        <v>51</v>
      </c>
      <c r="W1150" s="11" t="inlineStr">
        <is>
          <t>是</t>
        </is>
      </c>
      <c r="X1150" s="11" t="n">
        <v>48</v>
      </c>
      <c r="Y1150" s="11" t="inlineStr">
        <is>
          <t>-</t>
        </is>
      </c>
      <c r="Z1150" s="11" t="n">
        <v>0</v>
      </c>
      <c r="AA1150" s="11" t="inlineStr">
        <is>
          <t>无</t>
        </is>
      </c>
      <c r="AB1150" s="12">
        <f>AE1149</f>
        <v/>
      </c>
      <c r="AC1150" s="12" t="n">
        <v>4</v>
      </c>
      <c r="AD1150" s="12" t="n">
        <v>0</v>
      </c>
      <c r="AE1150" s="12">
        <f>AB1150+AC1150+AD1150</f>
        <v/>
      </c>
      <c r="AF1150" s="13">
        <f>AI1149</f>
        <v/>
      </c>
      <c r="AG1150" s="13" t="n">
        <v>0</v>
      </c>
      <c r="AH1150" s="13" t="n">
        <v>0</v>
      </c>
      <c r="AI1150" s="13">
        <f>AF1150+AG1150+AH1150</f>
        <v/>
      </c>
      <c r="AJ1150" s="14" t="n">
        <v>0</v>
      </c>
      <c r="AK1150" s="14" t="n">
        <v>50</v>
      </c>
      <c r="AL1150" s="14" t="n">
        <v>0</v>
      </c>
      <c r="AM1150" s="14">
        <f>AJ1150+AK1150+AL1150</f>
        <v/>
      </c>
      <c r="AN1150" s="14">
        <f>AN1149+AM1150</f>
        <v/>
      </c>
    </row>
    <row r="1151">
      <c r="A1151" s="8" t="n">
        <v>45</v>
      </c>
      <c r="B1151" s="8" t="n">
        <v>3</v>
      </c>
      <c r="C1151" s="8" t="n">
        <v>2</v>
      </c>
      <c r="D1151" s="8" t="inlineStr">
        <is>
          <t>月卡收益 [月卡续费-30元]</t>
        </is>
      </c>
      <c r="E1151" s="9">
        <f>K1150</f>
        <v/>
      </c>
      <c r="F1151" s="9" t="n">
        <v>1540</v>
      </c>
      <c r="G1151" s="9" t="n">
        <v>0</v>
      </c>
      <c r="H1151" s="9" t="n">
        <v>0</v>
      </c>
      <c r="I1151" s="9" t="n">
        <v>0</v>
      </c>
      <c r="J1151" s="9" t="n">
        <v>13440</v>
      </c>
      <c r="K1151" s="9">
        <f>E1151+F1151+G1151+H1151+I1151-J1151</f>
        <v/>
      </c>
      <c r="L1151" s="10">
        <f>Q1150</f>
        <v/>
      </c>
      <c r="M1151" s="10" t="n">
        <v>0</v>
      </c>
      <c r="N1151" s="10" t="n">
        <v>11</v>
      </c>
      <c r="O1151" s="10">
        <f>J1151/160</f>
        <v/>
      </c>
      <c r="P1151" s="10" t="n">
        <v>90</v>
      </c>
      <c r="Q1151" s="10">
        <f>L1151+M1151+N1151+O1151-P1151</f>
        <v/>
      </c>
      <c r="R1151" s="11">
        <f>T1150</f>
        <v/>
      </c>
      <c r="S1151" s="11">
        <f>N(V1151) + N(X1151) + N(Z1151)</f>
        <v/>
      </c>
      <c r="T1151" s="11">
        <f>R1151+P1151-S1151</f>
        <v/>
      </c>
      <c r="U1151" s="11" t="inlineStr">
        <is>
          <t>是</t>
        </is>
      </c>
      <c r="V1151" s="11" t="n">
        <v>30</v>
      </c>
      <c r="W1151" s="11" t="inlineStr">
        <is>
          <t>是</t>
        </is>
      </c>
      <c r="X1151" s="11" t="n">
        <v>47</v>
      </c>
      <c r="Y1151" s="11" t="inlineStr">
        <is>
          <t>-</t>
        </is>
      </c>
      <c r="Z1151" s="11" t="n">
        <v>0</v>
      </c>
      <c r="AA1151" s="11" t="inlineStr">
        <is>
          <t>垫到90抽</t>
        </is>
      </c>
      <c r="AB1151" s="12">
        <f>AE1150</f>
        <v/>
      </c>
      <c r="AC1151" s="12" t="n">
        <v>0</v>
      </c>
      <c r="AD1151" s="12" t="n">
        <v>0</v>
      </c>
      <c r="AE1151" s="12">
        <f>AB1151+AC1151+AD1151</f>
        <v/>
      </c>
      <c r="AF1151" s="13">
        <f>AI1150</f>
        <v/>
      </c>
      <c r="AG1151" s="13" t="n">
        <v>0</v>
      </c>
      <c r="AH1151" s="13" t="n">
        <v>0</v>
      </c>
      <c r="AI1151" s="13">
        <f>AF1151+AG1151+AH1151</f>
        <v/>
      </c>
      <c r="AJ1151" s="14" t="n">
        <v>30</v>
      </c>
      <c r="AK1151" s="14" t="n">
        <v>0</v>
      </c>
      <c r="AL1151" s="14" t="n">
        <v>0</v>
      </c>
      <c r="AM1151" s="14">
        <f>AJ1151+AK1151+AL1151</f>
        <v/>
      </c>
      <c r="AN1151" s="14">
        <f>AN1150+AM1151</f>
        <v/>
      </c>
    </row>
    <row r="1152">
      <c r="A1152" s="8" t="n">
        <v>45</v>
      </c>
      <c r="B1152" s="8" t="n">
        <v>4</v>
      </c>
      <c r="C1152" s="8" t="n">
        <v>1</v>
      </c>
      <c r="D1152" s="8" t="inlineStr">
        <is>
          <t>版本免费+义相逢 + 月卡收益</t>
        </is>
      </c>
      <c r="E1152" s="9">
        <f>K1151</f>
        <v/>
      </c>
      <c r="F1152" s="9" t="n">
        <v>1540</v>
      </c>
      <c r="G1152" s="9" t="n">
        <v>4800</v>
      </c>
      <c r="H1152" s="9" t="n">
        <v>0</v>
      </c>
      <c r="I1152" s="9" t="n">
        <v>0</v>
      </c>
      <c r="J1152" s="9" t="n">
        <v>0</v>
      </c>
      <c r="K1152" s="9">
        <f>E1152+F1152+G1152+H1152+I1152-J1152</f>
        <v/>
      </c>
      <c r="L1152" s="10">
        <f>Q1151</f>
        <v/>
      </c>
      <c r="M1152" s="10" t="n">
        <v>85</v>
      </c>
      <c r="N1152" s="10" t="n">
        <v>3</v>
      </c>
      <c r="O1152" s="10">
        <f>J1152/160</f>
        <v/>
      </c>
      <c r="P1152" s="10" t="n">
        <v>40</v>
      </c>
      <c r="Q1152" s="10">
        <f>L1152+M1152+N1152+O1152-P1152</f>
        <v/>
      </c>
      <c r="R1152" s="11">
        <f>T1151</f>
        <v/>
      </c>
      <c r="S1152" s="11">
        <f>N(V1152) + N(X1152) + N(Z1152)</f>
        <v/>
      </c>
      <c r="T1152" s="11">
        <f>R1152+P1152-S1152</f>
        <v/>
      </c>
      <c r="U1152" s="11" t="inlineStr">
        <is>
          <t>是</t>
        </is>
      </c>
      <c r="V1152" s="11" t="n">
        <v>55</v>
      </c>
      <c r="W1152" s="11" t="inlineStr">
        <is>
          <t>否</t>
        </is>
      </c>
      <c r="X1152" s="11" t="inlineStr">
        <is>
          <t>-</t>
        </is>
      </c>
      <c r="Y1152" s="11" t="inlineStr">
        <is>
          <t>-</t>
        </is>
      </c>
      <c r="Z1152" s="11" t="n">
        <v>0</v>
      </c>
      <c r="AA1152" s="11" t="inlineStr">
        <is>
          <t>无</t>
        </is>
      </c>
      <c r="AB1152" s="12">
        <f>AE1151</f>
        <v/>
      </c>
      <c r="AC1152" s="12" t="n">
        <v>4</v>
      </c>
      <c r="AD1152" s="12" t="n">
        <v>0</v>
      </c>
      <c r="AE1152" s="12">
        <f>AB1152+AC1152+AD1152</f>
        <v/>
      </c>
      <c r="AF1152" s="13">
        <f>AI1151</f>
        <v/>
      </c>
      <c r="AG1152" s="13" t="n">
        <v>0</v>
      </c>
      <c r="AH1152" s="13" t="n">
        <v>0</v>
      </c>
      <c r="AI1152" s="13">
        <f>AF1152+AG1152+AH1152</f>
        <v/>
      </c>
      <c r="AJ1152" s="14" t="n">
        <v>0</v>
      </c>
      <c r="AK1152" s="14" t="n">
        <v>50</v>
      </c>
      <c r="AL1152" s="14" t="n">
        <v>0</v>
      </c>
      <c r="AM1152" s="14">
        <f>AJ1152+AK1152+AL1152</f>
        <v/>
      </c>
      <c r="AN1152" s="14">
        <f>AN1151+AM1152</f>
        <v/>
      </c>
    </row>
    <row r="1153">
      <c r="A1153" s="8" t="n">
        <v>45</v>
      </c>
      <c r="B1153" s="8" t="n">
        <v>4</v>
      </c>
      <c r="C1153" s="8" t="n">
        <v>2</v>
      </c>
      <c r="D1153" s="8" t="inlineStr">
        <is>
          <t>月卡收益 [月卡续费-30元]</t>
        </is>
      </c>
      <c r="E1153" s="9">
        <f>K1152</f>
        <v/>
      </c>
      <c r="F1153" s="9" t="n">
        <v>1540</v>
      </c>
      <c r="G1153" s="9" t="n">
        <v>0</v>
      </c>
      <c r="H1153" s="9" t="n">
        <v>0</v>
      </c>
      <c r="I1153" s="9" t="n">
        <v>0</v>
      </c>
      <c r="J1153" s="9" t="n">
        <v>5760</v>
      </c>
      <c r="K1153" s="9">
        <f>E1153+F1153+G1153+H1153+I1153-J1153</f>
        <v/>
      </c>
      <c r="L1153" s="10">
        <f>Q1152</f>
        <v/>
      </c>
      <c r="M1153" s="10" t="n">
        <v>0</v>
      </c>
      <c r="N1153" s="10" t="n">
        <v>11</v>
      </c>
      <c r="O1153" s="10">
        <f>J1153/160</f>
        <v/>
      </c>
      <c r="P1153" s="10" t="n">
        <v>100</v>
      </c>
      <c r="Q1153" s="10">
        <f>L1153+M1153+N1153+O1153-P1153</f>
        <v/>
      </c>
      <c r="R1153" s="11">
        <f>T1152</f>
        <v/>
      </c>
      <c r="S1153" s="11">
        <f>N(V1153) + N(X1153) + N(Z1153)</f>
        <v/>
      </c>
      <c r="T1153" s="11">
        <f>R1153+P1153-S1153</f>
        <v/>
      </c>
      <c r="U1153" s="11" t="inlineStr">
        <is>
          <t>是</t>
        </is>
      </c>
      <c r="V1153" s="11" t="n">
        <v>49</v>
      </c>
      <c r="W1153" s="11" t="inlineStr">
        <is>
          <t>是</t>
        </is>
      </c>
      <c r="X1153" s="11" t="n">
        <v>47</v>
      </c>
      <c r="Y1153" s="11" t="inlineStr">
        <is>
          <t>-</t>
        </is>
      </c>
      <c r="Z1153" s="11" t="n">
        <v>0</v>
      </c>
      <c r="AA1153" s="11" t="inlineStr">
        <is>
          <t>无</t>
        </is>
      </c>
      <c r="AB1153" s="12">
        <f>AE1152</f>
        <v/>
      </c>
      <c r="AC1153" s="12" t="n">
        <v>0</v>
      </c>
      <c r="AD1153" s="12" t="n">
        <v>0</v>
      </c>
      <c r="AE1153" s="12">
        <f>AB1153+AC1153+AD1153</f>
        <v/>
      </c>
      <c r="AF1153" s="13">
        <f>AI1152</f>
        <v/>
      </c>
      <c r="AG1153" s="13" t="n">
        <v>0</v>
      </c>
      <c r="AH1153" s="13" t="n">
        <v>0</v>
      </c>
      <c r="AI1153" s="13">
        <f>AF1153+AG1153+AH1153</f>
        <v/>
      </c>
      <c r="AJ1153" s="14" t="n">
        <v>30</v>
      </c>
      <c r="AK1153" s="14" t="n">
        <v>0</v>
      </c>
      <c r="AL1153" s="14" t="n">
        <v>0</v>
      </c>
      <c r="AM1153" s="14">
        <f>AJ1153+AK1153+AL1153</f>
        <v/>
      </c>
      <c r="AN1153" s="14">
        <f>AN1152+AM1153</f>
        <v/>
      </c>
    </row>
    <row r="1154">
      <c r="A1154" s="8" t="n">
        <v>45</v>
      </c>
      <c r="B1154" s="8" t="n">
        <v>5</v>
      </c>
      <c r="C1154" s="8" t="n">
        <v>1</v>
      </c>
      <c r="D1154" s="8" t="inlineStr">
        <is>
          <t>版本免费+义相逢 + 月卡收益</t>
        </is>
      </c>
      <c r="E1154" s="9">
        <f>K1153</f>
        <v/>
      </c>
      <c r="F1154" s="9" t="n">
        <v>1540</v>
      </c>
      <c r="G1154" s="9" t="n">
        <v>4800</v>
      </c>
      <c r="H1154" s="9" t="n">
        <v>0</v>
      </c>
      <c r="I1154" s="9" t="n">
        <v>0</v>
      </c>
      <c r="J1154" s="9" t="n">
        <v>0</v>
      </c>
      <c r="K1154" s="9">
        <f>E1154+F1154+G1154+H1154+I1154-J1154</f>
        <v/>
      </c>
      <c r="L1154" s="10">
        <f>Q1153</f>
        <v/>
      </c>
      <c r="M1154" s="10" t="n">
        <v>85</v>
      </c>
      <c r="N1154" s="10" t="n">
        <v>6</v>
      </c>
      <c r="O1154" s="10">
        <f>J1154/160</f>
        <v/>
      </c>
      <c r="P1154" s="10" t="n">
        <v>60</v>
      </c>
      <c r="Q1154" s="10">
        <f>L1154+M1154+N1154+O1154-P1154</f>
        <v/>
      </c>
      <c r="R1154" s="11">
        <f>T1153</f>
        <v/>
      </c>
      <c r="S1154" s="11">
        <f>N(V1154) + N(X1154) + N(Z1154)</f>
        <v/>
      </c>
      <c r="T1154" s="11">
        <f>R1154+P1154-S1154</f>
        <v/>
      </c>
      <c r="U1154" s="11" t="inlineStr">
        <is>
          <t>是</t>
        </is>
      </c>
      <c r="V1154" s="11" t="n">
        <v>51</v>
      </c>
      <c r="W1154" s="11" t="inlineStr">
        <is>
          <t>否</t>
        </is>
      </c>
      <c r="X1154" s="11" t="inlineStr">
        <is>
          <t>-</t>
        </is>
      </c>
      <c r="Y1154" s="11" t="inlineStr">
        <is>
          <t>-</t>
        </is>
      </c>
      <c r="Z1154" s="11" t="n">
        <v>0</v>
      </c>
      <c r="AA1154" s="11" t="inlineStr">
        <is>
          <t>垫到60抽</t>
        </is>
      </c>
      <c r="AB1154" s="12">
        <f>AE1153</f>
        <v/>
      </c>
      <c r="AC1154" s="12" t="n">
        <v>4</v>
      </c>
      <c r="AD1154" s="12" t="n">
        <v>0</v>
      </c>
      <c r="AE1154" s="12">
        <f>AB1154+AC1154+AD1154</f>
        <v/>
      </c>
      <c r="AF1154" s="13">
        <f>AI1153</f>
        <v/>
      </c>
      <c r="AG1154" s="13" t="n">
        <v>0</v>
      </c>
      <c r="AH1154" s="13" t="n">
        <v>0</v>
      </c>
      <c r="AI1154" s="13">
        <f>AF1154+AG1154+AH1154</f>
        <v/>
      </c>
      <c r="AJ1154" s="14" t="n">
        <v>0</v>
      </c>
      <c r="AK1154" s="14" t="n">
        <v>50</v>
      </c>
      <c r="AL1154" s="14" t="n">
        <v>0</v>
      </c>
      <c r="AM1154" s="14">
        <f>AJ1154+AK1154+AL1154</f>
        <v/>
      </c>
      <c r="AN1154" s="14">
        <f>AN1153+AM1154</f>
        <v/>
      </c>
    </row>
    <row r="1155">
      <c r="A1155" s="8" t="n">
        <v>45</v>
      </c>
      <c r="B1155" s="8" t="n">
        <v>5</v>
      </c>
      <c r="C1155" s="8" t="n">
        <v>2</v>
      </c>
      <c r="D1155" s="8" t="inlineStr">
        <is>
          <t>月卡收益 [月卡续费-30元]</t>
        </is>
      </c>
      <c r="E1155" s="9">
        <f>K1154</f>
        <v/>
      </c>
      <c r="F1155" s="9" t="n">
        <v>1540</v>
      </c>
      <c r="G1155" s="9" t="n">
        <v>0</v>
      </c>
      <c r="H1155" s="9" t="n">
        <v>0</v>
      </c>
      <c r="I1155" s="9" t="n">
        <v>0</v>
      </c>
      <c r="J1155" s="9" t="n">
        <v>960</v>
      </c>
      <c r="K1155" s="9">
        <f>E1155+F1155+G1155+H1155+I1155-J1155</f>
        <v/>
      </c>
      <c r="L1155" s="10">
        <f>Q1154</f>
        <v/>
      </c>
      <c r="M1155" s="10" t="n">
        <v>0</v>
      </c>
      <c r="N1155" s="10" t="n">
        <v>3</v>
      </c>
      <c r="O1155" s="10">
        <f>J1155/160</f>
        <v/>
      </c>
      <c r="P1155" s="10" t="n">
        <v>40</v>
      </c>
      <c r="Q1155" s="10">
        <f>L1155+M1155+N1155+O1155-P1155</f>
        <v/>
      </c>
      <c r="R1155" s="11">
        <f>T1154</f>
        <v/>
      </c>
      <c r="S1155" s="11">
        <f>N(V1155) + N(X1155) + N(Z1155)</f>
        <v/>
      </c>
      <c r="T1155" s="11">
        <f>R1155+P1155-S1155</f>
        <v/>
      </c>
      <c r="U1155" s="11" t="inlineStr">
        <is>
          <t>是</t>
        </is>
      </c>
      <c r="V1155" s="11" t="n">
        <v>48</v>
      </c>
      <c r="W1155" s="11" t="inlineStr">
        <is>
          <t>否</t>
        </is>
      </c>
      <c r="X1155" s="11" t="inlineStr">
        <is>
          <t>-</t>
        </is>
      </c>
      <c r="Y1155" s="11" t="inlineStr">
        <is>
          <t>-</t>
        </is>
      </c>
      <c r="Z1155" s="11" t="n">
        <v>0</v>
      </c>
      <c r="AA1155" s="11" t="inlineStr">
        <is>
          <t>无</t>
        </is>
      </c>
      <c r="AB1155" s="12">
        <f>AE1154</f>
        <v/>
      </c>
      <c r="AC1155" s="12" t="n">
        <v>0</v>
      </c>
      <c r="AD1155" s="12" t="n">
        <v>0</v>
      </c>
      <c r="AE1155" s="12">
        <f>AB1155+AC1155+AD1155</f>
        <v/>
      </c>
      <c r="AF1155" s="13">
        <f>AI1154</f>
        <v/>
      </c>
      <c r="AG1155" s="13" t="n">
        <v>0</v>
      </c>
      <c r="AH1155" s="13" t="n">
        <v>0</v>
      </c>
      <c r="AI1155" s="13">
        <f>AF1155+AG1155+AH1155</f>
        <v/>
      </c>
      <c r="AJ1155" s="14" t="n">
        <v>30</v>
      </c>
      <c r="AK1155" s="14" t="n">
        <v>0</v>
      </c>
      <c r="AL1155" s="14" t="n">
        <v>0</v>
      </c>
      <c r="AM1155" s="14">
        <f>AJ1155+AK1155+AL1155</f>
        <v/>
      </c>
      <c r="AN1155" s="14">
        <f>AN1154+AM1155</f>
        <v/>
      </c>
    </row>
    <row r="1156">
      <c r="A1156" s="8" t="n">
        <v>45</v>
      </c>
      <c r="B1156" s="8" t="n">
        <v>6</v>
      </c>
      <c r="C1156" s="8" t="n">
        <v>1</v>
      </c>
      <c r="D1156" s="8" t="inlineStr">
        <is>
          <t>版本免费+义相逢 + 月卡收益</t>
        </is>
      </c>
      <c r="E1156" s="9">
        <f>K1155</f>
        <v/>
      </c>
      <c r="F1156" s="9" t="n">
        <v>1540</v>
      </c>
      <c r="G1156" s="9" t="n">
        <v>4800</v>
      </c>
      <c r="H1156" s="9" t="n">
        <v>0</v>
      </c>
      <c r="I1156" s="9" t="n">
        <v>0</v>
      </c>
      <c r="J1156" s="9" t="n">
        <v>0</v>
      </c>
      <c r="K1156" s="9">
        <f>E1156+F1156+G1156+H1156+I1156-J1156</f>
        <v/>
      </c>
      <c r="L1156" s="10">
        <f>Q1155</f>
        <v/>
      </c>
      <c r="M1156" s="10" t="n">
        <v>85</v>
      </c>
      <c r="N1156" s="10" t="n">
        <v>6</v>
      </c>
      <c r="O1156" s="10">
        <f>J1156/160</f>
        <v/>
      </c>
      <c r="P1156" s="10" t="n">
        <v>60</v>
      </c>
      <c r="Q1156" s="10">
        <f>L1156+M1156+N1156+O1156-P1156</f>
        <v/>
      </c>
      <c r="R1156" s="11">
        <f>T1155</f>
        <v/>
      </c>
      <c r="S1156" s="11">
        <f>N(V1156) + N(X1156) + N(Z1156)</f>
        <v/>
      </c>
      <c r="T1156" s="11">
        <f>R1156+P1156-S1156</f>
        <v/>
      </c>
      <c r="U1156" s="11" t="inlineStr">
        <is>
          <t>是</t>
        </is>
      </c>
      <c r="V1156" s="11" t="n">
        <v>50</v>
      </c>
      <c r="W1156" s="11" t="inlineStr">
        <is>
          <t>否</t>
        </is>
      </c>
      <c r="X1156" s="11" t="inlineStr">
        <is>
          <t>-</t>
        </is>
      </c>
      <c r="Y1156" s="11" t="inlineStr">
        <is>
          <t>-</t>
        </is>
      </c>
      <c r="Z1156" s="11" t="n">
        <v>0</v>
      </c>
      <c r="AA1156" s="11" t="inlineStr">
        <is>
          <t>垫到60抽</t>
        </is>
      </c>
      <c r="AB1156" s="12">
        <f>AE1155</f>
        <v/>
      </c>
      <c r="AC1156" s="12" t="n">
        <v>4</v>
      </c>
      <c r="AD1156" s="12" t="n">
        <v>0</v>
      </c>
      <c r="AE1156" s="12">
        <f>AB1156+AC1156+AD1156</f>
        <v/>
      </c>
      <c r="AF1156" s="13">
        <f>AI1155</f>
        <v/>
      </c>
      <c r="AG1156" s="13" t="n">
        <v>0</v>
      </c>
      <c r="AH1156" s="13" t="n">
        <v>0</v>
      </c>
      <c r="AI1156" s="13">
        <f>AF1156+AG1156+AH1156</f>
        <v/>
      </c>
      <c r="AJ1156" s="14" t="n">
        <v>0</v>
      </c>
      <c r="AK1156" s="14" t="n">
        <v>50</v>
      </c>
      <c r="AL1156" s="14" t="n">
        <v>0</v>
      </c>
      <c r="AM1156" s="14">
        <f>AJ1156+AK1156+AL1156</f>
        <v/>
      </c>
      <c r="AN1156" s="14">
        <f>AN1155+AM1156</f>
        <v/>
      </c>
    </row>
    <row r="1157">
      <c r="A1157" s="8" t="n">
        <v>45</v>
      </c>
      <c r="B1157" s="8" t="n">
        <v>6</v>
      </c>
      <c r="C1157" s="8" t="n">
        <v>2</v>
      </c>
      <c r="D1157" s="8" t="inlineStr">
        <is>
          <t>月卡收益</t>
        </is>
      </c>
      <c r="E1157" s="9">
        <f>K1156</f>
        <v/>
      </c>
      <c r="F1157" s="9" t="n">
        <v>1540</v>
      </c>
      <c r="G1157" s="9" t="n">
        <v>0</v>
      </c>
      <c r="H1157" s="9" t="n">
        <v>0</v>
      </c>
      <c r="I1157" s="9" t="n">
        <v>0</v>
      </c>
      <c r="J1157" s="9" t="n">
        <v>8480</v>
      </c>
      <c r="K1157" s="9">
        <f>E1157+F1157+G1157+H1157+I1157-J1157</f>
        <v/>
      </c>
      <c r="L1157" s="10">
        <f>Q1156</f>
        <v/>
      </c>
      <c r="M1157" s="10" t="n">
        <v>0</v>
      </c>
      <c r="N1157" s="10" t="n">
        <v>11</v>
      </c>
      <c r="O1157" s="10">
        <f>J1157/160</f>
        <v/>
      </c>
      <c r="P1157" s="10" t="n">
        <v>90</v>
      </c>
      <c r="Q1157" s="10">
        <f>L1157+M1157+N1157+O1157-P1157</f>
        <v/>
      </c>
      <c r="R1157" s="11">
        <f>T1156</f>
        <v/>
      </c>
      <c r="S1157" s="11">
        <f>N(V1157) + N(X1157) + N(Z1157)</f>
        <v/>
      </c>
      <c r="T1157" s="11">
        <f>R1157+P1157-S1157</f>
        <v/>
      </c>
      <c r="U1157" s="11" t="inlineStr">
        <is>
          <t>是</t>
        </is>
      </c>
      <c r="V1157" s="11" t="n">
        <v>47</v>
      </c>
      <c r="W1157" s="11" t="inlineStr">
        <is>
          <t>是</t>
        </is>
      </c>
      <c r="X1157" s="11" t="n">
        <v>50</v>
      </c>
      <c r="Y1157" s="11" t="inlineStr">
        <is>
          <t>-</t>
        </is>
      </c>
      <c r="Z1157" s="11" t="n">
        <v>0</v>
      </c>
      <c r="AA1157" s="11" t="inlineStr">
        <is>
          <t>垫到90抽</t>
        </is>
      </c>
      <c r="AB1157" s="12">
        <f>AE1156</f>
        <v/>
      </c>
      <c r="AC1157" s="12" t="n">
        <v>0</v>
      </c>
      <c r="AD1157" s="12" t="n">
        <v>0</v>
      </c>
      <c r="AE1157" s="12">
        <f>AB1157+AC1157+AD1157</f>
        <v/>
      </c>
      <c r="AF1157" s="13">
        <f>AI1156</f>
        <v/>
      </c>
      <c r="AG1157" s="13" t="n">
        <v>0</v>
      </c>
      <c r="AH1157" s="13" t="n">
        <v>0</v>
      </c>
      <c r="AI1157" s="13">
        <f>AF1157+AG1157+AH1157</f>
        <v/>
      </c>
      <c r="AJ1157" s="14" t="n">
        <v>0</v>
      </c>
      <c r="AK1157" s="14" t="n">
        <v>0</v>
      </c>
      <c r="AL1157" s="14" t="n">
        <v>0</v>
      </c>
      <c r="AM1157" s="14">
        <f>AJ1157+AK1157+AL1157</f>
        <v/>
      </c>
      <c r="AN1157" s="14">
        <f>AN1156+AM1157</f>
        <v/>
      </c>
    </row>
    <row r="1158">
      <c r="A1158" s="8" t="n">
        <v>45</v>
      </c>
      <c r="B1158" s="8" t="n">
        <v>7</v>
      </c>
      <c r="C1158" s="8" t="n">
        <v>1</v>
      </c>
      <c r="D1158" s="8" t="inlineStr">
        <is>
          <t>版本免费+义相逢 + 月卡收益 [月卡续费-30元]</t>
        </is>
      </c>
      <c r="E1158" s="9">
        <f>K1157</f>
        <v/>
      </c>
      <c r="F1158" s="9" t="n">
        <v>1540</v>
      </c>
      <c r="G1158" s="9" t="n">
        <v>4800</v>
      </c>
      <c r="H1158" s="9" t="n">
        <v>0</v>
      </c>
      <c r="I1158" s="9" t="n">
        <v>0</v>
      </c>
      <c r="J1158" s="9" t="n">
        <v>0</v>
      </c>
      <c r="K1158" s="9">
        <f>E1158+F1158+G1158+H1158+I1158-J1158</f>
        <v/>
      </c>
      <c r="L1158" s="10">
        <f>Q1157</f>
        <v/>
      </c>
      <c r="M1158" s="10" t="n">
        <v>85</v>
      </c>
      <c r="N1158" s="10" t="n">
        <v>11</v>
      </c>
      <c r="O1158" s="10">
        <f>J1158/160</f>
        <v/>
      </c>
      <c r="P1158" s="10" t="n">
        <v>90</v>
      </c>
      <c r="Q1158" s="10">
        <f>L1158+M1158+N1158+O1158-P1158</f>
        <v/>
      </c>
      <c r="R1158" s="11">
        <f>T1157</f>
        <v/>
      </c>
      <c r="S1158" s="11">
        <f>N(V1158) + N(X1158) + N(Z1158)</f>
        <v/>
      </c>
      <c r="T1158" s="11">
        <f>R1158+P1158-S1158</f>
        <v/>
      </c>
      <c r="U1158" s="11" t="inlineStr">
        <is>
          <t>是</t>
        </is>
      </c>
      <c r="V1158" s="11" t="n">
        <v>48</v>
      </c>
      <c r="W1158" s="11" t="inlineStr">
        <is>
          <t>是</t>
        </is>
      </c>
      <c r="X1158" s="11" t="n">
        <v>52</v>
      </c>
      <c r="Y1158" s="11" t="inlineStr">
        <is>
          <t>-</t>
        </is>
      </c>
      <c r="Z1158" s="11" t="n">
        <v>0</v>
      </c>
      <c r="AA1158" s="11" t="inlineStr">
        <is>
          <t>无</t>
        </is>
      </c>
      <c r="AB1158" s="12">
        <f>AE1157</f>
        <v/>
      </c>
      <c r="AC1158" s="12" t="n">
        <v>4</v>
      </c>
      <c r="AD1158" s="12" t="n">
        <v>0</v>
      </c>
      <c r="AE1158" s="12">
        <f>AB1158+AC1158+AD1158</f>
        <v/>
      </c>
      <c r="AF1158" s="13">
        <f>AI1157</f>
        <v/>
      </c>
      <c r="AG1158" s="13" t="n">
        <v>0</v>
      </c>
      <c r="AH1158" s="13" t="n">
        <v>0</v>
      </c>
      <c r="AI1158" s="13">
        <f>AF1158+AG1158+AH1158</f>
        <v/>
      </c>
      <c r="AJ1158" s="14" t="n">
        <v>30</v>
      </c>
      <c r="AK1158" s="14" t="n">
        <v>50</v>
      </c>
      <c r="AL1158" s="14" t="n">
        <v>0</v>
      </c>
      <c r="AM1158" s="14">
        <f>AJ1158+AK1158+AL1158</f>
        <v/>
      </c>
      <c r="AN1158" s="14">
        <f>AN1157+AM1158</f>
        <v/>
      </c>
    </row>
    <row r="1159">
      <c r="A1159" s="8" t="n">
        <v>45</v>
      </c>
      <c r="B1159" s="8" t="n">
        <v>7</v>
      </c>
      <c r="C1159" s="8" t="n">
        <v>2</v>
      </c>
      <c r="D1159" s="8" t="inlineStr">
        <is>
          <t>月卡收益</t>
        </is>
      </c>
      <c r="E1159" s="9">
        <f>K1158</f>
        <v/>
      </c>
      <c r="F1159" s="9" t="n">
        <v>1540</v>
      </c>
      <c r="G1159" s="9" t="n">
        <v>0</v>
      </c>
      <c r="H1159" s="9" t="n">
        <v>0</v>
      </c>
      <c r="I1159" s="9" t="n">
        <v>0</v>
      </c>
      <c r="J1159" s="9" t="n">
        <v>12480</v>
      </c>
      <c r="K1159" s="9">
        <f>E1159+F1159+G1159+H1159+I1159-J1159</f>
        <v/>
      </c>
      <c r="L1159" s="10">
        <f>Q1158</f>
        <v/>
      </c>
      <c r="M1159" s="10" t="n">
        <v>0</v>
      </c>
      <c r="N1159" s="10" t="n">
        <v>11</v>
      </c>
      <c r="O1159" s="10">
        <f>J1159/160</f>
        <v/>
      </c>
      <c r="P1159" s="10" t="n">
        <v>100</v>
      </c>
      <c r="Q1159" s="10">
        <f>L1159+M1159+N1159+O1159-P1159</f>
        <v/>
      </c>
      <c r="R1159" s="11">
        <f>T1158</f>
        <v/>
      </c>
      <c r="S1159" s="11">
        <f>N(V1159) + N(X1159) + N(Z1159)</f>
        <v/>
      </c>
      <c r="T1159" s="11">
        <f>R1159+P1159-S1159</f>
        <v/>
      </c>
      <c r="U1159" s="11" t="inlineStr">
        <is>
          <t>是</t>
        </is>
      </c>
      <c r="V1159" s="11" t="n">
        <v>48</v>
      </c>
      <c r="W1159" s="11" t="inlineStr">
        <is>
          <t>是</t>
        </is>
      </c>
      <c r="X1159" s="11" t="n">
        <v>47</v>
      </c>
      <c r="Y1159" s="11" t="inlineStr">
        <is>
          <t>-</t>
        </is>
      </c>
      <c r="Z1159" s="11" t="n">
        <v>0</v>
      </c>
      <c r="AA1159" s="11" t="inlineStr">
        <is>
          <t>无</t>
        </is>
      </c>
      <c r="AB1159" s="12">
        <f>AE1158</f>
        <v/>
      </c>
      <c r="AC1159" s="12" t="n">
        <v>0</v>
      </c>
      <c r="AD1159" s="12" t="n">
        <v>0</v>
      </c>
      <c r="AE1159" s="12">
        <f>AB1159+AC1159+AD1159</f>
        <v/>
      </c>
      <c r="AF1159" s="13">
        <f>AI1158</f>
        <v/>
      </c>
      <c r="AG1159" s="13" t="n">
        <v>0</v>
      </c>
      <c r="AH1159" s="13" t="n">
        <v>0</v>
      </c>
      <c r="AI1159" s="13">
        <f>AF1159+AG1159+AH1159</f>
        <v/>
      </c>
      <c r="AJ1159" s="14" t="n">
        <v>0</v>
      </c>
      <c r="AK1159" s="14" t="n">
        <v>0</v>
      </c>
      <c r="AL1159" s="14" t="n">
        <v>0</v>
      </c>
      <c r="AM1159" s="14">
        <f>AJ1159+AK1159+AL1159</f>
        <v/>
      </c>
      <c r="AN1159" s="14">
        <f>AN1158+AM1159</f>
        <v/>
      </c>
    </row>
    <row r="1160">
      <c r="A1160" s="8" t="n">
        <v>45</v>
      </c>
      <c r="B1160" s="8" t="n">
        <v>8</v>
      </c>
      <c r="C1160" s="8" t="n">
        <v>1</v>
      </c>
      <c r="D1160" s="8" t="inlineStr">
        <is>
          <t>版本免费+义相逢 + 月卡收益 [月卡续费-30元]</t>
        </is>
      </c>
      <c r="E1160" s="9">
        <f>K1159</f>
        <v/>
      </c>
      <c r="F1160" s="9" t="n">
        <v>1540</v>
      </c>
      <c r="G1160" s="9" t="n">
        <v>4800</v>
      </c>
      <c r="H1160" s="9" t="n">
        <v>0</v>
      </c>
      <c r="I1160" s="9" t="n">
        <v>0</v>
      </c>
      <c r="J1160" s="9" t="n">
        <v>0</v>
      </c>
      <c r="K1160" s="9">
        <f>E1160+F1160+G1160+H1160+I1160-J1160</f>
        <v/>
      </c>
      <c r="L1160" s="10">
        <f>Q1159</f>
        <v/>
      </c>
      <c r="M1160" s="10" t="n">
        <v>85</v>
      </c>
      <c r="N1160" s="10" t="n">
        <v>6</v>
      </c>
      <c r="O1160" s="10">
        <f>J1160/160</f>
        <v/>
      </c>
      <c r="P1160" s="10" t="n">
        <v>60</v>
      </c>
      <c r="Q1160" s="10">
        <f>L1160+M1160+N1160+O1160-P1160</f>
        <v/>
      </c>
      <c r="R1160" s="11">
        <f>T1159</f>
        <v/>
      </c>
      <c r="S1160" s="11">
        <f>N(V1160) + N(X1160) + N(Z1160)</f>
        <v/>
      </c>
      <c r="T1160" s="11">
        <f>R1160+P1160-S1160</f>
        <v/>
      </c>
      <c r="U1160" s="11" t="inlineStr">
        <is>
          <t>是</t>
        </is>
      </c>
      <c r="V1160" s="11" t="n">
        <v>51</v>
      </c>
      <c r="W1160" s="11" t="inlineStr">
        <is>
          <t>否</t>
        </is>
      </c>
      <c r="X1160" s="11" t="inlineStr">
        <is>
          <t>-</t>
        </is>
      </c>
      <c r="Y1160" s="11" t="inlineStr">
        <is>
          <t>-</t>
        </is>
      </c>
      <c r="Z1160" s="11" t="n">
        <v>0</v>
      </c>
      <c r="AA1160" s="11" t="inlineStr">
        <is>
          <t>垫到60抽</t>
        </is>
      </c>
      <c r="AB1160" s="12">
        <f>AE1159</f>
        <v/>
      </c>
      <c r="AC1160" s="12" t="n">
        <v>4</v>
      </c>
      <c r="AD1160" s="12" t="n">
        <v>0</v>
      </c>
      <c r="AE1160" s="12">
        <f>AB1160+AC1160+AD1160</f>
        <v/>
      </c>
      <c r="AF1160" s="13">
        <f>AI1159</f>
        <v/>
      </c>
      <c r="AG1160" s="13" t="n">
        <v>0</v>
      </c>
      <c r="AH1160" s="13" t="n">
        <v>0</v>
      </c>
      <c r="AI1160" s="13">
        <f>AF1160+AG1160+AH1160</f>
        <v/>
      </c>
      <c r="AJ1160" s="14" t="n">
        <v>30</v>
      </c>
      <c r="AK1160" s="14" t="n">
        <v>50</v>
      </c>
      <c r="AL1160" s="14" t="n">
        <v>0</v>
      </c>
      <c r="AM1160" s="14">
        <f>AJ1160+AK1160+AL1160</f>
        <v/>
      </c>
      <c r="AN1160" s="14">
        <f>AN1159+AM1160</f>
        <v/>
      </c>
    </row>
    <row r="1161">
      <c r="A1161" s="8" t="n">
        <v>45</v>
      </c>
      <c r="B1161" s="8" t="n">
        <v>8</v>
      </c>
      <c r="C1161" s="8" t="n">
        <v>2</v>
      </c>
      <c r="D1161" s="8" t="inlineStr">
        <is>
          <t>月卡收益</t>
        </is>
      </c>
      <c r="E1161" s="9">
        <f>K1160</f>
        <v/>
      </c>
      <c r="F1161" s="9" t="n">
        <v>1540</v>
      </c>
      <c r="G1161" s="9" t="n">
        <v>0</v>
      </c>
      <c r="H1161" s="9" t="n">
        <v>0</v>
      </c>
      <c r="I1161" s="9" t="n">
        <v>0</v>
      </c>
      <c r="J1161" s="9" t="n">
        <v>8480</v>
      </c>
      <c r="K1161" s="9">
        <f>E1161+F1161+G1161+H1161+I1161-J1161</f>
        <v/>
      </c>
      <c r="L1161" s="10">
        <f>Q1160</f>
        <v/>
      </c>
      <c r="M1161" s="10" t="n">
        <v>0</v>
      </c>
      <c r="N1161" s="10" t="n">
        <v>11</v>
      </c>
      <c r="O1161" s="10">
        <f>J1161/160</f>
        <v/>
      </c>
      <c r="P1161" s="10" t="n">
        <v>90</v>
      </c>
      <c r="Q1161" s="10">
        <f>L1161+M1161+N1161+O1161-P1161</f>
        <v/>
      </c>
      <c r="R1161" s="11">
        <f>T1160</f>
        <v/>
      </c>
      <c r="S1161" s="11">
        <f>N(V1161) + N(X1161) + N(Z1161)</f>
        <v/>
      </c>
      <c r="T1161" s="11">
        <f>R1161+P1161-S1161</f>
        <v/>
      </c>
      <c r="U1161" s="11" t="inlineStr">
        <is>
          <t>是</t>
        </is>
      </c>
      <c r="V1161" s="11" t="n">
        <v>46</v>
      </c>
      <c r="W1161" s="11" t="inlineStr">
        <is>
          <t>是</t>
        </is>
      </c>
      <c r="X1161" s="11" t="n">
        <v>49</v>
      </c>
      <c r="Y1161" s="11" t="inlineStr">
        <is>
          <t>-</t>
        </is>
      </c>
      <c r="Z1161" s="11" t="n">
        <v>0</v>
      </c>
      <c r="AA1161" s="11" t="inlineStr">
        <is>
          <t>无</t>
        </is>
      </c>
      <c r="AB1161" s="12">
        <f>AE1160</f>
        <v/>
      </c>
      <c r="AC1161" s="12" t="n">
        <v>0</v>
      </c>
      <c r="AD1161" s="12" t="n">
        <v>0</v>
      </c>
      <c r="AE1161" s="12">
        <f>AB1161+AC1161+AD1161</f>
        <v/>
      </c>
      <c r="AF1161" s="13">
        <f>AI1160</f>
        <v/>
      </c>
      <c r="AG1161" s="13" t="n">
        <v>0</v>
      </c>
      <c r="AH1161" s="13" t="n">
        <v>0</v>
      </c>
      <c r="AI1161" s="13">
        <f>AF1161+AG1161+AH1161</f>
        <v/>
      </c>
      <c r="AJ1161" s="14" t="n">
        <v>0</v>
      </c>
      <c r="AK1161" s="14" t="n">
        <v>0</v>
      </c>
      <c r="AL1161" s="14" t="n">
        <v>0</v>
      </c>
      <c r="AM1161" s="14">
        <f>AJ1161+AK1161+AL1161</f>
        <v/>
      </c>
      <c r="AN1161" s="14">
        <f>AN1160+AM1161</f>
        <v/>
      </c>
    </row>
    <row r="1162">
      <c r="A1162" s="8" t="n">
        <v>45</v>
      </c>
      <c r="B1162" s="8" t="n">
        <v>9</v>
      </c>
      <c r="C1162" s="8" t="n">
        <v>1</v>
      </c>
      <c r="D1162" s="8" t="inlineStr">
        <is>
          <t>版本免费+义相逢 + 月卡收益 [月卡续费-30元]</t>
        </is>
      </c>
      <c r="E1162" s="9">
        <f>K1161</f>
        <v/>
      </c>
      <c r="F1162" s="9" t="n">
        <v>1540</v>
      </c>
      <c r="G1162" s="9" t="n">
        <v>4800</v>
      </c>
      <c r="H1162" s="9" t="n">
        <v>0</v>
      </c>
      <c r="I1162" s="9" t="n">
        <v>0</v>
      </c>
      <c r="J1162" s="9" t="n">
        <v>0</v>
      </c>
      <c r="K1162" s="9">
        <f>E1162+F1162+G1162+H1162+I1162-J1162</f>
        <v/>
      </c>
      <c r="L1162" s="10">
        <f>Q1161</f>
        <v/>
      </c>
      <c r="M1162" s="10" t="n">
        <v>85</v>
      </c>
      <c r="N1162" s="10" t="n">
        <v>6</v>
      </c>
      <c r="O1162" s="10">
        <f>J1162/160</f>
        <v/>
      </c>
      <c r="P1162" s="10" t="n">
        <v>60</v>
      </c>
      <c r="Q1162" s="10">
        <f>L1162+M1162+N1162+O1162-P1162</f>
        <v/>
      </c>
      <c r="R1162" s="11">
        <f>T1161</f>
        <v/>
      </c>
      <c r="S1162" s="11">
        <f>N(V1162) + N(X1162) + N(Z1162)</f>
        <v/>
      </c>
      <c r="T1162" s="11">
        <f>R1162+P1162-S1162</f>
        <v/>
      </c>
      <c r="U1162" s="11" t="inlineStr">
        <is>
          <t>是</t>
        </is>
      </c>
      <c r="V1162" s="11" t="n">
        <v>52</v>
      </c>
      <c r="W1162" s="11" t="inlineStr">
        <is>
          <t>否</t>
        </is>
      </c>
      <c r="X1162" s="11" t="inlineStr">
        <is>
          <t>-</t>
        </is>
      </c>
      <c r="Y1162" s="11" t="inlineStr">
        <is>
          <t>-</t>
        </is>
      </c>
      <c r="Z1162" s="11" t="n">
        <v>0</v>
      </c>
      <c r="AA1162" s="11" t="inlineStr">
        <is>
          <t>垫到60抽</t>
        </is>
      </c>
      <c r="AB1162" s="12">
        <f>AE1161</f>
        <v/>
      </c>
      <c r="AC1162" s="12" t="n">
        <v>4</v>
      </c>
      <c r="AD1162" s="12" t="n">
        <v>0</v>
      </c>
      <c r="AE1162" s="12">
        <f>AB1162+AC1162+AD1162</f>
        <v/>
      </c>
      <c r="AF1162" s="13">
        <f>AI1161</f>
        <v/>
      </c>
      <c r="AG1162" s="13" t="n">
        <v>0</v>
      </c>
      <c r="AH1162" s="13" t="n">
        <v>0</v>
      </c>
      <c r="AI1162" s="13">
        <f>AF1162+AG1162+AH1162</f>
        <v/>
      </c>
      <c r="AJ1162" s="14" t="n">
        <v>30</v>
      </c>
      <c r="AK1162" s="14" t="n">
        <v>50</v>
      </c>
      <c r="AL1162" s="14" t="n">
        <v>0</v>
      </c>
      <c r="AM1162" s="14">
        <f>AJ1162+AK1162+AL1162</f>
        <v/>
      </c>
      <c r="AN1162" s="14">
        <f>AN1161+AM1162</f>
        <v/>
      </c>
    </row>
    <row r="1163">
      <c r="A1163" s="8" t="n">
        <v>45</v>
      </c>
      <c r="B1163" s="8" t="n">
        <v>9</v>
      </c>
      <c r="C1163" s="8" t="n">
        <v>2</v>
      </c>
      <c r="D1163" s="8" t="inlineStr">
        <is>
          <t>月卡收益</t>
        </is>
      </c>
      <c r="E1163" s="9">
        <f>K1162</f>
        <v/>
      </c>
      <c r="F1163" s="9" t="n">
        <v>1540</v>
      </c>
      <c r="G1163" s="9" t="n">
        <v>0</v>
      </c>
      <c r="H1163" s="9" t="n">
        <v>0</v>
      </c>
      <c r="I1163" s="9" t="n">
        <v>0</v>
      </c>
      <c r="J1163" s="9" t="n">
        <v>7680</v>
      </c>
      <c r="K1163" s="9">
        <f>E1163+F1163+G1163+H1163+I1163-J1163</f>
        <v/>
      </c>
      <c r="L1163" s="10">
        <f>Q1162</f>
        <v/>
      </c>
      <c r="M1163" s="10" t="n">
        <v>0</v>
      </c>
      <c r="N1163" s="10" t="n">
        <v>11</v>
      </c>
      <c r="O1163" s="10">
        <f>J1163/160</f>
        <v/>
      </c>
      <c r="P1163" s="10" t="n">
        <v>90</v>
      </c>
      <c r="Q1163" s="10">
        <f>L1163+M1163+N1163+O1163-P1163</f>
        <v/>
      </c>
      <c r="R1163" s="11">
        <f>T1162</f>
        <v/>
      </c>
      <c r="S1163" s="11">
        <f>N(V1163) + N(X1163) + N(Z1163)</f>
        <v/>
      </c>
      <c r="T1163" s="11">
        <f>R1163+P1163-S1163</f>
        <v/>
      </c>
      <c r="U1163" s="11" t="inlineStr">
        <is>
          <t>是</t>
        </is>
      </c>
      <c r="V1163" s="11" t="n">
        <v>47</v>
      </c>
      <c r="W1163" s="11" t="inlineStr">
        <is>
          <t>是</t>
        </is>
      </c>
      <c r="X1163" s="11" t="n">
        <v>54</v>
      </c>
      <c r="Y1163" s="11" t="inlineStr">
        <is>
          <t>-</t>
        </is>
      </c>
      <c r="Z1163" s="11" t="n">
        <v>0</v>
      </c>
      <c r="AA1163" s="11" t="inlineStr">
        <is>
          <t>无</t>
        </is>
      </c>
      <c r="AB1163" s="12">
        <f>AE1162</f>
        <v/>
      </c>
      <c r="AC1163" s="12" t="n">
        <v>0</v>
      </c>
      <c r="AD1163" s="12" t="n">
        <v>0</v>
      </c>
      <c r="AE1163" s="12">
        <f>AB1163+AC1163+AD1163</f>
        <v/>
      </c>
      <c r="AF1163" s="13">
        <f>AI1162</f>
        <v/>
      </c>
      <c r="AG1163" s="13" t="n">
        <v>0</v>
      </c>
      <c r="AH1163" s="13" t="n">
        <v>0</v>
      </c>
      <c r="AI1163" s="13">
        <f>AF1163+AG1163+AH1163</f>
        <v/>
      </c>
      <c r="AJ1163" s="14" t="n">
        <v>0</v>
      </c>
      <c r="AK1163" s="14" t="n">
        <v>0</v>
      </c>
      <c r="AL1163" s="14" t="n">
        <v>0</v>
      </c>
      <c r="AM1163" s="14">
        <f>AJ1163+AK1163+AL1163</f>
        <v/>
      </c>
      <c r="AN1163" s="14">
        <f>AN1162+AM1163</f>
        <v/>
      </c>
    </row>
    <row r="1164">
      <c r="A1164" s="8" t="n">
        <v>45</v>
      </c>
      <c r="B1164" s="8" t="n">
        <v>10</v>
      </c>
      <c r="C1164" s="8" t="n">
        <v>1</v>
      </c>
      <c r="D1164" s="8" t="inlineStr">
        <is>
          <t>版本免费+义相逢 + 月卡收益 [月卡续费-30元]</t>
        </is>
      </c>
      <c r="E1164" s="9">
        <f>K1163</f>
        <v/>
      </c>
      <c r="F1164" s="9" t="n">
        <v>1540</v>
      </c>
      <c r="G1164" s="9" t="n">
        <v>4800</v>
      </c>
      <c r="H1164" s="9" t="n">
        <v>0</v>
      </c>
      <c r="I1164" s="9" t="n">
        <v>0</v>
      </c>
      <c r="J1164" s="9" t="n">
        <v>0</v>
      </c>
      <c r="K1164" s="9">
        <f>E1164+F1164+G1164+H1164+I1164-J1164</f>
        <v/>
      </c>
      <c r="L1164" s="10">
        <f>Q1163</f>
        <v/>
      </c>
      <c r="M1164" s="10" t="n">
        <v>85</v>
      </c>
      <c r="N1164" s="10" t="n">
        <v>11</v>
      </c>
      <c r="O1164" s="10">
        <f>J1164/160</f>
        <v/>
      </c>
      <c r="P1164" s="10" t="n">
        <v>100</v>
      </c>
      <c r="Q1164" s="10">
        <f>L1164+M1164+N1164+O1164-P1164</f>
        <v/>
      </c>
      <c r="R1164" s="11">
        <f>T1163</f>
        <v/>
      </c>
      <c r="S1164" s="11">
        <f>N(V1164) + N(X1164) + N(Z1164)</f>
        <v/>
      </c>
      <c r="T1164" s="11">
        <f>R1164+P1164-S1164</f>
        <v/>
      </c>
      <c r="U1164" s="11" t="inlineStr">
        <is>
          <t>是</t>
        </is>
      </c>
      <c r="V1164" s="11" t="n">
        <v>51</v>
      </c>
      <c r="W1164" s="11" t="inlineStr">
        <is>
          <t>是</t>
        </is>
      </c>
      <c r="X1164" s="11" t="n">
        <v>49</v>
      </c>
      <c r="Y1164" s="11" t="inlineStr">
        <is>
          <t>-</t>
        </is>
      </c>
      <c r="Z1164" s="11" t="n">
        <v>0</v>
      </c>
      <c r="AA1164" s="11" t="inlineStr">
        <is>
          <t>无</t>
        </is>
      </c>
      <c r="AB1164" s="12">
        <f>AE1163</f>
        <v/>
      </c>
      <c r="AC1164" s="12" t="n">
        <v>4</v>
      </c>
      <c r="AD1164" s="12" t="n">
        <v>0</v>
      </c>
      <c r="AE1164" s="12">
        <f>AB1164+AC1164+AD1164</f>
        <v/>
      </c>
      <c r="AF1164" s="13">
        <f>AI1163</f>
        <v/>
      </c>
      <c r="AG1164" s="13" t="n">
        <v>0</v>
      </c>
      <c r="AH1164" s="13" t="n">
        <v>0</v>
      </c>
      <c r="AI1164" s="13">
        <f>AF1164+AG1164+AH1164</f>
        <v/>
      </c>
      <c r="AJ1164" s="14" t="n">
        <v>30</v>
      </c>
      <c r="AK1164" s="14" t="n">
        <v>50</v>
      </c>
      <c r="AL1164" s="14" t="n">
        <v>0</v>
      </c>
      <c r="AM1164" s="14">
        <f>AJ1164+AK1164+AL1164</f>
        <v/>
      </c>
      <c r="AN1164" s="14">
        <f>AN1163+AM1164</f>
        <v/>
      </c>
    </row>
    <row r="1165">
      <c r="A1165" s="8" t="n">
        <v>45</v>
      </c>
      <c r="B1165" s="8" t="n">
        <v>10</v>
      </c>
      <c r="C1165" s="8" t="n">
        <v>2</v>
      </c>
      <c r="D1165" s="8" t="inlineStr">
        <is>
          <t>月卡收益</t>
        </is>
      </c>
      <c r="E1165" s="9">
        <f>K1164</f>
        <v/>
      </c>
      <c r="F1165" s="9" t="n">
        <v>1540</v>
      </c>
      <c r="G1165" s="9" t="n">
        <v>0</v>
      </c>
      <c r="H1165" s="9" t="n">
        <v>0</v>
      </c>
      <c r="I1165" s="9" t="n">
        <v>0</v>
      </c>
      <c r="J1165" s="9" t="n">
        <v>13280</v>
      </c>
      <c r="K1165" s="9">
        <f>E1165+F1165+G1165+H1165+I1165-J1165</f>
        <v/>
      </c>
      <c r="L1165" s="10">
        <f>Q1164</f>
        <v/>
      </c>
      <c r="M1165" s="10" t="n">
        <v>0</v>
      </c>
      <c r="N1165" s="10" t="n">
        <v>11</v>
      </c>
      <c r="O1165" s="10">
        <f>J1165/160</f>
        <v/>
      </c>
      <c r="P1165" s="10" t="n">
        <v>90</v>
      </c>
      <c r="Q1165" s="10">
        <f>L1165+M1165+N1165+O1165-P1165</f>
        <v/>
      </c>
      <c r="R1165" s="11">
        <f>T1164</f>
        <v/>
      </c>
      <c r="S1165" s="11">
        <f>N(V1165) + N(X1165) + N(Z1165)</f>
        <v/>
      </c>
      <c r="T1165" s="11">
        <f>R1165+P1165-S1165</f>
        <v/>
      </c>
      <c r="U1165" s="11" t="inlineStr">
        <is>
          <t>是</t>
        </is>
      </c>
      <c r="V1165" s="11" t="n">
        <v>47</v>
      </c>
      <c r="W1165" s="11" t="inlineStr">
        <is>
          <t>是</t>
        </is>
      </c>
      <c r="X1165" s="11" t="n">
        <v>47</v>
      </c>
      <c r="Y1165" s="11" t="inlineStr">
        <is>
          <t>-</t>
        </is>
      </c>
      <c r="Z1165" s="11" t="n">
        <v>0</v>
      </c>
      <c r="AA1165" s="11" t="inlineStr">
        <is>
          <t>无</t>
        </is>
      </c>
      <c r="AB1165" s="12">
        <f>AE1164</f>
        <v/>
      </c>
      <c r="AC1165" s="12" t="n">
        <v>0</v>
      </c>
      <c r="AD1165" s="12" t="n">
        <v>0</v>
      </c>
      <c r="AE1165" s="12">
        <f>AB1165+AC1165+AD1165</f>
        <v/>
      </c>
      <c r="AF1165" s="13">
        <f>AI1164</f>
        <v/>
      </c>
      <c r="AG1165" s="13" t="n">
        <v>0</v>
      </c>
      <c r="AH1165" s="13" t="n">
        <v>0</v>
      </c>
      <c r="AI1165" s="13">
        <f>AF1165+AG1165+AH1165</f>
        <v/>
      </c>
      <c r="AJ1165" s="14" t="n">
        <v>0</v>
      </c>
      <c r="AK1165" s="14" t="n">
        <v>0</v>
      </c>
      <c r="AL1165" s="14" t="n">
        <v>0</v>
      </c>
      <c r="AM1165" s="14">
        <f>AJ1165+AK1165+AL1165</f>
        <v/>
      </c>
      <c r="AN1165" s="14">
        <f>AN1164+AM1165</f>
        <v/>
      </c>
    </row>
    <row r="1166">
      <c r="A1166" s="8" t="n">
        <v>45</v>
      </c>
      <c r="B1166" s="8" t="n">
        <v>11</v>
      </c>
      <c r="C1166" s="8" t="n">
        <v>1</v>
      </c>
      <c r="D1166" s="8" t="inlineStr">
        <is>
          <t>版本免费+义相逢 + 月卡收益 [月卡续费-30元]</t>
        </is>
      </c>
      <c r="E1166" s="9">
        <f>K1165</f>
        <v/>
      </c>
      <c r="F1166" s="9" t="n">
        <v>1540</v>
      </c>
      <c r="G1166" s="9" t="n">
        <v>4800</v>
      </c>
      <c r="H1166" s="9" t="n">
        <v>0</v>
      </c>
      <c r="I1166" s="9" t="n">
        <v>0</v>
      </c>
      <c r="J1166" s="9" t="n">
        <v>0</v>
      </c>
      <c r="K1166" s="9">
        <f>E1166+F1166+G1166+H1166+I1166-J1166</f>
        <v/>
      </c>
      <c r="L1166" s="10">
        <f>Q1165</f>
        <v/>
      </c>
      <c r="M1166" s="10" t="n">
        <v>85</v>
      </c>
      <c r="N1166" s="10" t="n">
        <v>6</v>
      </c>
      <c r="O1166" s="10">
        <f>J1166/160</f>
        <v/>
      </c>
      <c r="P1166" s="10" t="n">
        <v>70</v>
      </c>
      <c r="Q1166" s="10">
        <f>L1166+M1166+N1166+O1166-P1166</f>
        <v/>
      </c>
      <c r="R1166" s="11">
        <f>T1165</f>
        <v/>
      </c>
      <c r="S1166" s="11">
        <f>N(V1166) + N(X1166) + N(Z1166)</f>
        <v/>
      </c>
      <c r="T1166" s="11">
        <f>R1166+P1166-S1166</f>
        <v/>
      </c>
      <c r="U1166" s="11" t="inlineStr">
        <is>
          <t>是</t>
        </is>
      </c>
      <c r="V1166" s="11" t="n">
        <v>18</v>
      </c>
      <c r="W1166" s="11" t="inlineStr">
        <is>
          <t>是</t>
        </is>
      </c>
      <c r="X1166" s="11" t="n">
        <v>49</v>
      </c>
      <c r="Y1166" s="11" t="inlineStr">
        <is>
          <t>UP(4)</t>
        </is>
      </c>
      <c r="Z1166" s="11" t="n">
        <v>4</v>
      </c>
      <c r="AA1166" s="11" t="inlineStr">
        <is>
          <t>无</t>
        </is>
      </c>
      <c r="AB1166" s="12">
        <f>AE1165</f>
        <v/>
      </c>
      <c r="AC1166" s="12" t="n">
        <v>4</v>
      </c>
      <c r="AD1166" s="12" t="n">
        <v>0</v>
      </c>
      <c r="AE1166" s="12">
        <f>AB1166+AC1166+AD1166</f>
        <v/>
      </c>
      <c r="AF1166" s="13">
        <f>AI1165</f>
        <v/>
      </c>
      <c r="AG1166" s="13" t="n">
        <v>0</v>
      </c>
      <c r="AH1166" s="13" t="n">
        <v>0</v>
      </c>
      <c r="AI1166" s="13">
        <f>AF1166+AG1166+AH1166</f>
        <v/>
      </c>
      <c r="AJ1166" s="14" t="n">
        <v>30</v>
      </c>
      <c r="AK1166" s="14" t="n">
        <v>50</v>
      </c>
      <c r="AL1166" s="14" t="n">
        <v>0</v>
      </c>
      <c r="AM1166" s="14">
        <f>AJ1166+AK1166+AL1166</f>
        <v/>
      </c>
      <c r="AN1166" s="14">
        <f>AN1165+AM1166</f>
        <v/>
      </c>
    </row>
    <row r="1167">
      <c r="A1167" s="8" t="n">
        <v>45</v>
      </c>
      <c r="B1167" s="8" t="n">
        <v>11</v>
      </c>
      <c r="C1167" s="8" t="n">
        <v>2</v>
      </c>
      <c r="D1167" s="8" t="inlineStr">
        <is>
          <t>月卡收益</t>
        </is>
      </c>
      <c r="E1167" s="9">
        <f>K1166</f>
        <v/>
      </c>
      <c r="F1167" s="9" t="n">
        <v>1540</v>
      </c>
      <c r="G1167" s="9" t="n">
        <v>0</v>
      </c>
      <c r="H1167" s="9" t="n">
        <v>0</v>
      </c>
      <c r="I1167" s="9" t="n">
        <v>0</v>
      </c>
      <c r="J1167" s="9" t="n">
        <v>4960</v>
      </c>
      <c r="K1167" s="9">
        <f>E1167+F1167+G1167+H1167+I1167-J1167</f>
        <v/>
      </c>
      <c r="L1167" s="10">
        <f>Q1166</f>
        <v/>
      </c>
      <c r="M1167" s="10" t="n">
        <v>0</v>
      </c>
      <c r="N1167" s="10" t="n">
        <v>6</v>
      </c>
      <c r="O1167" s="10">
        <f>J1167/160</f>
        <v/>
      </c>
      <c r="P1167" s="10" t="n">
        <v>60</v>
      </c>
      <c r="Q1167" s="10">
        <f>L1167+M1167+N1167+O1167-P1167</f>
        <v/>
      </c>
      <c r="R1167" s="11">
        <f>T1166</f>
        <v/>
      </c>
      <c r="S1167" s="11">
        <f>N(V1167) + N(X1167) + N(Z1167)</f>
        <v/>
      </c>
      <c r="T1167" s="11">
        <f>R1167+P1167-S1167</f>
        <v/>
      </c>
      <c r="U1167" s="11" t="inlineStr">
        <is>
          <t>是</t>
        </is>
      </c>
      <c r="V1167" s="11" t="n">
        <v>48</v>
      </c>
      <c r="W1167" s="11" t="inlineStr">
        <is>
          <t>否</t>
        </is>
      </c>
      <c r="X1167" s="11" t="inlineStr">
        <is>
          <t>-</t>
        </is>
      </c>
      <c r="Y1167" s="11" t="inlineStr">
        <is>
          <t>-</t>
        </is>
      </c>
      <c r="Z1167" s="11" t="n">
        <v>0</v>
      </c>
      <c r="AA1167" s="11" t="inlineStr">
        <is>
          <t>垫到60抽</t>
        </is>
      </c>
      <c r="AB1167" s="12">
        <f>AE1166</f>
        <v/>
      </c>
      <c r="AC1167" s="12" t="n">
        <v>0</v>
      </c>
      <c r="AD1167" s="12" t="n">
        <v>0</v>
      </c>
      <c r="AE1167" s="12">
        <f>AB1167+AC1167+AD1167</f>
        <v/>
      </c>
      <c r="AF1167" s="13">
        <f>AI1166</f>
        <v/>
      </c>
      <c r="AG1167" s="13" t="n">
        <v>0</v>
      </c>
      <c r="AH1167" s="13" t="n">
        <v>0</v>
      </c>
      <c r="AI1167" s="13">
        <f>AF1167+AG1167+AH1167</f>
        <v/>
      </c>
      <c r="AJ1167" s="14" t="n">
        <v>0</v>
      </c>
      <c r="AK1167" s="14" t="n">
        <v>0</v>
      </c>
      <c r="AL1167" s="14" t="n">
        <v>0</v>
      </c>
      <c r="AM1167" s="14">
        <f>AJ1167+AK1167+AL1167</f>
        <v/>
      </c>
      <c r="AN1167" s="14">
        <f>AN1166+AM1167</f>
        <v/>
      </c>
    </row>
    <row r="1168">
      <c r="A1168" s="8" t="n">
        <v>45</v>
      </c>
      <c r="B1168" s="8" t="n">
        <v>12</v>
      </c>
      <c r="C1168" s="8" t="n">
        <v>1</v>
      </c>
      <c r="D1168" s="8" t="inlineStr">
        <is>
          <t>版本免费+义相逢 + 月卡收益 [月卡续费-30元]</t>
        </is>
      </c>
      <c r="E1168" s="9">
        <f>K1167</f>
        <v/>
      </c>
      <c r="F1168" s="9" t="n">
        <v>1540</v>
      </c>
      <c r="G1168" s="9" t="n">
        <v>4800</v>
      </c>
      <c r="H1168" s="9" t="n">
        <v>0</v>
      </c>
      <c r="I1168" s="9" t="n">
        <v>0</v>
      </c>
      <c r="J1168" s="9" t="n">
        <v>0</v>
      </c>
      <c r="K1168" s="9">
        <f>E1168+F1168+G1168+H1168+I1168-J1168</f>
        <v/>
      </c>
      <c r="L1168" s="10">
        <f>Q1167</f>
        <v/>
      </c>
      <c r="M1168" s="10" t="n">
        <v>85</v>
      </c>
      <c r="N1168" s="10" t="n">
        <v>3</v>
      </c>
      <c r="O1168" s="10">
        <f>J1168/160</f>
        <v/>
      </c>
      <c r="P1168" s="10" t="n">
        <v>40</v>
      </c>
      <c r="Q1168" s="10">
        <f>L1168+M1168+N1168+O1168-P1168</f>
        <v/>
      </c>
      <c r="R1168" s="11">
        <f>T1167</f>
        <v/>
      </c>
      <c r="S1168" s="11">
        <f>N(V1168) + N(X1168) + N(Z1168)</f>
        <v/>
      </c>
      <c r="T1168" s="11">
        <f>R1168+P1168-S1168</f>
        <v/>
      </c>
      <c r="U1168" s="11" t="inlineStr">
        <is>
          <t>是</t>
        </is>
      </c>
      <c r="V1168" s="11" t="n">
        <v>50</v>
      </c>
      <c r="W1168" s="11" t="inlineStr">
        <is>
          <t>否</t>
        </is>
      </c>
      <c r="X1168" s="11" t="inlineStr">
        <is>
          <t>-</t>
        </is>
      </c>
      <c r="Y1168" s="11" t="inlineStr">
        <is>
          <t>-</t>
        </is>
      </c>
      <c r="Z1168" s="11" t="n">
        <v>0</v>
      </c>
      <c r="AA1168" s="11" t="inlineStr">
        <is>
          <t>无</t>
        </is>
      </c>
      <c r="AB1168" s="12">
        <f>AE1167</f>
        <v/>
      </c>
      <c r="AC1168" s="12" t="n">
        <v>4</v>
      </c>
      <c r="AD1168" s="12" t="n">
        <v>0</v>
      </c>
      <c r="AE1168" s="12">
        <f>AB1168+AC1168+AD1168</f>
        <v/>
      </c>
      <c r="AF1168" s="13">
        <f>AI1167</f>
        <v/>
      </c>
      <c r="AG1168" s="13" t="n">
        <v>0</v>
      </c>
      <c r="AH1168" s="13" t="n">
        <v>0</v>
      </c>
      <c r="AI1168" s="13">
        <f>AF1168+AG1168+AH1168</f>
        <v/>
      </c>
      <c r="AJ1168" s="14" t="n">
        <v>30</v>
      </c>
      <c r="AK1168" s="14" t="n">
        <v>50</v>
      </c>
      <c r="AL1168" s="14" t="n">
        <v>0</v>
      </c>
      <c r="AM1168" s="14">
        <f>AJ1168+AK1168+AL1168</f>
        <v/>
      </c>
      <c r="AN1168" s="14">
        <f>AN1167+AM1168</f>
        <v/>
      </c>
    </row>
    <row r="1169">
      <c r="A1169" s="8" t="n">
        <v>45</v>
      </c>
      <c r="B1169" s="8" t="n">
        <v>12</v>
      </c>
      <c r="C1169" s="8" t="n">
        <v>2</v>
      </c>
      <c r="D1169" s="8" t="inlineStr">
        <is>
          <t>月卡收益</t>
        </is>
      </c>
      <c r="E1169" s="9">
        <f>K1168</f>
        <v/>
      </c>
      <c r="F1169" s="9" t="n">
        <v>1540</v>
      </c>
      <c r="G1169" s="9" t="n">
        <v>0</v>
      </c>
      <c r="H1169" s="9" t="n">
        <v>0</v>
      </c>
      <c r="I1169" s="9" t="n">
        <v>0</v>
      </c>
      <c r="J1169" s="9" t="n">
        <v>960</v>
      </c>
      <c r="K1169" s="9">
        <f>E1169+F1169+G1169+H1169+I1169-J1169</f>
        <v/>
      </c>
      <c r="L1169" s="10">
        <f>Q1168</f>
        <v/>
      </c>
      <c r="M1169" s="10" t="n">
        <v>0</v>
      </c>
      <c r="N1169" s="10" t="n">
        <v>6</v>
      </c>
      <c r="O1169" s="10">
        <f>J1169/160</f>
        <v/>
      </c>
      <c r="P1169" s="10" t="n">
        <v>60</v>
      </c>
      <c r="Q1169" s="10">
        <f>L1169+M1169+N1169+O1169-P1169</f>
        <v/>
      </c>
      <c r="R1169" s="11">
        <f>T1168</f>
        <v/>
      </c>
      <c r="S1169" s="11">
        <f>N(V1169) + N(X1169) + N(Z1169)</f>
        <v/>
      </c>
      <c r="T1169" s="11">
        <f>R1169+P1169-S1169</f>
        <v/>
      </c>
      <c r="U1169" s="11" t="inlineStr">
        <is>
          <t>是</t>
        </is>
      </c>
      <c r="V1169" s="11" t="n">
        <v>51</v>
      </c>
      <c r="W1169" s="11" t="inlineStr">
        <is>
          <t>否</t>
        </is>
      </c>
      <c r="X1169" s="11" t="inlineStr">
        <is>
          <t>-</t>
        </is>
      </c>
      <c r="Y1169" s="11" t="inlineStr">
        <is>
          <t>-</t>
        </is>
      </c>
      <c r="Z1169" s="11" t="n">
        <v>0</v>
      </c>
      <c r="AA1169" s="11" t="inlineStr">
        <is>
          <t>垫到60抽</t>
        </is>
      </c>
      <c r="AB1169" s="12">
        <f>AE1168</f>
        <v/>
      </c>
      <c r="AC1169" s="12" t="n">
        <v>0</v>
      </c>
      <c r="AD1169" s="12" t="n">
        <v>0</v>
      </c>
      <c r="AE1169" s="12">
        <f>AB1169+AC1169+AD1169</f>
        <v/>
      </c>
      <c r="AF1169" s="13">
        <f>AI1168</f>
        <v/>
      </c>
      <c r="AG1169" s="13" t="n">
        <v>0</v>
      </c>
      <c r="AH1169" s="13" t="n">
        <v>0</v>
      </c>
      <c r="AI1169" s="13">
        <f>AF1169+AG1169+AH1169</f>
        <v/>
      </c>
      <c r="AJ1169" s="14" t="n">
        <v>0</v>
      </c>
      <c r="AK1169" s="14" t="n">
        <v>0</v>
      </c>
      <c r="AL1169" s="14" t="n">
        <v>0</v>
      </c>
      <c r="AM1169" s="14">
        <f>AJ1169+AK1169+AL1169</f>
        <v/>
      </c>
      <c r="AN1169" s="14">
        <f>AN1168+AM1169</f>
        <v/>
      </c>
    </row>
    <row r="1170">
      <c r="A1170" s="8" t="n">
        <v>45</v>
      </c>
      <c r="B1170" s="8" t="n">
        <v>13</v>
      </c>
      <c r="C1170" s="8" t="n">
        <v>1</v>
      </c>
      <c r="D1170" s="8" t="inlineStr">
        <is>
          <t>版本免费+义相逢 + 月卡收益 [月卡续费-30元]</t>
        </is>
      </c>
      <c r="E1170" s="9">
        <f>K1169</f>
        <v/>
      </c>
      <c r="F1170" s="9" t="n">
        <v>1540</v>
      </c>
      <c r="G1170" s="9" t="n">
        <v>4800</v>
      </c>
      <c r="H1170" s="9" t="n">
        <v>0</v>
      </c>
      <c r="I1170" s="9" t="n">
        <v>0</v>
      </c>
      <c r="J1170" s="9" t="n">
        <v>0</v>
      </c>
      <c r="K1170" s="9">
        <f>E1170+F1170+G1170+H1170+I1170-J1170</f>
        <v/>
      </c>
      <c r="L1170" s="10">
        <f>Q1169</f>
        <v/>
      </c>
      <c r="M1170" s="10" t="n">
        <v>85</v>
      </c>
      <c r="N1170" s="10" t="n">
        <v>11</v>
      </c>
      <c r="O1170" s="10">
        <f>J1170/160</f>
        <v/>
      </c>
      <c r="P1170" s="10" t="n">
        <v>90</v>
      </c>
      <c r="Q1170" s="10">
        <f>L1170+M1170+N1170+O1170-P1170</f>
        <v/>
      </c>
      <c r="R1170" s="11">
        <f>T1169</f>
        <v/>
      </c>
      <c r="S1170" s="11">
        <f>N(V1170) + N(X1170) + N(Z1170)</f>
        <v/>
      </c>
      <c r="T1170" s="11">
        <f>R1170+P1170-S1170</f>
        <v/>
      </c>
      <c r="U1170" s="11" t="inlineStr">
        <is>
          <t>是</t>
        </is>
      </c>
      <c r="V1170" s="11" t="n">
        <v>47</v>
      </c>
      <c r="W1170" s="11" t="inlineStr">
        <is>
          <t>是</t>
        </is>
      </c>
      <c r="X1170" s="11" t="n">
        <v>47</v>
      </c>
      <c r="Y1170" s="11" t="inlineStr">
        <is>
          <t>-</t>
        </is>
      </c>
      <c r="Z1170" s="11" t="n">
        <v>0</v>
      </c>
      <c r="AA1170" s="11" t="inlineStr">
        <is>
          <t>无</t>
        </is>
      </c>
      <c r="AB1170" s="12">
        <f>AE1169</f>
        <v/>
      </c>
      <c r="AC1170" s="12" t="n">
        <v>4</v>
      </c>
      <c r="AD1170" s="12" t="n">
        <v>0</v>
      </c>
      <c r="AE1170" s="12">
        <f>AB1170+AC1170+AD1170</f>
        <v/>
      </c>
      <c r="AF1170" s="13">
        <f>AI1169</f>
        <v/>
      </c>
      <c r="AG1170" s="13" t="n">
        <v>0</v>
      </c>
      <c r="AH1170" s="13" t="n">
        <v>0</v>
      </c>
      <c r="AI1170" s="13">
        <f>AF1170+AG1170+AH1170</f>
        <v/>
      </c>
      <c r="AJ1170" s="14" t="n">
        <v>30</v>
      </c>
      <c r="AK1170" s="14" t="n">
        <v>50</v>
      </c>
      <c r="AL1170" s="14" t="n">
        <v>0</v>
      </c>
      <c r="AM1170" s="14">
        <f>AJ1170+AK1170+AL1170</f>
        <v/>
      </c>
      <c r="AN1170" s="14">
        <f>AN1169+AM1170</f>
        <v/>
      </c>
    </row>
    <row r="1171">
      <c r="A1171" s="8" t="n">
        <v>45</v>
      </c>
      <c r="B1171" s="8" t="n">
        <v>13</v>
      </c>
      <c r="C1171" s="8" t="n">
        <v>2</v>
      </c>
      <c r="D1171" s="8" t="inlineStr">
        <is>
          <t>月卡收益</t>
        </is>
      </c>
      <c r="E1171" s="9">
        <f>K1170</f>
        <v/>
      </c>
      <c r="F1171" s="9" t="n">
        <v>1540</v>
      </c>
      <c r="G1171" s="9" t="n">
        <v>0</v>
      </c>
      <c r="H1171" s="9" t="n">
        <v>0</v>
      </c>
      <c r="I1171" s="9" t="n">
        <v>0</v>
      </c>
      <c r="J1171" s="9" t="n">
        <v>12800</v>
      </c>
      <c r="K1171" s="9">
        <f>E1171+F1171+G1171+H1171+I1171-J1171</f>
        <v/>
      </c>
      <c r="L1171" s="10">
        <f>Q1170</f>
        <v/>
      </c>
      <c r="M1171" s="10" t="n">
        <v>0</v>
      </c>
      <c r="N1171" s="10" t="n">
        <v>11</v>
      </c>
      <c r="O1171" s="10">
        <f>J1171/160</f>
        <v/>
      </c>
      <c r="P1171" s="10" t="n">
        <v>100</v>
      </c>
      <c r="Q1171" s="10">
        <f>L1171+M1171+N1171+O1171-P1171</f>
        <v/>
      </c>
      <c r="R1171" s="11">
        <f>T1170</f>
        <v/>
      </c>
      <c r="S1171" s="11">
        <f>N(V1171) + N(X1171) + N(Z1171)</f>
        <v/>
      </c>
      <c r="T1171" s="11">
        <f>R1171+P1171-S1171</f>
        <v/>
      </c>
      <c r="U1171" s="11" t="inlineStr">
        <is>
          <t>是</t>
        </is>
      </c>
      <c r="V1171" s="11" t="n">
        <v>53</v>
      </c>
      <c r="W1171" s="11" t="inlineStr">
        <is>
          <t>是</t>
        </is>
      </c>
      <c r="X1171" s="11" t="n">
        <v>53</v>
      </c>
      <c r="Y1171" s="11" t="inlineStr">
        <is>
          <t>-</t>
        </is>
      </c>
      <c r="Z1171" s="11" t="n">
        <v>0</v>
      </c>
      <c r="AA1171" s="11" t="inlineStr">
        <is>
          <t>无</t>
        </is>
      </c>
      <c r="AB1171" s="12">
        <f>AE1170</f>
        <v/>
      </c>
      <c r="AC1171" s="12" t="n">
        <v>0</v>
      </c>
      <c r="AD1171" s="12" t="n">
        <v>0</v>
      </c>
      <c r="AE1171" s="12">
        <f>AB1171+AC1171+AD1171</f>
        <v/>
      </c>
      <c r="AF1171" s="13">
        <f>AI1170</f>
        <v/>
      </c>
      <c r="AG1171" s="13" t="n">
        <v>0</v>
      </c>
      <c r="AH1171" s="13" t="n">
        <v>0</v>
      </c>
      <c r="AI1171" s="13">
        <f>AF1171+AG1171+AH1171</f>
        <v/>
      </c>
      <c r="AJ1171" s="14" t="n">
        <v>0</v>
      </c>
      <c r="AK1171" s="14" t="n">
        <v>0</v>
      </c>
      <c r="AL1171" s="14" t="n">
        <v>0</v>
      </c>
      <c r="AM1171" s="14">
        <f>AJ1171+AK1171+AL1171</f>
        <v/>
      </c>
      <c r="AN1171" s="14">
        <f>AN1170+AM1171</f>
        <v/>
      </c>
    </row>
    <row r="1172">
      <c r="A1172" s="8" t="n">
        <v>46</v>
      </c>
      <c r="B1172" s="8" t="n">
        <v>1</v>
      </c>
      <c r="C1172" s="8" t="n">
        <v>1</v>
      </c>
      <c r="D1172" s="8" t="inlineStr">
        <is>
          <t>版本免费+义相逢 + 月卡收益</t>
        </is>
      </c>
      <c r="E1172" s="9" t="n">
        <v>8360</v>
      </c>
      <c r="F1172" s="9" t="n">
        <v>1540</v>
      </c>
      <c r="G1172" s="9" t="n">
        <v>4800</v>
      </c>
      <c r="H1172" s="9" t="n">
        <v>0</v>
      </c>
      <c r="I1172" s="9" t="n">
        <v>0</v>
      </c>
      <c r="J1172" s="9" t="n">
        <v>0</v>
      </c>
      <c r="K1172" s="9">
        <f>E1172+F1172+G1172+H1172+I1172-J1172</f>
        <v/>
      </c>
      <c r="L1172" s="10" t="n">
        <v>0</v>
      </c>
      <c r="M1172" s="10" t="n">
        <v>85</v>
      </c>
      <c r="N1172" s="10" t="n">
        <v>1</v>
      </c>
      <c r="O1172" s="10">
        <f>J1172/160</f>
        <v/>
      </c>
      <c r="P1172" s="10" t="n">
        <v>10</v>
      </c>
      <c r="Q1172" s="10">
        <f>L1172+M1172+N1172+O1172-P1172</f>
        <v/>
      </c>
      <c r="R1172" s="11" t="n">
        <v>2</v>
      </c>
      <c r="S1172" s="11">
        <f>N(V1172) + N(X1172) + N(Z1172)</f>
        <v/>
      </c>
      <c r="T1172" s="11">
        <f>R1172+P1172-S1172</f>
        <v/>
      </c>
      <c r="U1172" s="11" t="inlineStr">
        <is>
          <t>是</t>
        </is>
      </c>
      <c r="V1172" s="11" t="n">
        <v>9</v>
      </c>
      <c r="W1172" s="11" t="inlineStr">
        <is>
          <t>否</t>
        </is>
      </c>
      <c r="X1172" s="11" t="inlineStr">
        <is>
          <t>-</t>
        </is>
      </c>
      <c r="Y1172" s="11" t="inlineStr">
        <is>
          <t>-</t>
        </is>
      </c>
      <c r="Z1172" s="11" t="n">
        <v>0</v>
      </c>
      <c r="AA1172" s="11" t="inlineStr">
        <is>
          <t>无</t>
        </is>
      </c>
      <c r="AB1172" s="12" t="n">
        <v>2403</v>
      </c>
      <c r="AC1172" s="12" t="n">
        <v>4</v>
      </c>
      <c r="AD1172" s="12" t="n">
        <v>0</v>
      </c>
      <c r="AE1172" s="12">
        <f>AB1172+AC1172+AD1172</f>
        <v/>
      </c>
      <c r="AF1172" s="13" t="n">
        <v>315000</v>
      </c>
      <c r="AG1172" s="13" t="n">
        <v>0</v>
      </c>
      <c r="AH1172" s="13" t="n">
        <v>0</v>
      </c>
      <c r="AI1172" s="13">
        <f>AF1172+AG1172+AH1172</f>
        <v/>
      </c>
      <c r="AJ1172" s="14" t="n">
        <v>0</v>
      </c>
      <c r="AK1172" s="14" t="n">
        <v>50</v>
      </c>
      <c r="AL1172" s="14" t="n">
        <v>0</v>
      </c>
      <c r="AM1172" s="14">
        <f>AJ1172+AK1172+AL1172</f>
        <v/>
      </c>
      <c r="AN1172" s="14">
        <f>AM1172</f>
        <v/>
      </c>
    </row>
    <row r="1173">
      <c r="A1173" s="8" t="n">
        <v>46</v>
      </c>
      <c r="B1173" s="8" t="n">
        <v>1</v>
      </c>
      <c r="C1173" s="8" t="n">
        <v>2</v>
      </c>
      <c r="D1173" s="8" t="inlineStr">
        <is>
          <t>月卡收益 [月卡续费-30元]</t>
        </is>
      </c>
      <c r="E1173" s="9">
        <f>K1172</f>
        <v/>
      </c>
      <c r="F1173" s="9" t="n">
        <v>1540</v>
      </c>
      <c r="G1173" s="9" t="n">
        <v>0</v>
      </c>
      <c r="H1173" s="9" t="n">
        <v>0</v>
      </c>
      <c r="I1173" s="9" t="n">
        <v>0</v>
      </c>
      <c r="J1173" s="9" t="n">
        <v>2080</v>
      </c>
      <c r="K1173" s="9">
        <f>E1173+F1173+G1173+H1173+I1173-J1173</f>
        <v/>
      </c>
      <c r="L1173" s="10">
        <f>Q1172</f>
        <v/>
      </c>
      <c r="M1173" s="10" t="n">
        <v>0</v>
      </c>
      <c r="N1173" s="10" t="n">
        <v>11</v>
      </c>
      <c r="O1173" s="10">
        <f>J1173/160</f>
        <v/>
      </c>
      <c r="P1173" s="10" t="n">
        <v>100</v>
      </c>
      <c r="Q1173" s="10">
        <f>L1173+M1173+N1173+O1173-P1173</f>
        <v/>
      </c>
      <c r="R1173" s="11">
        <f>T1172</f>
        <v/>
      </c>
      <c r="S1173" s="11">
        <f>N(V1173) + N(X1173) + N(Z1173)</f>
        <v/>
      </c>
      <c r="T1173" s="11">
        <f>R1173+P1173-S1173</f>
        <v/>
      </c>
      <c r="U1173" s="11" t="inlineStr">
        <is>
          <t>是</t>
        </is>
      </c>
      <c r="V1173" s="11" t="n">
        <v>48</v>
      </c>
      <c r="W1173" s="11" t="inlineStr">
        <is>
          <t>是</t>
        </is>
      </c>
      <c r="X1173" s="11" t="n">
        <v>50</v>
      </c>
      <c r="Y1173" s="11" t="inlineStr">
        <is>
          <t>-</t>
        </is>
      </c>
      <c r="Z1173" s="11" t="n">
        <v>0</v>
      </c>
      <c r="AA1173" s="11" t="inlineStr">
        <is>
          <t>无</t>
        </is>
      </c>
      <c r="AB1173" s="12">
        <f>AE1172</f>
        <v/>
      </c>
      <c r="AC1173" s="12" t="n">
        <v>0</v>
      </c>
      <c r="AD1173" s="12" t="n">
        <v>0</v>
      </c>
      <c r="AE1173" s="12">
        <f>AB1173+AC1173+AD1173</f>
        <v/>
      </c>
      <c r="AF1173" s="13">
        <f>AI1172</f>
        <v/>
      </c>
      <c r="AG1173" s="13" t="n">
        <v>0</v>
      </c>
      <c r="AH1173" s="13" t="n">
        <v>0</v>
      </c>
      <c r="AI1173" s="13">
        <f>AF1173+AG1173+AH1173</f>
        <v/>
      </c>
      <c r="AJ1173" s="14" t="n">
        <v>30</v>
      </c>
      <c r="AK1173" s="14" t="n">
        <v>0</v>
      </c>
      <c r="AL1173" s="14" t="n">
        <v>0</v>
      </c>
      <c r="AM1173" s="14">
        <f>AJ1173+AK1173+AL1173</f>
        <v/>
      </c>
      <c r="AN1173" s="14">
        <f>AN1172+AM1173</f>
        <v/>
      </c>
    </row>
    <row r="1174">
      <c r="A1174" s="8" t="n">
        <v>46</v>
      </c>
      <c r="B1174" s="8" t="n">
        <v>2</v>
      </c>
      <c r="C1174" s="8" t="n">
        <v>1</v>
      </c>
      <c r="D1174" s="8" t="inlineStr">
        <is>
          <t>版本免费+义相逢 + 月卡收益</t>
        </is>
      </c>
      <c r="E1174" s="9">
        <f>K1173</f>
        <v/>
      </c>
      <c r="F1174" s="9" t="n">
        <v>1540</v>
      </c>
      <c r="G1174" s="9" t="n">
        <v>4800</v>
      </c>
      <c r="H1174" s="9" t="n">
        <v>0</v>
      </c>
      <c r="I1174" s="9" t="n">
        <v>0</v>
      </c>
      <c r="J1174" s="9" t="n">
        <v>0</v>
      </c>
      <c r="K1174" s="9">
        <f>E1174+F1174+G1174+H1174+I1174-J1174</f>
        <v/>
      </c>
      <c r="L1174" s="10">
        <f>Q1173</f>
        <v/>
      </c>
      <c r="M1174" s="10" t="n">
        <v>85</v>
      </c>
      <c r="N1174" s="10" t="n">
        <v>6</v>
      </c>
      <c r="O1174" s="10">
        <f>J1174/160</f>
        <v/>
      </c>
      <c r="P1174" s="10" t="n">
        <v>60</v>
      </c>
      <c r="Q1174" s="10">
        <f>L1174+M1174+N1174+O1174-P1174</f>
        <v/>
      </c>
      <c r="R1174" s="11">
        <f>T1173</f>
        <v/>
      </c>
      <c r="S1174" s="11">
        <f>N(V1174) + N(X1174) + N(Z1174)</f>
        <v/>
      </c>
      <c r="T1174" s="11">
        <f>R1174+P1174-S1174</f>
        <v/>
      </c>
      <c r="U1174" s="11" t="inlineStr">
        <is>
          <t>是</t>
        </is>
      </c>
      <c r="V1174" s="11" t="n">
        <v>48</v>
      </c>
      <c r="W1174" s="11" t="inlineStr">
        <is>
          <t>否</t>
        </is>
      </c>
      <c r="X1174" s="11" t="inlineStr">
        <is>
          <t>-</t>
        </is>
      </c>
      <c r="Y1174" s="11" t="inlineStr">
        <is>
          <t>-</t>
        </is>
      </c>
      <c r="Z1174" s="11" t="n">
        <v>0</v>
      </c>
      <c r="AA1174" s="11" t="inlineStr">
        <is>
          <t>垫到60抽</t>
        </is>
      </c>
      <c r="AB1174" s="12">
        <f>AE1173</f>
        <v/>
      </c>
      <c r="AC1174" s="12" t="n">
        <v>4</v>
      </c>
      <c r="AD1174" s="12" t="n">
        <v>0</v>
      </c>
      <c r="AE1174" s="12">
        <f>AB1174+AC1174+AD1174</f>
        <v/>
      </c>
      <c r="AF1174" s="13">
        <f>AI1173</f>
        <v/>
      </c>
      <c r="AG1174" s="13" t="n">
        <v>0</v>
      </c>
      <c r="AH1174" s="13" t="n">
        <v>0</v>
      </c>
      <c r="AI1174" s="13">
        <f>AF1174+AG1174+AH1174</f>
        <v/>
      </c>
      <c r="AJ1174" s="14" t="n">
        <v>0</v>
      </c>
      <c r="AK1174" s="14" t="n">
        <v>50</v>
      </c>
      <c r="AL1174" s="14" t="n">
        <v>0</v>
      </c>
      <c r="AM1174" s="14">
        <f>AJ1174+AK1174+AL1174</f>
        <v/>
      </c>
      <c r="AN1174" s="14">
        <f>AN1173+AM1174</f>
        <v/>
      </c>
    </row>
    <row r="1175">
      <c r="A1175" s="8" t="n">
        <v>46</v>
      </c>
      <c r="B1175" s="8" t="n">
        <v>2</v>
      </c>
      <c r="C1175" s="8" t="n">
        <v>2</v>
      </c>
      <c r="D1175" s="8" t="inlineStr">
        <is>
          <t>月卡收益 [月卡续费-30元]</t>
        </is>
      </c>
      <c r="E1175" s="9">
        <f>K1174</f>
        <v/>
      </c>
      <c r="F1175" s="9" t="n">
        <v>1540</v>
      </c>
      <c r="G1175" s="9" t="n">
        <v>0</v>
      </c>
      <c r="H1175" s="9" t="n">
        <v>0</v>
      </c>
      <c r="I1175" s="9" t="n">
        <v>0</v>
      </c>
      <c r="J1175" s="9" t="n">
        <v>8480</v>
      </c>
      <c r="K1175" s="9">
        <f>E1175+F1175+G1175+H1175+I1175-J1175</f>
        <v/>
      </c>
      <c r="L1175" s="10">
        <f>Q1174</f>
        <v/>
      </c>
      <c r="M1175" s="10" t="n">
        <v>0</v>
      </c>
      <c r="N1175" s="10" t="n">
        <v>11</v>
      </c>
      <c r="O1175" s="10">
        <f>J1175/160</f>
        <v/>
      </c>
      <c r="P1175" s="10" t="n">
        <v>90</v>
      </c>
      <c r="Q1175" s="10">
        <f>L1175+M1175+N1175+O1175-P1175</f>
        <v/>
      </c>
      <c r="R1175" s="11">
        <f>T1174</f>
        <v/>
      </c>
      <c r="S1175" s="11">
        <f>N(V1175) + N(X1175) + N(Z1175)</f>
        <v/>
      </c>
      <c r="T1175" s="11">
        <f>R1175+P1175-S1175</f>
        <v/>
      </c>
      <c r="U1175" s="11" t="inlineStr">
        <is>
          <t>是</t>
        </is>
      </c>
      <c r="V1175" s="11" t="n">
        <v>52</v>
      </c>
      <c r="W1175" s="11" t="inlineStr">
        <is>
          <t>是</t>
        </is>
      </c>
      <c r="X1175" s="11" t="n">
        <v>48</v>
      </c>
      <c r="Y1175" s="11" t="inlineStr">
        <is>
          <t>-</t>
        </is>
      </c>
      <c r="Z1175" s="11" t="n">
        <v>0</v>
      </c>
      <c r="AA1175" s="11" t="inlineStr">
        <is>
          <t>无</t>
        </is>
      </c>
      <c r="AB1175" s="12">
        <f>AE1174</f>
        <v/>
      </c>
      <c r="AC1175" s="12" t="n">
        <v>0</v>
      </c>
      <c r="AD1175" s="12" t="n">
        <v>0</v>
      </c>
      <c r="AE1175" s="12">
        <f>AB1175+AC1175+AD1175</f>
        <v/>
      </c>
      <c r="AF1175" s="13">
        <f>AI1174</f>
        <v/>
      </c>
      <c r="AG1175" s="13" t="n">
        <v>0</v>
      </c>
      <c r="AH1175" s="13" t="n">
        <v>0</v>
      </c>
      <c r="AI1175" s="13">
        <f>AF1175+AG1175+AH1175</f>
        <v/>
      </c>
      <c r="AJ1175" s="14" t="n">
        <v>30</v>
      </c>
      <c r="AK1175" s="14" t="n">
        <v>0</v>
      </c>
      <c r="AL1175" s="14" t="n">
        <v>0</v>
      </c>
      <c r="AM1175" s="14">
        <f>AJ1175+AK1175+AL1175</f>
        <v/>
      </c>
      <c r="AN1175" s="14">
        <f>AN1174+AM1175</f>
        <v/>
      </c>
    </row>
    <row r="1176">
      <c r="A1176" s="8" t="n">
        <v>46</v>
      </c>
      <c r="B1176" s="8" t="n">
        <v>3</v>
      </c>
      <c r="C1176" s="8" t="n">
        <v>1</v>
      </c>
      <c r="D1176" s="8" t="inlineStr">
        <is>
          <t>版本免费+义相逢 + 月卡收益</t>
        </is>
      </c>
      <c r="E1176" s="9">
        <f>K1175</f>
        <v/>
      </c>
      <c r="F1176" s="9" t="n">
        <v>1540</v>
      </c>
      <c r="G1176" s="9" t="n">
        <v>4800</v>
      </c>
      <c r="H1176" s="9" t="n">
        <v>0</v>
      </c>
      <c r="I1176" s="9" t="n">
        <v>0</v>
      </c>
      <c r="J1176" s="9" t="n">
        <v>0</v>
      </c>
      <c r="K1176" s="9">
        <f>E1176+F1176+G1176+H1176+I1176-J1176</f>
        <v/>
      </c>
      <c r="L1176" s="10">
        <f>Q1175</f>
        <v/>
      </c>
      <c r="M1176" s="10" t="n">
        <v>85</v>
      </c>
      <c r="N1176" s="10" t="n">
        <v>6</v>
      </c>
      <c r="O1176" s="10">
        <f>J1176/160</f>
        <v/>
      </c>
      <c r="P1176" s="10" t="n">
        <v>70</v>
      </c>
      <c r="Q1176" s="10">
        <f>L1176+M1176+N1176+O1176-P1176</f>
        <v/>
      </c>
      <c r="R1176" s="11">
        <f>T1175</f>
        <v/>
      </c>
      <c r="S1176" s="11">
        <f>N(V1176) + N(X1176) + N(Z1176)</f>
        <v/>
      </c>
      <c r="T1176" s="11">
        <f>R1176+P1176-S1176</f>
        <v/>
      </c>
      <c r="U1176" s="11" t="inlineStr">
        <is>
          <t>是</t>
        </is>
      </c>
      <c r="V1176" s="11" t="n">
        <v>23</v>
      </c>
      <c r="W1176" s="11" t="inlineStr">
        <is>
          <t>是</t>
        </is>
      </c>
      <c r="X1176" s="11" t="n">
        <v>50</v>
      </c>
      <c r="Y1176" s="11" t="inlineStr">
        <is>
          <t>-</t>
        </is>
      </c>
      <c r="Z1176" s="11" t="n">
        <v>0</v>
      </c>
      <c r="AA1176" s="11" t="inlineStr">
        <is>
          <t>无</t>
        </is>
      </c>
      <c r="AB1176" s="12">
        <f>AE1175</f>
        <v/>
      </c>
      <c r="AC1176" s="12" t="n">
        <v>4</v>
      </c>
      <c r="AD1176" s="12" t="n">
        <v>0</v>
      </c>
      <c r="AE1176" s="12">
        <f>AB1176+AC1176+AD1176</f>
        <v/>
      </c>
      <c r="AF1176" s="13">
        <f>AI1175</f>
        <v/>
      </c>
      <c r="AG1176" s="13" t="n">
        <v>0</v>
      </c>
      <c r="AH1176" s="13" t="n">
        <v>0</v>
      </c>
      <c r="AI1176" s="13">
        <f>AF1176+AG1176+AH1176</f>
        <v/>
      </c>
      <c r="AJ1176" s="14" t="n">
        <v>0</v>
      </c>
      <c r="AK1176" s="14" t="n">
        <v>50</v>
      </c>
      <c r="AL1176" s="14" t="n">
        <v>0</v>
      </c>
      <c r="AM1176" s="14">
        <f>AJ1176+AK1176+AL1176</f>
        <v/>
      </c>
      <c r="AN1176" s="14">
        <f>AN1175+AM1176</f>
        <v/>
      </c>
    </row>
    <row r="1177">
      <c r="A1177" s="8" t="n">
        <v>46</v>
      </c>
      <c r="B1177" s="8" t="n">
        <v>3</v>
      </c>
      <c r="C1177" s="8" t="n">
        <v>2</v>
      </c>
      <c r="D1177" s="8" t="inlineStr">
        <is>
          <t>月卡收益 [月卡续费-30元]</t>
        </is>
      </c>
      <c r="E1177" s="9">
        <f>K1176</f>
        <v/>
      </c>
      <c r="F1177" s="9" t="n">
        <v>1540</v>
      </c>
      <c r="G1177" s="9" t="n">
        <v>0</v>
      </c>
      <c r="H1177" s="9" t="n">
        <v>0</v>
      </c>
      <c r="I1177" s="9" t="n">
        <v>0</v>
      </c>
      <c r="J1177" s="9" t="n">
        <v>10080</v>
      </c>
      <c r="K1177" s="9">
        <f>E1177+F1177+G1177+H1177+I1177-J1177</f>
        <v/>
      </c>
      <c r="L1177" s="10">
        <f>Q1176</f>
        <v/>
      </c>
      <c r="M1177" s="10" t="n">
        <v>0</v>
      </c>
      <c r="N1177" s="10" t="n">
        <v>11</v>
      </c>
      <c r="O1177" s="10">
        <f>J1177/160</f>
        <v/>
      </c>
      <c r="P1177" s="10" t="n">
        <v>100</v>
      </c>
      <c r="Q1177" s="10">
        <f>L1177+M1177+N1177+O1177-P1177</f>
        <v/>
      </c>
      <c r="R1177" s="11">
        <f>T1176</f>
        <v/>
      </c>
      <c r="S1177" s="11">
        <f>N(V1177) + N(X1177) + N(Z1177)</f>
        <v/>
      </c>
      <c r="T1177" s="11">
        <f>R1177+P1177-S1177</f>
        <v/>
      </c>
      <c r="U1177" s="11" t="inlineStr">
        <is>
          <t>是</t>
        </is>
      </c>
      <c r="V1177" s="11" t="n">
        <v>46</v>
      </c>
      <c r="W1177" s="11" t="inlineStr">
        <is>
          <t>是</t>
        </is>
      </c>
      <c r="X1177" s="11" t="n">
        <v>57</v>
      </c>
      <c r="Y1177" s="11" t="inlineStr">
        <is>
          <t>-</t>
        </is>
      </c>
      <c r="Z1177" s="11" t="n">
        <v>0</v>
      </c>
      <c r="AA1177" s="11" t="inlineStr">
        <is>
          <t>无</t>
        </is>
      </c>
      <c r="AB1177" s="12">
        <f>AE1176</f>
        <v/>
      </c>
      <c r="AC1177" s="12" t="n">
        <v>0</v>
      </c>
      <c r="AD1177" s="12" t="n">
        <v>0</v>
      </c>
      <c r="AE1177" s="12">
        <f>AB1177+AC1177+AD1177</f>
        <v/>
      </c>
      <c r="AF1177" s="13">
        <f>AI1176</f>
        <v/>
      </c>
      <c r="AG1177" s="13" t="n">
        <v>0</v>
      </c>
      <c r="AH1177" s="13" t="n">
        <v>0</v>
      </c>
      <c r="AI1177" s="13">
        <f>AF1177+AG1177+AH1177</f>
        <v/>
      </c>
      <c r="AJ1177" s="14" t="n">
        <v>30</v>
      </c>
      <c r="AK1177" s="14" t="n">
        <v>0</v>
      </c>
      <c r="AL1177" s="14" t="n">
        <v>0</v>
      </c>
      <c r="AM1177" s="14">
        <f>AJ1177+AK1177+AL1177</f>
        <v/>
      </c>
      <c r="AN1177" s="14">
        <f>AN1176+AM1177</f>
        <v/>
      </c>
    </row>
    <row r="1178">
      <c r="A1178" s="8" t="n">
        <v>46</v>
      </c>
      <c r="B1178" s="8" t="n">
        <v>4</v>
      </c>
      <c r="C1178" s="8" t="n">
        <v>1</v>
      </c>
      <c r="D1178" s="8" t="inlineStr">
        <is>
          <t>版本免费+义相逢 + 月卡收益</t>
        </is>
      </c>
      <c r="E1178" s="9">
        <f>K1177</f>
        <v/>
      </c>
      <c r="F1178" s="9" t="n">
        <v>1540</v>
      </c>
      <c r="G1178" s="9" t="n">
        <v>4800</v>
      </c>
      <c r="H1178" s="9" t="n">
        <v>0</v>
      </c>
      <c r="I1178" s="9" t="n">
        <v>0</v>
      </c>
      <c r="J1178" s="9" t="n">
        <v>0</v>
      </c>
      <c r="K1178" s="9">
        <f>E1178+F1178+G1178+H1178+I1178-J1178</f>
        <v/>
      </c>
      <c r="L1178" s="10">
        <f>Q1177</f>
        <v/>
      </c>
      <c r="M1178" s="10" t="n">
        <v>85</v>
      </c>
      <c r="N1178" s="10" t="n">
        <v>6</v>
      </c>
      <c r="O1178" s="10">
        <f>J1178/160</f>
        <v/>
      </c>
      <c r="P1178" s="10" t="n">
        <v>60</v>
      </c>
      <c r="Q1178" s="10">
        <f>L1178+M1178+N1178+O1178-P1178</f>
        <v/>
      </c>
      <c r="R1178" s="11">
        <f>T1177</f>
        <v/>
      </c>
      <c r="S1178" s="11">
        <f>N(V1178) + N(X1178) + N(Z1178)</f>
        <v/>
      </c>
      <c r="T1178" s="11">
        <f>R1178+P1178-S1178</f>
        <v/>
      </c>
      <c r="U1178" s="11" t="inlineStr">
        <is>
          <t>是</t>
        </is>
      </c>
      <c r="V1178" s="11" t="n">
        <v>48</v>
      </c>
      <c r="W1178" s="11" t="inlineStr">
        <is>
          <t>否</t>
        </is>
      </c>
      <c r="X1178" s="11" t="inlineStr">
        <is>
          <t>-</t>
        </is>
      </c>
      <c r="Y1178" s="11" t="inlineStr">
        <is>
          <t>-</t>
        </is>
      </c>
      <c r="Z1178" s="11" t="n">
        <v>0</v>
      </c>
      <c r="AA1178" s="11" t="inlineStr">
        <is>
          <t>垫到60抽</t>
        </is>
      </c>
      <c r="AB1178" s="12">
        <f>AE1177</f>
        <v/>
      </c>
      <c r="AC1178" s="12" t="n">
        <v>4</v>
      </c>
      <c r="AD1178" s="12" t="n">
        <v>0</v>
      </c>
      <c r="AE1178" s="12">
        <f>AB1178+AC1178+AD1178</f>
        <v/>
      </c>
      <c r="AF1178" s="13">
        <f>AI1177</f>
        <v/>
      </c>
      <c r="AG1178" s="13" t="n">
        <v>0</v>
      </c>
      <c r="AH1178" s="13" t="n">
        <v>0</v>
      </c>
      <c r="AI1178" s="13">
        <f>AF1178+AG1178+AH1178</f>
        <v/>
      </c>
      <c r="AJ1178" s="14" t="n">
        <v>0</v>
      </c>
      <c r="AK1178" s="14" t="n">
        <v>50</v>
      </c>
      <c r="AL1178" s="14" t="n">
        <v>0</v>
      </c>
      <c r="AM1178" s="14">
        <f>AJ1178+AK1178+AL1178</f>
        <v/>
      </c>
      <c r="AN1178" s="14">
        <f>AN1177+AM1178</f>
        <v/>
      </c>
    </row>
    <row r="1179">
      <c r="A1179" s="8" t="n">
        <v>46</v>
      </c>
      <c r="B1179" s="8" t="n">
        <v>4</v>
      </c>
      <c r="C1179" s="8" t="n">
        <v>2</v>
      </c>
      <c r="D1179" s="8" t="inlineStr">
        <is>
          <t>月卡收益 [月卡续费-30元]</t>
        </is>
      </c>
      <c r="E1179" s="9">
        <f>K1178</f>
        <v/>
      </c>
      <c r="F1179" s="9" t="n">
        <v>1540</v>
      </c>
      <c r="G1179" s="9" t="n">
        <v>0</v>
      </c>
      <c r="H1179" s="9" t="n">
        <v>0</v>
      </c>
      <c r="I1179" s="9" t="n">
        <v>0</v>
      </c>
      <c r="J1179" s="9" t="n">
        <v>960</v>
      </c>
      <c r="K1179" s="9">
        <f>E1179+F1179+G1179+H1179+I1179-J1179</f>
        <v/>
      </c>
      <c r="L1179" s="10">
        <f>Q1178</f>
        <v/>
      </c>
      <c r="M1179" s="10" t="n">
        <v>0</v>
      </c>
      <c r="N1179" s="10" t="n">
        <v>3</v>
      </c>
      <c r="O1179" s="10">
        <f>J1179/160</f>
        <v/>
      </c>
      <c r="P1179" s="10" t="n">
        <v>40</v>
      </c>
      <c r="Q1179" s="10">
        <f>L1179+M1179+N1179+O1179-P1179</f>
        <v/>
      </c>
      <c r="R1179" s="11">
        <f>T1178</f>
        <v/>
      </c>
      <c r="S1179" s="11">
        <f>N(V1179) + N(X1179) + N(Z1179)</f>
        <v/>
      </c>
      <c r="T1179" s="11">
        <f>R1179+P1179-S1179</f>
        <v/>
      </c>
      <c r="U1179" s="11" t="inlineStr">
        <is>
          <t>是</t>
        </is>
      </c>
      <c r="V1179" s="11" t="n">
        <v>50</v>
      </c>
      <c r="W1179" s="11" t="inlineStr">
        <is>
          <t>否</t>
        </is>
      </c>
      <c r="X1179" s="11" t="inlineStr">
        <is>
          <t>-</t>
        </is>
      </c>
      <c r="Y1179" s="11" t="inlineStr">
        <is>
          <t>-</t>
        </is>
      </c>
      <c r="Z1179" s="11" t="n">
        <v>0</v>
      </c>
      <c r="AA1179" s="11" t="inlineStr">
        <is>
          <t>无</t>
        </is>
      </c>
      <c r="AB1179" s="12">
        <f>AE1178</f>
        <v/>
      </c>
      <c r="AC1179" s="12" t="n">
        <v>0</v>
      </c>
      <c r="AD1179" s="12" t="n">
        <v>0</v>
      </c>
      <c r="AE1179" s="12">
        <f>AB1179+AC1179+AD1179</f>
        <v/>
      </c>
      <c r="AF1179" s="13">
        <f>AI1178</f>
        <v/>
      </c>
      <c r="AG1179" s="13" t="n">
        <v>0</v>
      </c>
      <c r="AH1179" s="13" t="n">
        <v>0</v>
      </c>
      <c r="AI1179" s="13">
        <f>AF1179+AG1179+AH1179</f>
        <v/>
      </c>
      <c r="AJ1179" s="14" t="n">
        <v>30</v>
      </c>
      <c r="AK1179" s="14" t="n">
        <v>0</v>
      </c>
      <c r="AL1179" s="14" t="n">
        <v>0</v>
      </c>
      <c r="AM1179" s="14">
        <f>AJ1179+AK1179+AL1179</f>
        <v/>
      </c>
      <c r="AN1179" s="14">
        <f>AN1178+AM1179</f>
        <v/>
      </c>
    </row>
    <row r="1180">
      <c r="A1180" s="8" t="n">
        <v>46</v>
      </c>
      <c r="B1180" s="8" t="n">
        <v>5</v>
      </c>
      <c r="C1180" s="8" t="n">
        <v>1</v>
      </c>
      <c r="D1180" s="8" t="inlineStr">
        <is>
          <t>版本免费+义相逢 + 月卡收益</t>
        </is>
      </c>
      <c r="E1180" s="9">
        <f>K1179</f>
        <v/>
      </c>
      <c r="F1180" s="9" t="n">
        <v>1540</v>
      </c>
      <c r="G1180" s="9" t="n">
        <v>4800</v>
      </c>
      <c r="H1180" s="9" t="n">
        <v>0</v>
      </c>
      <c r="I1180" s="9" t="n">
        <v>0</v>
      </c>
      <c r="J1180" s="9" t="n">
        <v>0</v>
      </c>
      <c r="K1180" s="9">
        <f>E1180+F1180+G1180+H1180+I1180-J1180</f>
        <v/>
      </c>
      <c r="L1180" s="10">
        <f>Q1179</f>
        <v/>
      </c>
      <c r="M1180" s="10" t="n">
        <v>85</v>
      </c>
      <c r="N1180" s="10" t="n">
        <v>6</v>
      </c>
      <c r="O1180" s="10">
        <f>J1180/160</f>
        <v/>
      </c>
      <c r="P1180" s="10" t="n">
        <v>60</v>
      </c>
      <c r="Q1180" s="10">
        <f>L1180+M1180+N1180+O1180-P1180</f>
        <v/>
      </c>
      <c r="R1180" s="11">
        <f>T1179</f>
        <v/>
      </c>
      <c r="S1180" s="11">
        <f>N(V1180) + N(X1180) + N(Z1180)</f>
        <v/>
      </c>
      <c r="T1180" s="11">
        <f>R1180+P1180-S1180</f>
        <v/>
      </c>
      <c r="U1180" s="11" t="inlineStr">
        <is>
          <t>是</t>
        </is>
      </c>
      <c r="V1180" s="11" t="n">
        <v>48</v>
      </c>
      <c r="W1180" s="11" t="inlineStr">
        <is>
          <t>否</t>
        </is>
      </c>
      <c r="X1180" s="11" t="inlineStr">
        <is>
          <t>-</t>
        </is>
      </c>
      <c r="Y1180" s="11" t="inlineStr">
        <is>
          <t>-</t>
        </is>
      </c>
      <c r="Z1180" s="11" t="n">
        <v>0</v>
      </c>
      <c r="AA1180" s="11" t="inlineStr">
        <is>
          <t>垫到60抽</t>
        </is>
      </c>
      <c r="AB1180" s="12">
        <f>AE1179</f>
        <v/>
      </c>
      <c r="AC1180" s="12" t="n">
        <v>4</v>
      </c>
      <c r="AD1180" s="12" t="n">
        <v>0</v>
      </c>
      <c r="AE1180" s="12">
        <f>AB1180+AC1180+AD1180</f>
        <v/>
      </c>
      <c r="AF1180" s="13">
        <f>AI1179</f>
        <v/>
      </c>
      <c r="AG1180" s="13" t="n">
        <v>0</v>
      </c>
      <c r="AH1180" s="13" t="n">
        <v>0</v>
      </c>
      <c r="AI1180" s="13">
        <f>AF1180+AG1180+AH1180</f>
        <v/>
      </c>
      <c r="AJ1180" s="14" t="n">
        <v>0</v>
      </c>
      <c r="AK1180" s="14" t="n">
        <v>50</v>
      </c>
      <c r="AL1180" s="14" t="n">
        <v>0</v>
      </c>
      <c r="AM1180" s="14">
        <f>AJ1180+AK1180+AL1180</f>
        <v/>
      </c>
      <c r="AN1180" s="14">
        <f>AN1179+AM1180</f>
        <v/>
      </c>
    </row>
    <row r="1181">
      <c r="A1181" s="8" t="n">
        <v>46</v>
      </c>
      <c r="B1181" s="8" t="n">
        <v>5</v>
      </c>
      <c r="C1181" s="8" t="n">
        <v>2</v>
      </c>
      <c r="D1181" s="8" t="inlineStr">
        <is>
          <t>月卡收益 [月卡续费-30元]</t>
        </is>
      </c>
      <c r="E1181" s="9">
        <f>K1180</f>
        <v/>
      </c>
      <c r="F1181" s="9" t="n">
        <v>1540</v>
      </c>
      <c r="G1181" s="9" t="n">
        <v>0</v>
      </c>
      <c r="H1181" s="9" t="n">
        <v>0</v>
      </c>
      <c r="I1181" s="9" t="n">
        <v>0</v>
      </c>
      <c r="J1181" s="9" t="n">
        <v>9280</v>
      </c>
      <c r="K1181" s="9">
        <f>E1181+F1181+G1181+H1181+I1181-J1181</f>
        <v/>
      </c>
      <c r="L1181" s="10">
        <f>Q1180</f>
        <v/>
      </c>
      <c r="M1181" s="10" t="n">
        <v>0</v>
      </c>
      <c r="N1181" s="10" t="n">
        <v>11</v>
      </c>
      <c r="O1181" s="10">
        <f>J1181/160</f>
        <v/>
      </c>
      <c r="P1181" s="10" t="n">
        <v>100</v>
      </c>
      <c r="Q1181" s="10">
        <f>L1181+M1181+N1181+O1181-P1181</f>
        <v/>
      </c>
      <c r="R1181" s="11">
        <f>T1180</f>
        <v/>
      </c>
      <c r="S1181" s="11">
        <f>N(V1181) + N(X1181) + N(Z1181)</f>
        <v/>
      </c>
      <c r="T1181" s="11">
        <f>R1181+P1181-S1181</f>
        <v/>
      </c>
      <c r="U1181" s="11" t="inlineStr">
        <is>
          <t>是</t>
        </is>
      </c>
      <c r="V1181" s="11" t="n">
        <v>54</v>
      </c>
      <c r="W1181" s="11" t="inlineStr">
        <is>
          <t>是</t>
        </is>
      </c>
      <c r="X1181" s="11" t="n">
        <v>52</v>
      </c>
      <c r="Y1181" s="11" t="inlineStr">
        <is>
          <t>-</t>
        </is>
      </c>
      <c r="Z1181" s="11" t="n">
        <v>0</v>
      </c>
      <c r="AA1181" s="11" t="inlineStr">
        <is>
          <t>无</t>
        </is>
      </c>
      <c r="AB1181" s="12">
        <f>AE1180</f>
        <v/>
      </c>
      <c r="AC1181" s="12" t="n">
        <v>0</v>
      </c>
      <c r="AD1181" s="12" t="n">
        <v>0</v>
      </c>
      <c r="AE1181" s="12">
        <f>AB1181+AC1181+AD1181</f>
        <v/>
      </c>
      <c r="AF1181" s="13">
        <f>AI1180</f>
        <v/>
      </c>
      <c r="AG1181" s="13" t="n">
        <v>0</v>
      </c>
      <c r="AH1181" s="13" t="n">
        <v>0</v>
      </c>
      <c r="AI1181" s="13">
        <f>AF1181+AG1181+AH1181</f>
        <v/>
      </c>
      <c r="AJ1181" s="14" t="n">
        <v>30</v>
      </c>
      <c r="AK1181" s="14" t="n">
        <v>0</v>
      </c>
      <c r="AL1181" s="14" t="n">
        <v>0</v>
      </c>
      <c r="AM1181" s="14">
        <f>AJ1181+AK1181+AL1181</f>
        <v/>
      </c>
      <c r="AN1181" s="14">
        <f>AN1180+AM1181</f>
        <v/>
      </c>
    </row>
    <row r="1182">
      <c r="A1182" s="8" t="n">
        <v>46</v>
      </c>
      <c r="B1182" s="8" t="n">
        <v>6</v>
      </c>
      <c r="C1182" s="8" t="n">
        <v>1</v>
      </c>
      <c r="D1182" s="8" t="inlineStr">
        <is>
          <t>版本免费+义相逢 + 月卡收益</t>
        </is>
      </c>
      <c r="E1182" s="9">
        <f>K1181</f>
        <v/>
      </c>
      <c r="F1182" s="9" t="n">
        <v>1540</v>
      </c>
      <c r="G1182" s="9" t="n">
        <v>4800</v>
      </c>
      <c r="H1182" s="9" t="n">
        <v>0</v>
      </c>
      <c r="I1182" s="9" t="n">
        <v>0</v>
      </c>
      <c r="J1182" s="9" t="n">
        <v>0</v>
      </c>
      <c r="K1182" s="9">
        <f>E1182+F1182+G1182+H1182+I1182-J1182</f>
        <v/>
      </c>
      <c r="L1182" s="10">
        <f>Q1181</f>
        <v/>
      </c>
      <c r="M1182" s="10" t="n">
        <v>85</v>
      </c>
      <c r="N1182" s="10" t="n">
        <v>6</v>
      </c>
      <c r="O1182" s="10">
        <f>J1182/160</f>
        <v/>
      </c>
      <c r="P1182" s="10" t="n">
        <v>70</v>
      </c>
      <c r="Q1182" s="10">
        <f>L1182+M1182+N1182+O1182-P1182</f>
        <v/>
      </c>
      <c r="R1182" s="11">
        <f>T1181</f>
        <v/>
      </c>
      <c r="S1182" s="11">
        <f>N(V1182) + N(X1182) + N(Z1182)</f>
        <v/>
      </c>
      <c r="T1182" s="11">
        <f>R1182+P1182-S1182</f>
        <v/>
      </c>
      <c r="U1182" s="11" t="inlineStr">
        <is>
          <t>是</t>
        </is>
      </c>
      <c r="V1182" s="11" t="n">
        <v>51</v>
      </c>
      <c r="W1182" s="11" t="inlineStr">
        <is>
          <t>是</t>
        </is>
      </c>
      <c r="X1182" s="11" t="n">
        <v>24</v>
      </c>
      <c r="Y1182" s="11" t="inlineStr">
        <is>
          <t>-</t>
        </is>
      </c>
      <c r="Z1182" s="11" t="n">
        <v>0</v>
      </c>
      <c r="AA1182" s="11" t="inlineStr">
        <is>
          <t>无</t>
        </is>
      </c>
      <c r="AB1182" s="12">
        <f>AE1181</f>
        <v/>
      </c>
      <c r="AC1182" s="12" t="n">
        <v>4</v>
      </c>
      <c r="AD1182" s="12" t="n">
        <v>0</v>
      </c>
      <c r="AE1182" s="12">
        <f>AB1182+AC1182+AD1182</f>
        <v/>
      </c>
      <c r="AF1182" s="13">
        <f>AI1181</f>
        <v/>
      </c>
      <c r="AG1182" s="13" t="n">
        <v>0</v>
      </c>
      <c r="AH1182" s="13" t="n">
        <v>0</v>
      </c>
      <c r="AI1182" s="13">
        <f>AF1182+AG1182+AH1182</f>
        <v/>
      </c>
      <c r="AJ1182" s="14" t="n">
        <v>0</v>
      </c>
      <c r="AK1182" s="14" t="n">
        <v>50</v>
      </c>
      <c r="AL1182" s="14" t="n">
        <v>0</v>
      </c>
      <c r="AM1182" s="14">
        <f>AJ1182+AK1182+AL1182</f>
        <v/>
      </c>
      <c r="AN1182" s="14">
        <f>AN1181+AM1182</f>
        <v/>
      </c>
    </row>
    <row r="1183">
      <c r="A1183" s="8" t="n">
        <v>46</v>
      </c>
      <c r="B1183" s="8" t="n">
        <v>6</v>
      </c>
      <c r="C1183" s="8" t="n">
        <v>2</v>
      </c>
      <c r="D1183" s="8" t="inlineStr">
        <is>
          <t>月卡收益 [月卡续费-30元]</t>
        </is>
      </c>
      <c r="E1183" s="9">
        <f>K1182</f>
        <v/>
      </c>
      <c r="F1183" s="9" t="n">
        <v>1540</v>
      </c>
      <c r="G1183" s="9" t="n">
        <v>0</v>
      </c>
      <c r="H1183" s="9" t="n">
        <v>0</v>
      </c>
      <c r="I1183" s="9" t="n">
        <v>0</v>
      </c>
      <c r="J1183" s="9" t="n">
        <v>10080</v>
      </c>
      <c r="K1183" s="9">
        <f>E1183+F1183+G1183+H1183+I1183-J1183</f>
        <v/>
      </c>
      <c r="L1183" s="10">
        <f>Q1182</f>
        <v/>
      </c>
      <c r="M1183" s="10" t="n">
        <v>0</v>
      </c>
      <c r="N1183" s="10" t="n">
        <v>11</v>
      </c>
      <c r="O1183" s="10">
        <f>J1183/160</f>
        <v/>
      </c>
      <c r="P1183" s="10" t="n">
        <v>90</v>
      </c>
      <c r="Q1183" s="10">
        <f>L1183+M1183+N1183+O1183-P1183</f>
        <v/>
      </c>
      <c r="R1183" s="11">
        <f>T1182</f>
        <v/>
      </c>
      <c r="S1183" s="11">
        <f>N(V1183) + N(X1183) + N(Z1183)</f>
        <v/>
      </c>
      <c r="T1183" s="11">
        <f>R1183+P1183-S1183</f>
        <v/>
      </c>
      <c r="U1183" s="11" t="inlineStr">
        <is>
          <t>是</t>
        </is>
      </c>
      <c r="V1183" s="11" t="n">
        <v>29</v>
      </c>
      <c r="W1183" s="11" t="inlineStr">
        <is>
          <t>是</t>
        </is>
      </c>
      <c r="X1183" s="11" t="n">
        <v>49</v>
      </c>
      <c r="Y1183" s="11" t="inlineStr">
        <is>
          <t>-</t>
        </is>
      </c>
      <c r="Z1183" s="11" t="n">
        <v>0</v>
      </c>
      <c r="AA1183" s="11" t="inlineStr">
        <is>
          <t>垫到90抽</t>
        </is>
      </c>
      <c r="AB1183" s="12">
        <f>AE1182</f>
        <v/>
      </c>
      <c r="AC1183" s="12" t="n">
        <v>0</v>
      </c>
      <c r="AD1183" s="12" t="n">
        <v>0</v>
      </c>
      <c r="AE1183" s="12">
        <f>AB1183+AC1183+AD1183</f>
        <v/>
      </c>
      <c r="AF1183" s="13">
        <f>AI1182</f>
        <v/>
      </c>
      <c r="AG1183" s="13" t="n">
        <v>0</v>
      </c>
      <c r="AH1183" s="13" t="n">
        <v>0</v>
      </c>
      <c r="AI1183" s="13">
        <f>AF1183+AG1183+AH1183</f>
        <v/>
      </c>
      <c r="AJ1183" s="14" t="n">
        <v>30</v>
      </c>
      <c r="AK1183" s="14" t="n">
        <v>0</v>
      </c>
      <c r="AL1183" s="14" t="n">
        <v>0</v>
      </c>
      <c r="AM1183" s="14">
        <f>AJ1183+AK1183+AL1183</f>
        <v/>
      </c>
      <c r="AN1183" s="14">
        <f>AN1182+AM1183</f>
        <v/>
      </c>
    </row>
    <row r="1184">
      <c r="A1184" s="8" t="n">
        <v>46</v>
      </c>
      <c r="B1184" s="8" t="n">
        <v>7</v>
      </c>
      <c r="C1184" s="8" t="n">
        <v>1</v>
      </c>
      <c r="D1184" s="8" t="inlineStr">
        <is>
          <t>版本免费+义相逢 + 月卡收益</t>
        </is>
      </c>
      <c r="E1184" s="9">
        <f>K1183</f>
        <v/>
      </c>
      <c r="F1184" s="9" t="n">
        <v>1540</v>
      </c>
      <c r="G1184" s="9" t="n">
        <v>4800</v>
      </c>
      <c r="H1184" s="9" t="n">
        <v>0</v>
      </c>
      <c r="I1184" s="9" t="n">
        <v>0</v>
      </c>
      <c r="J1184" s="9" t="n">
        <v>0</v>
      </c>
      <c r="K1184" s="9">
        <f>E1184+F1184+G1184+H1184+I1184-J1184</f>
        <v/>
      </c>
      <c r="L1184" s="10">
        <f>Q1183</f>
        <v/>
      </c>
      <c r="M1184" s="10" t="n">
        <v>85</v>
      </c>
      <c r="N1184" s="10" t="n">
        <v>11</v>
      </c>
      <c r="O1184" s="10">
        <f>J1184/160</f>
        <v/>
      </c>
      <c r="P1184" s="10" t="n">
        <v>90</v>
      </c>
      <c r="Q1184" s="10">
        <f>L1184+M1184+N1184+O1184-P1184</f>
        <v/>
      </c>
      <c r="R1184" s="11">
        <f>T1183</f>
        <v/>
      </c>
      <c r="S1184" s="11">
        <f>N(V1184) + N(X1184) + N(Z1184)</f>
        <v/>
      </c>
      <c r="T1184" s="11">
        <f>R1184+P1184-S1184</f>
        <v/>
      </c>
      <c r="U1184" s="11" t="inlineStr">
        <is>
          <t>是</t>
        </is>
      </c>
      <c r="V1184" s="11" t="n">
        <v>50</v>
      </c>
      <c r="W1184" s="11" t="inlineStr">
        <is>
          <t>是</t>
        </is>
      </c>
      <c r="X1184" s="11" t="n">
        <v>48</v>
      </c>
      <c r="Y1184" s="11" t="inlineStr">
        <is>
          <t>-</t>
        </is>
      </c>
      <c r="Z1184" s="11" t="n">
        <v>0</v>
      </c>
      <c r="AA1184" s="11" t="inlineStr">
        <is>
          <t>无</t>
        </is>
      </c>
      <c r="AB1184" s="12">
        <f>AE1183</f>
        <v/>
      </c>
      <c r="AC1184" s="12" t="n">
        <v>4</v>
      </c>
      <c r="AD1184" s="12" t="n">
        <v>0</v>
      </c>
      <c r="AE1184" s="12">
        <f>AB1184+AC1184+AD1184</f>
        <v/>
      </c>
      <c r="AF1184" s="13">
        <f>AI1183</f>
        <v/>
      </c>
      <c r="AG1184" s="13" t="n">
        <v>0</v>
      </c>
      <c r="AH1184" s="13" t="n">
        <v>0</v>
      </c>
      <c r="AI1184" s="13">
        <f>AF1184+AG1184+AH1184</f>
        <v/>
      </c>
      <c r="AJ1184" s="14" t="n">
        <v>0</v>
      </c>
      <c r="AK1184" s="14" t="n">
        <v>50</v>
      </c>
      <c r="AL1184" s="14" t="n">
        <v>0</v>
      </c>
      <c r="AM1184" s="14">
        <f>AJ1184+AK1184+AL1184</f>
        <v/>
      </c>
      <c r="AN1184" s="14">
        <f>AN1183+AM1184</f>
        <v/>
      </c>
    </row>
    <row r="1185">
      <c r="A1185" s="8" t="n">
        <v>46</v>
      </c>
      <c r="B1185" s="8" t="n">
        <v>7</v>
      </c>
      <c r="C1185" s="8" t="n">
        <v>2</v>
      </c>
      <c r="D1185" s="8" t="inlineStr">
        <is>
          <t>月卡收益 [月卡续费-30元]</t>
        </is>
      </c>
      <c r="E1185" s="9">
        <f>K1184</f>
        <v/>
      </c>
      <c r="F1185" s="9" t="n">
        <v>1540</v>
      </c>
      <c r="G1185" s="9" t="n">
        <v>0</v>
      </c>
      <c r="H1185" s="9" t="n">
        <v>0</v>
      </c>
      <c r="I1185" s="9" t="n">
        <v>0</v>
      </c>
      <c r="J1185" s="9" t="n">
        <v>12480</v>
      </c>
      <c r="K1185" s="9">
        <f>E1185+F1185+G1185+H1185+I1185-J1185</f>
        <v/>
      </c>
      <c r="L1185" s="10">
        <f>Q1184</f>
        <v/>
      </c>
      <c r="M1185" s="10" t="n">
        <v>0</v>
      </c>
      <c r="N1185" s="10" t="n">
        <v>11</v>
      </c>
      <c r="O1185" s="10">
        <f>J1185/160</f>
        <v/>
      </c>
      <c r="P1185" s="10" t="n">
        <v>100</v>
      </c>
      <c r="Q1185" s="10">
        <f>L1185+M1185+N1185+O1185-P1185</f>
        <v/>
      </c>
      <c r="R1185" s="11">
        <f>T1184</f>
        <v/>
      </c>
      <c r="S1185" s="11">
        <f>N(V1185) + N(X1185) + N(Z1185)</f>
        <v/>
      </c>
      <c r="T1185" s="11">
        <f>R1185+P1185-S1185</f>
        <v/>
      </c>
      <c r="U1185" s="11" t="inlineStr">
        <is>
          <t>是</t>
        </is>
      </c>
      <c r="V1185" s="11" t="n">
        <v>54</v>
      </c>
      <c r="W1185" s="11" t="inlineStr">
        <is>
          <t>是</t>
        </is>
      </c>
      <c r="X1185" s="11" t="n">
        <v>49</v>
      </c>
      <c r="Y1185" s="11" t="inlineStr">
        <is>
          <t>-</t>
        </is>
      </c>
      <c r="Z1185" s="11" t="n">
        <v>0</v>
      </c>
      <c r="AA1185" s="11" t="inlineStr">
        <is>
          <t>无</t>
        </is>
      </c>
      <c r="AB1185" s="12">
        <f>AE1184</f>
        <v/>
      </c>
      <c r="AC1185" s="12" t="n">
        <v>0</v>
      </c>
      <c r="AD1185" s="12" t="n">
        <v>0</v>
      </c>
      <c r="AE1185" s="12">
        <f>AB1185+AC1185+AD1185</f>
        <v/>
      </c>
      <c r="AF1185" s="13">
        <f>AI1184</f>
        <v/>
      </c>
      <c r="AG1185" s="13" t="n">
        <v>0</v>
      </c>
      <c r="AH1185" s="13" t="n">
        <v>0</v>
      </c>
      <c r="AI1185" s="13">
        <f>AF1185+AG1185+AH1185</f>
        <v/>
      </c>
      <c r="AJ1185" s="14" t="n">
        <v>30</v>
      </c>
      <c r="AK1185" s="14" t="n">
        <v>0</v>
      </c>
      <c r="AL1185" s="14" t="n">
        <v>0</v>
      </c>
      <c r="AM1185" s="14">
        <f>AJ1185+AK1185+AL1185</f>
        <v/>
      </c>
      <c r="AN1185" s="14">
        <f>AN1184+AM1185</f>
        <v/>
      </c>
    </row>
    <row r="1186">
      <c r="A1186" s="8" t="n">
        <v>46</v>
      </c>
      <c r="B1186" s="8" t="n">
        <v>8</v>
      </c>
      <c r="C1186" s="8" t="n">
        <v>1</v>
      </c>
      <c r="D1186" s="8" t="inlineStr">
        <is>
          <t>版本免费+义相逢 + 月卡收益</t>
        </is>
      </c>
      <c r="E1186" s="9">
        <f>K1185</f>
        <v/>
      </c>
      <c r="F1186" s="9" t="n">
        <v>1540</v>
      </c>
      <c r="G1186" s="9" t="n">
        <v>4800</v>
      </c>
      <c r="H1186" s="9" t="n">
        <v>0</v>
      </c>
      <c r="I1186" s="9" t="n">
        <v>0</v>
      </c>
      <c r="J1186" s="9" t="n">
        <v>2240</v>
      </c>
      <c r="K1186" s="9">
        <f>E1186+F1186+G1186+H1186+I1186-J1186</f>
        <v/>
      </c>
      <c r="L1186" s="10">
        <f>Q1185</f>
        <v/>
      </c>
      <c r="M1186" s="10" t="n">
        <v>85</v>
      </c>
      <c r="N1186" s="10" t="n">
        <v>11</v>
      </c>
      <c r="O1186" s="10">
        <f>J1186/160</f>
        <v/>
      </c>
      <c r="P1186" s="10" t="n">
        <v>110</v>
      </c>
      <c r="Q1186" s="10">
        <f>L1186+M1186+N1186+O1186-P1186</f>
        <v/>
      </c>
      <c r="R1186" s="11">
        <f>T1185</f>
        <v/>
      </c>
      <c r="S1186" s="11">
        <f>N(V1186) + N(X1186) + N(Z1186)</f>
        <v/>
      </c>
      <c r="T1186" s="11">
        <f>R1186+P1186-S1186</f>
        <v/>
      </c>
      <c r="U1186" s="11" t="inlineStr">
        <is>
          <t>是</t>
        </is>
      </c>
      <c r="V1186" s="11" t="n">
        <v>51</v>
      </c>
      <c r="W1186" s="11" t="inlineStr">
        <is>
          <t>是</t>
        </is>
      </c>
      <c r="X1186" s="11" t="n">
        <v>56</v>
      </c>
      <c r="Y1186" s="11" t="inlineStr">
        <is>
          <t>-</t>
        </is>
      </c>
      <c r="Z1186" s="11" t="n">
        <v>0</v>
      </c>
      <c r="AA1186" s="11" t="inlineStr">
        <is>
          <t>无</t>
        </is>
      </c>
      <c r="AB1186" s="12">
        <f>AE1185</f>
        <v/>
      </c>
      <c r="AC1186" s="12" t="n">
        <v>4</v>
      </c>
      <c r="AD1186" s="12" t="n">
        <v>0</v>
      </c>
      <c r="AE1186" s="12">
        <f>AB1186+AC1186+AD1186</f>
        <v/>
      </c>
      <c r="AF1186" s="13">
        <f>AI1185</f>
        <v/>
      </c>
      <c r="AG1186" s="13" t="n">
        <v>0</v>
      </c>
      <c r="AH1186" s="13" t="n">
        <v>0</v>
      </c>
      <c r="AI1186" s="13">
        <f>AF1186+AG1186+AH1186</f>
        <v/>
      </c>
      <c r="AJ1186" s="14" t="n">
        <v>0</v>
      </c>
      <c r="AK1186" s="14" t="n">
        <v>50</v>
      </c>
      <c r="AL1186" s="14" t="n">
        <v>0</v>
      </c>
      <c r="AM1186" s="14">
        <f>AJ1186+AK1186+AL1186</f>
        <v/>
      </c>
      <c r="AN1186" s="14">
        <f>AN1185+AM1186</f>
        <v/>
      </c>
    </row>
    <row r="1187">
      <c r="A1187" s="8" t="n">
        <v>46</v>
      </c>
      <c r="B1187" s="8" t="n">
        <v>8</v>
      </c>
      <c r="C1187" s="8" t="n">
        <v>2</v>
      </c>
      <c r="D1187" s="8" t="inlineStr">
        <is>
          <t>月卡收益</t>
        </is>
      </c>
      <c r="E1187" s="9">
        <f>K1186</f>
        <v/>
      </c>
      <c r="F1187" s="9" t="n">
        <v>1540</v>
      </c>
      <c r="G1187" s="9" t="n">
        <v>0</v>
      </c>
      <c r="H1187" s="9" t="n">
        <v>0</v>
      </c>
      <c r="I1187" s="9" t="n">
        <v>0</v>
      </c>
      <c r="J1187" s="9" t="n">
        <v>14240</v>
      </c>
      <c r="K1187" s="9">
        <f>E1187+F1187+G1187+H1187+I1187-J1187</f>
        <v/>
      </c>
      <c r="L1187" s="10">
        <f>Q1186</f>
        <v/>
      </c>
      <c r="M1187" s="10" t="n">
        <v>0</v>
      </c>
      <c r="N1187" s="10" t="n">
        <v>11</v>
      </c>
      <c r="O1187" s="10">
        <f>J1187/160</f>
        <v/>
      </c>
      <c r="P1187" s="10" t="n">
        <v>100</v>
      </c>
      <c r="Q1187" s="10">
        <f>L1187+M1187+N1187+O1187-P1187</f>
        <v/>
      </c>
      <c r="R1187" s="11">
        <f>T1186</f>
        <v/>
      </c>
      <c r="S1187" s="11">
        <f>N(V1187) + N(X1187) + N(Z1187)</f>
        <v/>
      </c>
      <c r="T1187" s="11">
        <f>R1187+P1187-S1187</f>
        <v/>
      </c>
      <c r="U1187" s="11" t="inlineStr">
        <is>
          <t>是</t>
        </is>
      </c>
      <c r="V1187" s="11" t="n">
        <v>52</v>
      </c>
      <c r="W1187" s="11" t="inlineStr">
        <is>
          <t>是</t>
        </is>
      </c>
      <c r="X1187" s="11" t="n">
        <v>50</v>
      </c>
      <c r="Y1187" s="11" t="inlineStr">
        <is>
          <t>-</t>
        </is>
      </c>
      <c r="Z1187" s="11" t="n">
        <v>0</v>
      </c>
      <c r="AA1187" s="11" t="inlineStr">
        <is>
          <t>无</t>
        </is>
      </c>
      <c r="AB1187" s="12">
        <f>AE1186</f>
        <v/>
      </c>
      <c r="AC1187" s="12" t="n">
        <v>0</v>
      </c>
      <c r="AD1187" s="12" t="n">
        <v>0</v>
      </c>
      <c r="AE1187" s="12">
        <f>AB1187+AC1187+AD1187</f>
        <v/>
      </c>
      <c r="AF1187" s="13">
        <f>AI1186</f>
        <v/>
      </c>
      <c r="AG1187" s="13" t="n">
        <v>0</v>
      </c>
      <c r="AH1187" s="13" t="n">
        <v>0</v>
      </c>
      <c r="AI1187" s="13">
        <f>AF1187+AG1187+AH1187</f>
        <v/>
      </c>
      <c r="AJ1187" s="14" t="n">
        <v>0</v>
      </c>
      <c r="AK1187" s="14" t="n">
        <v>0</v>
      </c>
      <c r="AL1187" s="14" t="n">
        <v>0</v>
      </c>
      <c r="AM1187" s="14">
        <f>AJ1187+AK1187+AL1187</f>
        <v/>
      </c>
      <c r="AN1187" s="14">
        <f>AN1186+AM1187</f>
        <v/>
      </c>
    </row>
    <row r="1188">
      <c r="A1188" s="8" t="n">
        <v>46</v>
      </c>
      <c r="B1188" s="8" t="n">
        <v>9</v>
      </c>
      <c r="C1188" s="8" t="n">
        <v>1</v>
      </c>
      <c r="D1188" s="8" t="inlineStr">
        <is>
          <t>版本免费+义相逢 + 月卡收益 [月卡续费-30元]</t>
        </is>
      </c>
      <c r="E1188" s="9">
        <f>K1187</f>
        <v/>
      </c>
      <c r="F1188" s="9" t="n">
        <v>1540</v>
      </c>
      <c r="G1188" s="9" t="n">
        <v>4800</v>
      </c>
      <c r="H1188" s="9" t="n">
        <v>0</v>
      </c>
      <c r="I1188" s="9" t="n">
        <v>0</v>
      </c>
      <c r="J1188" s="9" t="n">
        <v>0</v>
      </c>
      <c r="K1188" s="9">
        <f>E1188+F1188+G1188+H1188+I1188-J1188</f>
        <v/>
      </c>
      <c r="L1188" s="10">
        <f>Q1187</f>
        <v/>
      </c>
      <c r="M1188" s="10" t="n">
        <v>85</v>
      </c>
      <c r="N1188" s="10" t="n">
        <v>11</v>
      </c>
      <c r="O1188" s="10">
        <f>J1188/160</f>
        <v/>
      </c>
      <c r="P1188" s="10" t="n">
        <v>90</v>
      </c>
      <c r="Q1188" s="10">
        <f>L1188+M1188+N1188+O1188-P1188</f>
        <v/>
      </c>
      <c r="R1188" s="11">
        <f>T1187</f>
        <v/>
      </c>
      <c r="S1188" s="11">
        <f>N(V1188) + N(X1188) + N(Z1188)</f>
        <v/>
      </c>
      <c r="T1188" s="11">
        <f>R1188+P1188-S1188</f>
        <v/>
      </c>
      <c r="U1188" s="11" t="inlineStr">
        <is>
          <t>是</t>
        </is>
      </c>
      <c r="V1188" s="11" t="n">
        <v>51</v>
      </c>
      <c r="W1188" s="11" t="inlineStr">
        <is>
          <t>是</t>
        </is>
      </c>
      <c r="X1188" s="11" t="n">
        <v>36</v>
      </c>
      <c r="Y1188" s="11" t="inlineStr">
        <is>
          <t>-</t>
        </is>
      </c>
      <c r="Z1188" s="11" t="n">
        <v>0</v>
      </c>
      <c r="AA1188" s="11" t="inlineStr">
        <is>
          <t>无</t>
        </is>
      </c>
      <c r="AB1188" s="12">
        <f>AE1187</f>
        <v/>
      </c>
      <c r="AC1188" s="12" t="n">
        <v>4</v>
      </c>
      <c r="AD1188" s="12" t="n">
        <v>0</v>
      </c>
      <c r="AE1188" s="12">
        <f>AB1188+AC1188+AD1188</f>
        <v/>
      </c>
      <c r="AF1188" s="13">
        <f>AI1187</f>
        <v/>
      </c>
      <c r="AG1188" s="13" t="n">
        <v>0</v>
      </c>
      <c r="AH1188" s="13" t="n">
        <v>0</v>
      </c>
      <c r="AI1188" s="13">
        <f>AF1188+AG1188+AH1188</f>
        <v/>
      </c>
      <c r="AJ1188" s="14" t="n">
        <v>30</v>
      </c>
      <c r="AK1188" s="14" t="n">
        <v>50</v>
      </c>
      <c r="AL1188" s="14" t="n">
        <v>0</v>
      </c>
      <c r="AM1188" s="14">
        <f>AJ1188+AK1188+AL1188</f>
        <v/>
      </c>
      <c r="AN1188" s="14">
        <f>AN1187+AM1188</f>
        <v/>
      </c>
    </row>
    <row r="1189">
      <c r="A1189" s="8" t="n">
        <v>46</v>
      </c>
      <c r="B1189" s="8" t="n">
        <v>9</v>
      </c>
      <c r="C1189" s="8" t="n">
        <v>2</v>
      </c>
      <c r="D1189" s="8" t="inlineStr">
        <is>
          <t>月卡收益</t>
        </is>
      </c>
      <c r="E1189" s="9">
        <f>K1188</f>
        <v/>
      </c>
      <c r="F1189" s="9" t="n">
        <v>1540</v>
      </c>
      <c r="G1189" s="9" t="n">
        <v>0</v>
      </c>
      <c r="H1189" s="9" t="n">
        <v>0</v>
      </c>
      <c r="I1189" s="9" t="n">
        <v>0</v>
      </c>
      <c r="J1189" s="9" t="n">
        <v>8160</v>
      </c>
      <c r="K1189" s="9">
        <f>E1189+F1189+G1189+H1189+I1189-J1189</f>
        <v/>
      </c>
      <c r="L1189" s="10">
        <f>Q1188</f>
        <v/>
      </c>
      <c r="M1189" s="10" t="n">
        <v>0</v>
      </c>
      <c r="N1189" s="10" t="n">
        <v>6</v>
      </c>
      <c r="O1189" s="10">
        <f>J1189/160</f>
        <v/>
      </c>
      <c r="P1189" s="10" t="n">
        <v>60</v>
      </c>
      <c r="Q1189" s="10">
        <f>L1189+M1189+N1189+O1189-P1189</f>
        <v/>
      </c>
      <c r="R1189" s="11">
        <f>T1188</f>
        <v/>
      </c>
      <c r="S1189" s="11">
        <f>N(V1189) + N(X1189) + N(Z1189)</f>
        <v/>
      </c>
      <c r="T1189" s="11">
        <f>R1189+P1189-S1189</f>
        <v/>
      </c>
      <c r="U1189" s="11" t="inlineStr">
        <is>
          <t>是</t>
        </is>
      </c>
      <c r="V1189" s="11" t="n">
        <v>50</v>
      </c>
      <c r="W1189" s="11" t="inlineStr">
        <is>
          <t>否</t>
        </is>
      </c>
      <c r="X1189" s="11" t="inlineStr">
        <is>
          <t>-</t>
        </is>
      </c>
      <c r="Y1189" s="11" t="inlineStr">
        <is>
          <t>-</t>
        </is>
      </c>
      <c r="Z1189" s="11" t="n">
        <v>0</v>
      </c>
      <c r="AA1189" s="11" t="inlineStr">
        <is>
          <t>垫到60抽</t>
        </is>
      </c>
      <c r="AB1189" s="12">
        <f>AE1188</f>
        <v/>
      </c>
      <c r="AC1189" s="12" t="n">
        <v>0</v>
      </c>
      <c r="AD1189" s="12" t="n">
        <v>0</v>
      </c>
      <c r="AE1189" s="12">
        <f>AB1189+AC1189+AD1189</f>
        <v/>
      </c>
      <c r="AF1189" s="13">
        <f>AI1188</f>
        <v/>
      </c>
      <c r="AG1189" s="13" t="n">
        <v>0</v>
      </c>
      <c r="AH1189" s="13" t="n">
        <v>0</v>
      </c>
      <c r="AI1189" s="13">
        <f>AF1189+AG1189+AH1189</f>
        <v/>
      </c>
      <c r="AJ1189" s="14" t="n">
        <v>0</v>
      </c>
      <c r="AK1189" s="14" t="n">
        <v>0</v>
      </c>
      <c r="AL1189" s="14" t="n">
        <v>0</v>
      </c>
      <c r="AM1189" s="14">
        <f>AJ1189+AK1189+AL1189</f>
        <v/>
      </c>
      <c r="AN1189" s="14">
        <f>AN1188+AM1189</f>
        <v/>
      </c>
    </row>
    <row r="1190">
      <c r="A1190" s="8" t="n">
        <v>46</v>
      </c>
      <c r="B1190" s="8" t="n">
        <v>10</v>
      </c>
      <c r="C1190" s="8" t="n">
        <v>1</v>
      </c>
      <c r="D1190" s="8" t="inlineStr">
        <is>
          <t>版本免费+义相逢 + 月卡收益 [月卡续费-30元]</t>
        </is>
      </c>
      <c r="E1190" s="9">
        <f>K1189</f>
        <v/>
      </c>
      <c r="F1190" s="9" t="n">
        <v>1540</v>
      </c>
      <c r="G1190" s="9" t="n">
        <v>4800</v>
      </c>
      <c r="H1190" s="9" t="n">
        <v>0</v>
      </c>
      <c r="I1190" s="9" t="n">
        <v>0</v>
      </c>
      <c r="J1190" s="9" t="n">
        <v>0</v>
      </c>
      <c r="K1190" s="9">
        <f>E1190+F1190+G1190+H1190+I1190-J1190</f>
        <v/>
      </c>
      <c r="L1190" s="10">
        <f>Q1189</f>
        <v/>
      </c>
      <c r="M1190" s="10" t="n">
        <v>85</v>
      </c>
      <c r="N1190" s="10" t="n">
        <v>11</v>
      </c>
      <c r="O1190" s="10">
        <f>J1190/160</f>
        <v/>
      </c>
      <c r="P1190" s="10" t="n">
        <v>90</v>
      </c>
      <c r="Q1190" s="10">
        <f>L1190+M1190+N1190+O1190-P1190</f>
        <v/>
      </c>
      <c r="R1190" s="11">
        <f>T1189</f>
        <v/>
      </c>
      <c r="S1190" s="11">
        <f>N(V1190) + N(X1190) + N(Z1190)</f>
        <v/>
      </c>
      <c r="T1190" s="11">
        <f>R1190+P1190-S1190</f>
        <v/>
      </c>
      <c r="U1190" s="11" t="inlineStr">
        <is>
          <t>是</t>
        </is>
      </c>
      <c r="V1190" s="11" t="n">
        <v>50</v>
      </c>
      <c r="W1190" s="11" t="inlineStr">
        <is>
          <t>是</t>
        </is>
      </c>
      <c r="X1190" s="11" t="n">
        <v>49</v>
      </c>
      <c r="Y1190" s="11" t="inlineStr">
        <is>
          <t>-</t>
        </is>
      </c>
      <c r="Z1190" s="11" t="n">
        <v>0</v>
      </c>
      <c r="AA1190" s="11" t="inlineStr">
        <is>
          <t>垫到90抽</t>
        </is>
      </c>
      <c r="AB1190" s="12">
        <f>AE1189</f>
        <v/>
      </c>
      <c r="AC1190" s="12" t="n">
        <v>4</v>
      </c>
      <c r="AD1190" s="12" t="n">
        <v>0</v>
      </c>
      <c r="AE1190" s="12">
        <f>AB1190+AC1190+AD1190</f>
        <v/>
      </c>
      <c r="AF1190" s="13">
        <f>AI1189</f>
        <v/>
      </c>
      <c r="AG1190" s="13" t="n">
        <v>0</v>
      </c>
      <c r="AH1190" s="13" t="n">
        <v>0</v>
      </c>
      <c r="AI1190" s="13">
        <f>AF1190+AG1190+AH1190</f>
        <v/>
      </c>
      <c r="AJ1190" s="14" t="n">
        <v>30</v>
      </c>
      <c r="AK1190" s="14" t="n">
        <v>50</v>
      </c>
      <c r="AL1190" s="14" t="n">
        <v>0</v>
      </c>
      <c r="AM1190" s="14">
        <f>AJ1190+AK1190+AL1190</f>
        <v/>
      </c>
      <c r="AN1190" s="14">
        <f>AN1189+AM1190</f>
        <v/>
      </c>
    </row>
    <row r="1191">
      <c r="A1191" s="8" t="n">
        <v>46</v>
      </c>
      <c r="B1191" s="8" t="n">
        <v>10</v>
      </c>
      <c r="C1191" s="8" t="n">
        <v>2</v>
      </c>
      <c r="D1191" s="8" t="inlineStr">
        <is>
          <t>月卡收益</t>
        </is>
      </c>
      <c r="E1191" s="9">
        <f>K1190</f>
        <v/>
      </c>
      <c r="F1191" s="9" t="n">
        <v>1540</v>
      </c>
      <c r="G1191" s="9" t="n">
        <v>0</v>
      </c>
      <c r="H1191" s="9" t="n">
        <v>0</v>
      </c>
      <c r="I1191" s="9" t="n">
        <v>0</v>
      </c>
      <c r="J1191" s="9" t="n">
        <v>4480</v>
      </c>
      <c r="K1191" s="9">
        <f>E1191+F1191+G1191+H1191+I1191-J1191</f>
        <v/>
      </c>
      <c r="L1191" s="10">
        <f>Q1190</f>
        <v/>
      </c>
      <c r="M1191" s="10" t="n">
        <v>0</v>
      </c>
      <c r="N1191" s="10" t="n">
        <v>3</v>
      </c>
      <c r="O1191" s="10">
        <f>J1191/160</f>
        <v/>
      </c>
      <c r="P1191" s="10" t="n">
        <v>40</v>
      </c>
      <c r="Q1191" s="10">
        <f>L1191+M1191+N1191+O1191-P1191</f>
        <v/>
      </c>
      <c r="R1191" s="11">
        <f>T1190</f>
        <v/>
      </c>
      <c r="S1191" s="11">
        <f>N(V1191) + N(X1191) + N(Z1191)</f>
        <v/>
      </c>
      <c r="T1191" s="11">
        <f>R1191+P1191-S1191</f>
        <v/>
      </c>
      <c r="U1191" s="11" t="inlineStr">
        <is>
          <t>是</t>
        </is>
      </c>
      <c r="V1191" s="11" t="n">
        <v>48</v>
      </c>
      <c r="W1191" s="11" t="inlineStr">
        <is>
          <t>否</t>
        </is>
      </c>
      <c r="X1191" s="11" t="inlineStr">
        <is>
          <t>-</t>
        </is>
      </c>
      <c r="Y1191" s="11" t="inlineStr">
        <is>
          <t>-</t>
        </is>
      </c>
      <c r="Z1191" s="11" t="n">
        <v>0</v>
      </c>
      <c r="AA1191" s="11" t="inlineStr">
        <is>
          <t>无</t>
        </is>
      </c>
      <c r="AB1191" s="12">
        <f>AE1190</f>
        <v/>
      </c>
      <c r="AC1191" s="12" t="n">
        <v>0</v>
      </c>
      <c r="AD1191" s="12" t="n">
        <v>0</v>
      </c>
      <c r="AE1191" s="12">
        <f>AB1191+AC1191+AD1191</f>
        <v/>
      </c>
      <c r="AF1191" s="13">
        <f>AI1190</f>
        <v/>
      </c>
      <c r="AG1191" s="13" t="n">
        <v>0</v>
      </c>
      <c r="AH1191" s="13" t="n">
        <v>0</v>
      </c>
      <c r="AI1191" s="13">
        <f>AF1191+AG1191+AH1191</f>
        <v/>
      </c>
      <c r="AJ1191" s="14" t="n">
        <v>0</v>
      </c>
      <c r="AK1191" s="14" t="n">
        <v>0</v>
      </c>
      <c r="AL1191" s="14" t="n">
        <v>0</v>
      </c>
      <c r="AM1191" s="14">
        <f>AJ1191+AK1191+AL1191</f>
        <v/>
      </c>
      <c r="AN1191" s="14">
        <f>AN1190+AM1191</f>
        <v/>
      </c>
    </row>
    <row r="1192">
      <c r="A1192" s="8" t="n">
        <v>46</v>
      </c>
      <c r="B1192" s="8" t="n">
        <v>11</v>
      </c>
      <c r="C1192" s="8" t="n">
        <v>1</v>
      </c>
      <c r="D1192" s="8" t="inlineStr">
        <is>
          <t>版本免费+义相逢 + 月卡收益 [月卡续费-30元]</t>
        </is>
      </c>
      <c r="E1192" s="9">
        <f>K1191</f>
        <v/>
      </c>
      <c r="F1192" s="9" t="n">
        <v>1540</v>
      </c>
      <c r="G1192" s="9" t="n">
        <v>4800</v>
      </c>
      <c r="H1192" s="9" t="n">
        <v>0</v>
      </c>
      <c r="I1192" s="9" t="n">
        <v>0</v>
      </c>
      <c r="J1192" s="9" t="n">
        <v>0</v>
      </c>
      <c r="K1192" s="9">
        <f>E1192+F1192+G1192+H1192+I1192-J1192</f>
        <v/>
      </c>
      <c r="L1192" s="10">
        <f>Q1191</f>
        <v/>
      </c>
      <c r="M1192" s="10" t="n">
        <v>85</v>
      </c>
      <c r="N1192" s="10" t="n">
        <v>6</v>
      </c>
      <c r="O1192" s="10">
        <f>J1192/160</f>
        <v/>
      </c>
      <c r="P1192" s="10" t="n">
        <v>60</v>
      </c>
      <c r="Q1192" s="10">
        <f>L1192+M1192+N1192+O1192-P1192</f>
        <v/>
      </c>
      <c r="R1192" s="11">
        <f>T1191</f>
        <v/>
      </c>
      <c r="S1192" s="11">
        <f>N(V1192) + N(X1192) + N(Z1192)</f>
        <v/>
      </c>
      <c r="T1192" s="11">
        <f>R1192+P1192-S1192</f>
        <v/>
      </c>
      <c r="U1192" s="11" t="inlineStr">
        <is>
          <t>是</t>
        </is>
      </c>
      <c r="V1192" s="11" t="n">
        <v>50</v>
      </c>
      <c r="W1192" s="11" t="inlineStr">
        <is>
          <t>否</t>
        </is>
      </c>
      <c r="X1192" s="11" t="inlineStr">
        <is>
          <t>-</t>
        </is>
      </c>
      <c r="Y1192" s="11" t="inlineStr">
        <is>
          <t>-</t>
        </is>
      </c>
      <c r="Z1192" s="11" t="n">
        <v>0</v>
      </c>
      <c r="AA1192" s="11" t="inlineStr">
        <is>
          <t>垫到60抽</t>
        </is>
      </c>
      <c r="AB1192" s="12">
        <f>AE1191</f>
        <v/>
      </c>
      <c r="AC1192" s="12" t="n">
        <v>4</v>
      </c>
      <c r="AD1192" s="12" t="n">
        <v>0</v>
      </c>
      <c r="AE1192" s="12">
        <f>AB1192+AC1192+AD1192</f>
        <v/>
      </c>
      <c r="AF1192" s="13">
        <f>AI1191</f>
        <v/>
      </c>
      <c r="AG1192" s="13" t="n">
        <v>0</v>
      </c>
      <c r="AH1192" s="13" t="n">
        <v>0</v>
      </c>
      <c r="AI1192" s="13">
        <f>AF1192+AG1192+AH1192</f>
        <v/>
      </c>
      <c r="AJ1192" s="14" t="n">
        <v>30</v>
      </c>
      <c r="AK1192" s="14" t="n">
        <v>50</v>
      </c>
      <c r="AL1192" s="14" t="n">
        <v>0</v>
      </c>
      <c r="AM1192" s="14">
        <f>AJ1192+AK1192+AL1192</f>
        <v/>
      </c>
      <c r="AN1192" s="14">
        <f>AN1191+AM1192</f>
        <v/>
      </c>
    </row>
    <row r="1193">
      <c r="A1193" s="8" t="n">
        <v>46</v>
      </c>
      <c r="B1193" s="8" t="n">
        <v>11</v>
      </c>
      <c r="C1193" s="8" t="n">
        <v>2</v>
      </c>
      <c r="D1193" s="8" t="inlineStr">
        <is>
          <t>月卡收益</t>
        </is>
      </c>
      <c r="E1193" s="9">
        <f>K1192</f>
        <v/>
      </c>
      <c r="F1193" s="9" t="n">
        <v>1540</v>
      </c>
      <c r="G1193" s="9" t="n">
        <v>0</v>
      </c>
      <c r="H1193" s="9" t="n">
        <v>0</v>
      </c>
      <c r="I1193" s="9" t="n">
        <v>0</v>
      </c>
      <c r="J1193" s="9" t="n">
        <v>960</v>
      </c>
      <c r="K1193" s="9">
        <f>E1193+F1193+G1193+H1193+I1193-J1193</f>
        <v/>
      </c>
      <c r="L1193" s="10">
        <f>Q1192</f>
        <v/>
      </c>
      <c r="M1193" s="10" t="n">
        <v>0</v>
      </c>
      <c r="N1193" s="10" t="n">
        <v>3</v>
      </c>
      <c r="O1193" s="10">
        <f>J1193/160</f>
        <v/>
      </c>
      <c r="P1193" s="10" t="n">
        <v>40</v>
      </c>
      <c r="Q1193" s="10">
        <f>L1193+M1193+N1193+O1193-P1193</f>
        <v/>
      </c>
      <c r="R1193" s="11">
        <f>T1192</f>
        <v/>
      </c>
      <c r="S1193" s="11">
        <f>N(V1193) + N(X1193) + N(Z1193)</f>
        <v/>
      </c>
      <c r="T1193" s="11">
        <f>R1193+P1193-S1193</f>
        <v/>
      </c>
      <c r="U1193" s="11" t="inlineStr">
        <is>
          <t>是</t>
        </is>
      </c>
      <c r="V1193" s="11" t="n">
        <v>50</v>
      </c>
      <c r="W1193" s="11" t="inlineStr">
        <is>
          <t>否</t>
        </is>
      </c>
      <c r="X1193" s="11" t="inlineStr">
        <is>
          <t>-</t>
        </is>
      </c>
      <c r="Y1193" s="11" t="inlineStr">
        <is>
          <t>-</t>
        </is>
      </c>
      <c r="Z1193" s="11" t="n">
        <v>0</v>
      </c>
      <c r="AA1193" s="11" t="inlineStr">
        <is>
          <t>无</t>
        </is>
      </c>
      <c r="AB1193" s="12">
        <f>AE1192</f>
        <v/>
      </c>
      <c r="AC1193" s="12" t="n">
        <v>0</v>
      </c>
      <c r="AD1193" s="12" t="n">
        <v>0</v>
      </c>
      <c r="AE1193" s="12">
        <f>AB1193+AC1193+AD1193</f>
        <v/>
      </c>
      <c r="AF1193" s="13">
        <f>AI1192</f>
        <v/>
      </c>
      <c r="AG1193" s="13" t="n">
        <v>0</v>
      </c>
      <c r="AH1193" s="13" t="n">
        <v>0</v>
      </c>
      <c r="AI1193" s="13">
        <f>AF1193+AG1193+AH1193</f>
        <v/>
      </c>
      <c r="AJ1193" s="14" t="n">
        <v>0</v>
      </c>
      <c r="AK1193" s="14" t="n">
        <v>0</v>
      </c>
      <c r="AL1193" s="14" t="n">
        <v>0</v>
      </c>
      <c r="AM1193" s="14">
        <f>AJ1193+AK1193+AL1193</f>
        <v/>
      </c>
      <c r="AN1193" s="14">
        <f>AN1192+AM1193</f>
        <v/>
      </c>
    </row>
    <row r="1194">
      <c r="A1194" s="8" t="n">
        <v>46</v>
      </c>
      <c r="B1194" s="8" t="n">
        <v>12</v>
      </c>
      <c r="C1194" s="8" t="n">
        <v>1</v>
      </c>
      <c r="D1194" s="8" t="inlineStr">
        <is>
          <t>版本免费+义相逢 + 月卡收益 [月卡续费-30元]</t>
        </is>
      </c>
      <c r="E1194" s="9">
        <f>K1193</f>
        <v/>
      </c>
      <c r="F1194" s="9" t="n">
        <v>1540</v>
      </c>
      <c r="G1194" s="9" t="n">
        <v>4800</v>
      </c>
      <c r="H1194" s="9" t="n">
        <v>0</v>
      </c>
      <c r="I1194" s="9" t="n">
        <v>0</v>
      </c>
      <c r="J1194" s="9" t="n">
        <v>0</v>
      </c>
      <c r="K1194" s="9">
        <f>E1194+F1194+G1194+H1194+I1194-J1194</f>
        <v/>
      </c>
      <c r="L1194" s="10">
        <f>Q1193</f>
        <v/>
      </c>
      <c r="M1194" s="10" t="n">
        <v>85</v>
      </c>
      <c r="N1194" s="10" t="n">
        <v>6</v>
      </c>
      <c r="O1194" s="10">
        <f>J1194/160</f>
        <v/>
      </c>
      <c r="P1194" s="10" t="n">
        <v>60</v>
      </c>
      <c r="Q1194" s="10">
        <f>L1194+M1194+N1194+O1194-P1194</f>
        <v/>
      </c>
      <c r="R1194" s="11">
        <f>T1193</f>
        <v/>
      </c>
      <c r="S1194" s="11">
        <f>N(V1194) + N(X1194) + N(Z1194)</f>
        <v/>
      </c>
      <c r="T1194" s="11">
        <f>R1194+P1194-S1194</f>
        <v/>
      </c>
      <c r="U1194" s="11" t="inlineStr">
        <is>
          <t>是</t>
        </is>
      </c>
      <c r="V1194" s="11" t="n">
        <v>53</v>
      </c>
      <c r="W1194" s="11" t="inlineStr">
        <is>
          <t>否</t>
        </is>
      </c>
      <c r="X1194" s="11" t="inlineStr">
        <is>
          <t>-</t>
        </is>
      </c>
      <c r="Y1194" s="11" t="inlineStr">
        <is>
          <t>-</t>
        </is>
      </c>
      <c r="Z1194" s="11" t="n">
        <v>0</v>
      </c>
      <c r="AA1194" s="11" t="inlineStr">
        <is>
          <t>无</t>
        </is>
      </c>
      <c r="AB1194" s="12">
        <f>AE1193</f>
        <v/>
      </c>
      <c r="AC1194" s="12" t="n">
        <v>4</v>
      </c>
      <c r="AD1194" s="12" t="n">
        <v>0</v>
      </c>
      <c r="AE1194" s="12">
        <f>AB1194+AC1194+AD1194</f>
        <v/>
      </c>
      <c r="AF1194" s="13">
        <f>AI1193</f>
        <v/>
      </c>
      <c r="AG1194" s="13" t="n">
        <v>0</v>
      </c>
      <c r="AH1194" s="13" t="n">
        <v>0</v>
      </c>
      <c r="AI1194" s="13">
        <f>AF1194+AG1194+AH1194</f>
        <v/>
      </c>
      <c r="AJ1194" s="14" t="n">
        <v>30</v>
      </c>
      <c r="AK1194" s="14" t="n">
        <v>50</v>
      </c>
      <c r="AL1194" s="14" t="n">
        <v>0</v>
      </c>
      <c r="AM1194" s="14">
        <f>AJ1194+AK1194+AL1194</f>
        <v/>
      </c>
      <c r="AN1194" s="14">
        <f>AN1193+AM1194</f>
        <v/>
      </c>
    </row>
    <row r="1195">
      <c r="A1195" s="8" t="n">
        <v>46</v>
      </c>
      <c r="B1195" s="8" t="n">
        <v>12</v>
      </c>
      <c r="C1195" s="8" t="n">
        <v>2</v>
      </c>
      <c r="D1195" s="8" t="inlineStr">
        <is>
          <t>月卡收益</t>
        </is>
      </c>
      <c r="E1195" s="9">
        <f>K1194</f>
        <v/>
      </c>
      <c r="F1195" s="9" t="n">
        <v>1540</v>
      </c>
      <c r="G1195" s="9" t="n">
        <v>0</v>
      </c>
      <c r="H1195" s="9" t="n">
        <v>0</v>
      </c>
      <c r="I1195" s="9" t="n">
        <v>0</v>
      </c>
      <c r="J1195" s="9" t="n">
        <v>960</v>
      </c>
      <c r="K1195" s="9">
        <f>E1195+F1195+G1195+H1195+I1195-J1195</f>
        <v/>
      </c>
      <c r="L1195" s="10">
        <f>Q1194</f>
        <v/>
      </c>
      <c r="M1195" s="10" t="n">
        <v>0</v>
      </c>
      <c r="N1195" s="10" t="n">
        <v>3</v>
      </c>
      <c r="O1195" s="10">
        <f>J1195/160</f>
        <v/>
      </c>
      <c r="P1195" s="10" t="n">
        <v>40</v>
      </c>
      <c r="Q1195" s="10">
        <f>L1195+M1195+N1195+O1195-P1195</f>
        <v/>
      </c>
      <c r="R1195" s="11">
        <f>T1194</f>
        <v/>
      </c>
      <c r="S1195" s="11">
        <f>N(V1195) + N(X1195) + N(Z1195)</f>
        <v/>
      </c>
      <c r="T1195" s="11">
        <f>R1195+P1195-S1195</f>
        <v/>
      </c>
      <c r="U1195" s="11" t="inlineStr">
        <is>
          <t>是</t>
        </is>
      </c>
      <c r="V1195" s="11" t="n">
        <v>49</v>
      </c>
      <c r="W1195" s="11" t="inlineStr">
        <is>
          <t>否</t>
        </is>
      </c>
      <c r="X1195" s="11" t="inlineStr">
        <is>
          <t>-</t>
        </is>
      </c>
      <c r="Y1195" s="11" t="inlineStr">
        <is>
          <t>-</t>
        </is>
      </c>
      <c r="Z1195" s="11" t="n">
        <v>0</v>
      </c>
      <c r="AA1195" s="11" t="inlineStr">
        <is>
          <t>无</t>
        </is>
      </c>
      <c r="AB1195" s="12">
        <f>AE1194</f>
        <v/>
      </c>
      <c r="AC1195" s="12" t="n">
        <v>0</v>
      </c>
      <c r="AD1195" s="12" t="n">
        <v>0</v>
      </c>
      <c r="AE1195" s="12">
        <f>AB1195+AC1195+AD1195</f>
        <v/>
      </c>
      <c r="AF1195" s="13">
        <f>AI1194</f>
        <v/>
      </c>
      <c r="AG1195" s="13" t="n">
        <v>0</v>
      </c>
      <c r="AH1195" s="13" t="n">
        <v>0</v>
      </c>
      <c r="AI1195" s="13">
        <f>AF1195+AG1195+AH1195</f>
        <v/>
      </c>
      <c r="AJ1195" s="14" t="n">
        <v>0</v>
      </c>
      <c r="AK1195" s="14" t="n">
        <v>0</v>
      </c>
      <c r="AL1195" s="14" t="n">
        <v>0</v>
      </c>
      <c r="AM1195" s="14">
        <f>AJ1195+AK1195+AL1195</f>
        <v/>
      </c>
      <c r="AN1195" s="14">
        <f>AN1194+AM1195</f>
        <v/>
      </c>
    </row>
    <row r="1196">
      <c r="A1196" s="8" t="n">
        <v>46</v>
      </c>
      <c r="B1196" s="8" t="n">
        <v>13</v>
      </c>
      <c r="C1196" s="8" t="n">
        <v>1</v>
      </c>
      <c r="D1196" s="8" t="inlineStr">
        <is>
          <t>版本免费+义相逢 + 月卡收益 [月卡续费-30元]</t>
        </is>
      </c>
      <c r="E1196" s="9">
        <f>K1195</f>
        <v/>
      </c>
      <c r="F1196" s="9" t="n">
        <v>1540</v>
      </c>
      <c r="G1196" s="9" t="n">
        <v>4800</v>
      </c>
      <c r="H1196" s="9" t="n">
        <v>0</v>
      </c>
      <c r="I1196" s="9" t="n">
        <v>0</v>
      </c>
      <c r="J1196" s="9" t="n">
        <v>640</v>
      </c>
      <c r="K1196" s="9">
        <f>E1196+F1196+G1196+H1196+I1196-J1196</f>
        <v/>
      </c>
      <c r="L1196" s="10">
        <f>Q1195</f>
        <v/>
      </c>
      <c r="M1196" s="10" t="n">
        <v>85</v>
      </c>
      <c r="N1196" s="10" t="n">
        <v>11</v>
      </c>
      <c r="O1196" s="10">
        <f>J1196/160</f>
        <v/>
      </c>
      <c r="P1196" s="10" t="n">
        <v>100</v>
      </c>
      <c r="Q1196" s="10">
        <f>L1196+M1196+N1196+O1196-P1196</f>
        <v/>
      </c>
      <c r="R1196" s="11">
        <f>T1195</f>
        <v/>
      </c>
      <c r="S1196" s="11">
        <f>N(V1196) + N(X1196) + N(Z1196)</f>
        <v/>
      </c>
      <c r="T1196" s="11">
        <f>R1196+P1196-S1196</f>
        <v/>
      </c>
      <c r="U1196" s="11" t="inlineStr">
        <is>
          <t>是</t>
        </is>
      </c>
      <c r="V1196" s="11" t="n">
        <v>46</v>
      </c>
      <c r="W1196" s="11" t="inlineStr">
        <is>
          <t>是</t>
        </is>
      </c>
      <c r="X1196" s="11" t="n">
        <v>49</v>
      </c>
      <c r="Y1196" s="11" t="inlineStr">
        <is>
          <t>-</t>
        </is>
      </c>
      <c r="Z1196" s="11" t="n">
        <v>0</v>
      </c>
      <c r="AA1196" s="11" t="inlineStr">
        <is>
          <t>无</t>
        </is>
      </c>
      <c r="AB1196" s="12">
        <f>AE1195</f>
        <v/>
      </c>
      <c r="AC1196" s="12" t="n">
        <v>4</v>
      </c>
      <c r="AD1196" s="12" t="n">
        <v>0</v>
      </c>
      <c r="AE1196" s="12">
        <f>AB1196+AC1196+AD1196</f>
        <v/>
      </c>
      <c r="AF1196" s="13">
        <f>AI1195</f>
        <v/>
      </c>
      <c r="AG1196" s="13" t="n">
        <v>0</v>
      </c>
      <c r="AH1196" s="13" t="n">
        <v>0</v>
      </c>
      <c r="AI1196" s="13">
        <f>AF1196+AG1196+AH1196</f>
        <v/>
      </c>
      <c r="AJ1196" s="14" t="n">
        <v>30</v>
      </c>
      <c r="AK1196" s="14" t="n">
        <v>50</v>
      </c>
      <c r="AL1196" s="14" t="n">
        <v>0</v>
      </c>
      <c r="AM1196" s="14">
        <f>AJ1196+AK1196+AL1196</f>
        <v/>
      </c>
      <c r="AN1196" s="14">
        <f>AN1195+AM1196</f>
        <v/>
      </c>
    </row>
    <row r="1197">
      <c r="A1197" s="8" t="n">
        <v>46</v>
      </c>
      <c r="B1197" s="8" t="n">
        <v>13</v>
      </c>
      <c r="C1197" s="8" t="n">
        <v>2</v>
      </c>
      <c r="D1197" s="8" t="inlineStr">
        <is>
          <t>月卡收益</t>
        </is>
      </c>
      <c r="E1197" s="9">
        <f>K1196</f>
        <v/>
      </c>
      <c r="F1197" s="9" t="n">
        <v>1540</v>
      </c>
      <c r="G1197" s="9" t="n">
        <v>0</v>
      </c>
      <c r="H1197" s="9" t="n">
        <v>0</v>
      </c>
      <c r="I1197" s="9" t="n">
        <v>0</v>
      </c>
      <c r="J1197" s="9" t="n">
        <v>9120</v>
      </c>
      <c r="K1197" s="9">
        <f>E1197+F1197+G1197+H1197+I1197-J1197</f>
        <v/>
      </c>
      <c r="L1197" s="10">
        <f>Q1196</f>
        <v/>
      </c>
      <c r="M1197" s="10" t="n">
        <v>0</v>
      </c>
      <c r="N1197" s="10" t="n">
        <v>6</v>
      </c>
      <c r="O1197" s="10">
        <f>J1197/160</f>
        <v/>
      </c>
      <c r="P1197" s="10" t="n">
        <v>60</v>
      </c>
      <c r="Q1197" s="10">
        <f>L1197+M1197+N1197+O1197-P1197</f>
        <v/>
      </c>
      <c r="R1197" s="11">
        <f>T1196</f>
        <v/>
      </c>
      <c r="S1197" s="11">
        <f>N(V1197) + N(X1197) + N(Z1197)</f>
        <v/>
      </c>
      <c r="T1197" s="11">
        <f>R1197+P1197-S1197</f>
        <v/>
      </c>
      <c r="U1197" s="11" t="inlineStr">
        <is>
          <t>是</t>
        </is>
      </c>
      <c r="V1197" s="11" t="n">
        <v>52</v>
      </c>
      <c r="W1197" s="11" t="inlineStr">
        <is>
          <t>否</t>
        </is>
      </c>
      <c r="X1197" s="11" t="inlineStr">
        <is>
          <t>-</t>
        </is>
      </c>
      <c r="Y1197" s="11" t="inlineStr">
        <is>
          <t>-</t>
        </is>
      </c>
      <c r="Z1197" s="11" t="n">
        <v>0</v>
      </c>
      <c r="AA1197" s="11" t="inlineStr">
        <is>
          <t>垫到60抽</t>
        </is>
      </c>
      <c r="AB1197" s="12">
        <f>AE1196</f>
        <v/>
      </c>
      <c r="AC1197" s="12" t="n">
        <v>0</v>
      </c>
      <c r="AD1197" s="12" t="n">
        <v>0</v>
      </c>
      <c r="AE1197" s="12">
        <f>AB1197+AC1197+AD1197</f>
        <v/>
      </c>
      <c r="AF1197" s="13">
        <f>AI1196</f>
        <v/>
      </c>
      <c r="AG1197" s="13" t="n">
        <v>0</v>
      </c>
      <c r="AH1197" s="13" t="n">
        <v>0</v>
      </c>
      <c r="AI1197" s="13">
        <f>AF1197+AG1197+AH1197</f>
        <v/>
      </c>
      <c r="AJ1197" s="14" t="n">
        <v>0</v>
      </c>
      <c r="AK1197" s="14" t="n">
        <v>0</v>
      </c>
      <c r="AL1197" s="14" t="n">
        <v>0</v>
      </c>
      <c r="AM1197" s="14">
        <f>AJ1197+AK1197+AL1197</f>
        <v/>
      </c>
      <c r="AN1197" s="14">
        <f>AN1196+AM1197</f>
        <v/>
      </c>
    </row>
    <row r="1198">
      <c r="A1198" s="8" t="n">
        <v>47</v>
      </c>
      <c r="B1198" s="8" t="n">
        <v>1</v>
      </c>
      <c r="C1198" s="8" t="n">
        <v>1</v>
      </c>
      <c r="D1198" s="8" t="inlineStr">
        <is>
          <t>版本免费+义相逢 + 月卡收益 [月卡续费-30元]</t>
        </is>
      </c>
      <c r="E1198" s="9" t="n">
        <v>16560</v>
      </c>
      <c r="F1198" s="9" t="n">
        <v>1540</v>
      </c>
      <c r="G1198" s="9" t="n">
        <v>4800</v>
      </c>
      <c r="H1198" s="9" t="n">
        <v>0</v>
      </c>
      <c r="I1198" s="9" t="n">
        <v>0</v>
      </c>
      <c r="J1198" s="9" t="n">
        <v>0</v>
      </c>
      <c r="K1198" s="9">
        <f>E1198+F1198+G1198+H1198+I1198-J1198</f>
        <v/>
      </c>
      <c r="L1198" s="10" t="n">
        <v>3</v>
      </c>
      <c r="M1198" s="10" t="n">
        <v>85</v>
      </c>
      <c r="N1198" s="10" t="n">
        <v>3</v>
      </c>
      <c r="O1198" s="10">
        <f>J1198/160</f>
        <v/>
      </c>
      <c r="P1198" s="10" t="n">
        <v>40</v>
      </c>
      <c r="Q1198" s="10">
        <f>L1198+M1198+N1198+O1198-P1198</f>
        <v/>
      </c>
      <c r="R1198" s="11" t="n">
        <v>13</v>
      </c>
      <c r="S1198" s="11">
        <f>N(V1198) + N(X1198) + N(Z1198)</f>
        <v/>
      </c>
      <c r="T1198" s="11">
        <f>R1198+P1198-S1198</f>
        <v/>
      </c>
      <c r="U1198" s="11" t="inlineStr">
        <is>
          <t>是</t>
        </is>
      </c>
      <c r="V1198" s="11" t="n">
        <v>51</v>
      </c>
      <c r="W1198" s="11" t="inlineStr">
        <is>
          <t>否</t>
        </is>
      </c>
      <c r="X1198" s="11" t="inlineStr">
        <is>
          <t>-</t>
        </is>
      </c>
      <c r="Y1198" s="11" t="inlineStr">
        <is>
          <t>-</t>
        </is>
      </c>
      <c r="Z1198" s="11" t="n">
        <v>0</v>
      </c>
      <c r="AA1198" s="11" t="inlineStr">
        <is>
          <t>无</t>
        </is>
      </c>
      <c r="AB1198" s="12" t="n">
        <v>2455</v>
      </c>
      <c r="AC1198" s="12" t="n">
        <v>4</v>
      </c>
      <c r="AD1198" s="12" t="n">
        <v>0</v>
      </c>
      <c r="AE1198" s="12">
        <f>AB1198+AC1198+AD1198</f>
        <v/>
      </c>
      <c r="AF1198" s="13" t="n">
        <v>315000</v>
      </c>
      <c r="AG1198" s="13" t="n">
        <v>0</v>
      </c>
      <c r="AH1198" s="13" t="n">
        <v>0</v>
      </c>
      <c r="AI1198" s="13">
        <f>AF1198+AG1198+AH1198</f>
        <v/>
      </c>
      <c r="AJ1198" s="14" t="n">
        <v>30</v>
      </c>
      <c r="AK1198" s="14" t="n">
        <v>50</v>
      </c>
      <c r="AL1198" s="14" t="n">
        <v>0</v>
      </c>
      <c r="AM1198" s="14">
        <f>AJ1198+AK1198+AL1198</f>
        <v/>
      </c>
      <c r="AN1198" s="14">
        <f>AM1198</f>
        <v/>
      </c>
    </row>
    <row r="1199">
      <c r="A1199" s="8" t="n">
        <v>47</v>
      </c>
      <c r="B1199" s="8" t="n">
        <v>1</v>
      </c>
      <c r="C1199" s="8" t="n">
        <v>2</v>
      </c>
      <c r="D1199" s="8" t="inlineStr">
        <is>
          <t>月卡收益</t>
        </is>
      </c>
      <c r="E1199" s="9">
        <f>K1198</f>
        <v/>
      </c>
      <c r="F1199" s="9" t="n">
        <v>1540</v>
      </c>
      <c r="G1199" s="9" t="n">
        <v>0</v>
      </c>
      <c r="H1199" s="9" t="n">
        <v>0</v>
      </c>
      <c r="I1199" s="9" t="n">
        <v>0</v>
      </c>
      <c r="J1199" s="9" t="n">
        <v>960</v>
      </c>
      <c r="K1199" s="9">
        <f>E1199+F1199+G1199+H1199+I1199-J1199</f>
        <v/>
      </c>
      <c r="L1199" s="10">
        <f>Q1198</f>
        <v/>
      </c>
      <c r="M1199" s="10" t="n">
        <v>0</v>
      </c>
      <c r="N1199" s="10" t="n">
        <v>6</v>
      </c>
      <c r="O1199" s="10">
        <f>J1199/160</f>
        <v/>
      </c>
      <c r="P1199" s="10" t="n">
        <v>60</v>
      </c>
      <c r="Q1199" s="10">
        <f>L1199+M1199+N1199+O1199-P1199</f>
        <v/>
      </c>
      <c r="R1199" s="11">
        <f>T1198</f>
        <v/>
      </c>
      <c r="S1199" s="11">
        <f>N(V1199) + N(X1199) + N(Z1199)</f>
        <v/>
      </c>
      <c r="T1199" s="11">
        <f>R1199+P1199-S1199</f>
        <v/>
      </c>
      <c r="U1199" s="11" t="inlineStr">
        <is>
          <t>是</t>
        </is>
      </c>
      <c r="V1199" s="11" t="n">
        <v>13</v>
      </c>
      <c r="W1199" s="11" t="inlineStr">
        <is>
          <t>是</t>
        </is>
      </c>
      <c r="X1199" s="11" t="n">
        <v>49</v>
      </c>
      <c r="Y1199" s="11" t="inlineStr">
        <is>
          <t>-</t>
        </is>
      </c>
      <c r="Z1199" s="11" t="n">
        <v>0</v>
      </c>
      <c r="AA1199" s="11" t="inlineStr">
        <is>
          <t>无</t>
        </is>
      </c>
      <c r="AB1199" s="12">
        <f>AE1198</f>
        <v/>
      </c>
      <c r="AC1199" s="12" t="n">
        <v>0</v>
      </c>
      <c r="AD1199" s="12" t="n">
        <v>0</v>
      </c>
      <c r="AE1199" s="12">
        <f>AB1199+AC1199+AD1199</f>
        <v/>
      </c>
      <c r="AF1199" s="13">
        <f>AI1198</f>
        <v/>
      </c>
      <c r="AG1199" s="13" t="n">
        <v>0</v>
      </c>
      <c r="AH1199" s="13" t="n">
        <v>0</v>
      </c>
      <c r="AI1199" s="13">
        <f>AF1199+AG1199+AH1199</f>
        <v/>
      </c>
      <c r="AJ1199" s="14" t="n">
        <v>0</v>
      </c>
      <c r="AK1199" s="14" t="n">
        <v>0</v>
      </c>
      <c r="AL1199" s="14" t="n">
        <v>0</v>
      </c>
      <c r="AM1199" s="14">
        <f>AJ1199+AK1199+AL1199</f>
        <v/>
      </c>
      <c r="AN1199" s="14">
        <f>AN1198+AM1199</f>
        <v/>
      </c>
    </row>
    <row r="1200">
      <c r="A1200" s="8" t="n">
        <v>47</v>
      </c>
      <c r="B1200" s="8" t="n">
        <v>2</v>
      </c>
      <c r="C1200" s="8" t="n">
        <v>1</v>
      </c>
      <c r="D1200" s="8" t="inlineStr">
        <is>
          <t>版本免费+义相逢 + 月卡收益 [月卡续费-30元]</t>
        </is>
      </c>
      <c r="E1200" s="9">
        <f>K1199</f>
        <v/>
      </c>
      <c r="F1200" s="9" t="n">
        <v>1540</v>
      </c>
      <c r="G1200" s="9" t="n">
        <v>4800</v>
      </c>
      <c r="H1200" s="9" t="n">
        <v>0</v>
      </c>
      <c r="I1200" s="9" t="n">
        <v>0</v>
      </c>
      <c r="J1200" s="9" t="n">
        <v>0</v>
      </c>
      <c r="K1200" s="9">
        <f>E1200+F1200+G1200+H1200+I1200-J1200</f>
        <v/>
      </c>
      <c r="L1200" s="10">
        <f>Q1199</f>
        <v/>
      </c>
      <c r="M1200" s="10" t="n">
        <v>85</v>
      </c>
      <c r="N1200" s="10" t="n">
        <v>11</v>
      </c>
      <c r="O1200" s="10">
        <f>J1200/160</f>
        <v/>
      </c>
      <c r="P1200" s="10" t="n">
        <v>90</v>
      </c>
      <c r="Q1200" s="10">
        <f>L1200+M1200+N1200+O1200-P1200</f>
        <v/>
      </c>
      <c r="R1200" s="11">
        <f>T1199</f>
        <v/>
      </c>
      <c r="S1200" s="11">
        <f>N(V1200) + N(X1200) + N(Z1200)</f>
        <v/>
      </c>
      <c r="T1200" s="11">
        <f>R1200+P1200-S1200</f>
        <v/>
      </c>
      <c r="U1200" s="11" t="inlineStr">
        <is>
          <t>是</t>
        </is>
      </c>
      <c r="V1200" s="11" t="n">
        <v>48</v>
      </c>
      <c r="W1200" s="11" t="inlineStr">
        <is>
          <t>是</t>
        </is>
      </c>
      <c r="X1200" s="11" t="n">
        <v>34</v>
      </c>
      <c r="Y1200" s="11" t="inlineStr">
        <is>
          <t>-</t>
        </is>
      </c>
      <c r="Z1200" s="11" t="n">
        <v>0</v>
      </c>
      <c r="AA1200" s="11" t="inlineStr">
        <is>
          <t>无</t>
        </is>
      </c>
      <c r="AB1200" s="12">
        <f>AE1199</f>
        <v/>
      </c>
      <c r="AC1200" s="12" t="n">
        <v>4</v>
      </c>
      <c r="AD1200" s="12" t="n">
        <v>0</v>
      </c>
      <c r="AE1200" s="12">
        <f>AB1200+AC1200+AD1200</f>
        <v/>
      </c>
      <c r="AF1200" s="13">
        <f>AI1199</f>
        <v/>
      </c>
      <c r="AG1200" s="13" t="n">
        <v>0</v>
      </c>
      <c r="AH1200" s="13" t="n">
        <v>0</v>
      </c>
      <c r="AI1200" s="13">
        <f>AF1200+AG1200+AH1200</f>
        <v/>
      </c>
      <c r="AJ1200" s="14" t="n">
        <v>30</v>
      </c>
      <c r="AK1200" s="14" t="n">
        <v>50</v>
      </c>
      <c r="AL1200" s="14" t="n">
        <v>0</v>
      </c>
      <c r="AM1200" s="14">
        <f>AJ1200+AK1200+AL1200</f>
        <v/>
      </c>
      <c r="AN1200" s="14">
        <f>AN1199+AM1200</f>
        <v/>
      </c>
    </row>
    <row r="1201">
      <c r="A1201" s="8" t="n">
        <v>47</v>
      </c>
      <c r="B1201" s="8" t="n">
        <v>2</v>
      </c>
      <c r="C1201" s="8" t="n">
        <v>2</v>
      </c>
      <c r="D1201" s="8" t="inlineStr">
        <is>
          <t>月卡收益</t>
        </is>
      </c>
      <c r="E1201" s="9">
        <f>K1200</f>
        <v/>
      </c>
      <c r="F1201" s="9" t="n">
        <v>1540</v>
      </c>
      <c r="G1201" s="9" t="n">
        <v>0</v>
      </c>
      <c r="H1201" s="9" t="n">
        <v>0</v>
      </c>
      <c r="I1201" s="9" t="n">
        <v>0</v>
      </c>
      <c r="J1201" s="9" t="n">
        <v>7680</v>
      </c>
      <c r="K1201" s="9">
        <f>E1201+F1201+G1201+H1201+I1201-J1201</f>
        <v/>
      </c>
      <c r="L1201" s="10">
        <f>Q1200</f>
        <v/>
      </c>
      <c r="M1201" s="10" t="n">
        <v>0</v>
      </c>
      <c r="N1201" s="10" t="n">
        <v>6</v>
      </c>
      <c r="O1201" s="10">
        <f>J1201/160</f>
        <v/>
      </c>
      <c r="P1201" s="10" t="n">
        <v>60</v>
      </c>
      <c r="Q1201" s="10">
        <f>L1201+M1201+N1201+O1201-P1201</f>
        <v/>
      </c>
      <c r="R1201" s="11">
        <f>T1200</f>
        <v/>
      </c>
      <c r="S1201" s="11">
        <f>N(V1201) + N(X1201) + N(Z1201)</f>
        <v/>
      </c>
      <c r="T1201" s="11">
        <f>R1201+P1201-S1201</f>
        <v/>
      </c>
      <c r="U1201" s="11" t="inlineStr">
        <is>
          <t>是</t>
        </is>
      </c>
      <c r="V1201" s="11" t="n">
        <v>52</v>
      </c>
      <c r="W1201" s="11" t="inlineStr">
        <is>
          <t>否</t>
        </is>
      </c>
      <c r="X1201" s="11" t="inlineStr">
        <is>
          <t>-</t>
        </is>
      </c>
      <c r="Y1201" s="11" t="inlineStr">
        <is>
          <t>-</t>
        </is>
      </c>
      <c r="Z1201" s="11" t="n">
        <v>0</v>
      </c>
      <c r="AA1201" s="11" t="inlineStr">
        <is>
          <t>垫到60抽</t>
        </is>
      </c>
      <c r="AB1201" s="12">
        <f>AE1200</f>
        <v/>
      </c>
      <c r="AC1201" s="12" t="n">
        <v>0</v>
      </c>
      <c r="AD1201" s="12" t="n">
        <v>0</v>
      </c>
      <c r="AE1201" s="12">
        <f>AB1201+AC1201+AD1201</f>
        <v/>
      </c>
      <c r="AF1201" s="13">
        <f>AI1200</f>
        <v/>
      </c>
      <c r="AG1201" s="13" t="n">
        <v>0</v>
      </c>
      <c r="AH1201" s="13" t="n">
        <v>0</v>
      </c>
      <c r="AI1201" s="13">
        <f>AF1201+AG1201+AH1201</f>
        <v/>
      </c>
      <c r="AJ1201" s="14" t="n">
        <v>0</v>
      </c>
      <c r="AK1201" s="14" t="n">
        <v>0</v>
      </c>
      <c r="AL1201" s="14" t="n">
        <v>0</v>
      </c>
      <c r="AM1201" s="14">
        <f>AJ1201+AK1201+AL1201</f>
        <v/>
      </c>
      <c r="AN1201" s="14">
        <f>AN1200+AM1201</f>
        <v/>
      </c>
    </row>
    <row r="1202">
      <c r="A1202" s="8" t="n">
        <v>47</v>
      </c>
      <c r="B1202" s="8" t="n">
        <v>3</v>
      </c>
      <c r="C1202" s="8" t="n">
        <v>1</v>
      </c>
      <c r="D1202" s="8" t="inlineStr">
        <is>
          <t>版本免费+义相逢 + 月卡收益</t>
        </is>
      </c>
      <c r="E1202" s="9">
        <f>K1201</f>
        <v/>
      </c>
      <c r="F1202" s="9" t="n">
        <v>1540</v>
      </c>
      <c r="G1202" s="9" t="n">
        <v>4800</v>
      </c>
      <c r="H1202" s="9" t="n">
        <v>0</v>
      </c>
      <c r="I1202" s="9" t="n">
        <v>0</v>
      </c>
      <c r="J1202" s="9" t="n">
        <v>0</v>
      </c>
      <c r="K1202" s="9">
        <f>E1202+F1202+G1202+H1202+I1202-J1202</f>
        <v/>
      </c>
      <c r="L1202" s="10">
        <f>Q1201</f>
        <v/>
      </c>
      <c r="M1202" s="10" t="n">
        <v>85</v>
      </c>
      <c r="N1202" s="10" t="n">
        <v>1</v>
      </c>
      <c r="O1202" s="10">
        <f>J1202/160</f>
        <v/>
      </c>
      <c r="P1202" s="10" t="n">
        <v>10</v>
      </c>
      <c r="Q1202" s="10">
        <f>L1202+M1202+N1202+O1202-P1202</f>
        <v/>
      </c>
      <c r="R1202" s="11">
        <f>T1201</f>
        <v/>
      </c>
      <c r="S1202" s="11">
        <f>N(V1202) + N(X1202) + N(Z1202)</f>
        <v/>
      </c>
      <c r="T1202" s="11">
        <f>R1202+P1202-S1202</f>
        <v/>
      </c>
      <c r="U1202" s="11" t="inlineStr">
        <is>
          <t>是</t>
        </is>
      </c>
      <c r="V1202" s="11" t="n">
        <v>21</v>
      </c>
      <c r="W1202" s="11" t="inlineStr">
        <is>
          <t>否</t>
        </is>
      </c>
      <c r="X1202" s="11" t="inlineStr">
        <is>
          <t>-</t>
        </is>
      </c>
      <c r="Y1202" s="11" t="inlineStr">
        <is>
          <t>-</t>
        </is>
      </c>
      <c r="Z1202" s="11" t="n">
        <v>0</v>
      </c>
      <c r="AA1202" s="11" t="inlineStr">
        <is>
          <t>无</t>
        </is>
      </c>
      <c r="AB1202" s="12">
        <f>AE1201</f>
        <v/>
      </c>
      <c r="AC1202" s="12" t="n">
        <v>4</v>
      </c>
      <c r="AD1202" s="12" t="n">
        <v>0</v>
      </c>
      <c r="AE1202" s="12">
        <f>AB1202+AC1202+AD1202</f>
        <v/>
      </c>
      <c r="AF1202" s="13">
        <f>AI1201</f>
        <v/>
      </c>
      <c r="AG1202" s="13" t="n">
        <v>0</v>
      </c>
      <c r="AH1202" s="13" t="n">
        <v>0</v>
      </c>
      <c r="AI1202" s="13">
        <f>AF1202+AG1202+AH1202</f>
        <v/>
      </c>
      <c r="AJ1202" s="14" t="n">
        <v>0</v>
      </c>
      <c r="AK1202" s="14" t="n">
        <v>50</v>
      </c>
      <c r="AL1202" s="14" t="n">
        <v>0</v>
      </c>
      <c r="AM1202" s="14">
        <f>AJ1202+AK1202+AL1202</f>
        <v/>
      </c>
      <c r="AN1202" s="14">
        <f>AN1201+AM1202</f>
        <v/>
      </c>
    </row>
    <row r="1203">
      <c r="A1203" s="8" t="n">
        <v>47</v>
      </c>
      <c r="B1203" s="8" t="n">
        <v>3</v>
      </c>
      <c r="C1203" s="8" t="n">
        <v>2</v>
      </c>
      <c r="D1203" s="8" t="inlineStr">
        <is>
          <t>月卡收益 [月卡续费-30元]</t>
        </is>
      </c>
      <c r="E1203" s="9">
        <f>K1202</f>
        <v/>
      </c>
      <c r="F1203" s="9" t="n">
        <v>1540</v>
      </c>
      <c r="G1203" s="9" t="n">
        <v>0</v>
      </c>
      <c r="H1203" s="9" t="n">
        <v>0</v>
      </c>
      <c r="I1203" s="9" t="n">
        <v>0</v>
      </c>
      <c r="J1203" s="9" t="n">
        <v>0</v>
      </c>
      <c r="K1203" s="9">
        <f>E1203+F1203+G1203+H1203+I1203-J1203</f>
        <v/>
      </c>
      <c r="L1203" s="10">
        <f>Q1202</f>
        <v/>
      </c>
      <c r="M1203" s="10" t="n">
        <v>0</v>
      </c>
      <c r="N1203" s="10" t="n">
        <v>6</v>
      </c>
      <c r="O1203" s="10">
        <f>J1203/160</f>
        <v/>
      </c>
      <c r="P1203" s="10" t="n">
        <v>60</v>
      </c>
      <c r="Q1203" s="10">
        <f>L1203+M1203+N1203+O1203-P1203</f>
        <v/>
      </c>
      <c r="R1203" s="11">
        <f>T1202</f>
        <v/>
      </c>
      <c r="S1203" s="11">
        <f>N(V1203) + N(X1203) + N(Z1203)</f>
        <v/>
      </c>
      <c r="T1203" s="11">
        <f>R1203+P1203-S1203</f>
        <v/>
      </c>
      <c r="U1203" s="11" t="inlineStr">
        <is>
          <t>是</t>
        </is>
      </c>
      <c r="V1203" s="11" t="n">
        <v>51</v>
      </c>
      <c r="W1203" s="11" t="inlineStr">
        <is>
          <t>否</t>
        </is>
      </c>
      <c r="X1203" s="11" t="inlineStr">
        <is>
          <t>-</t>
        </is>
      </c>
      <c r="Y1203" s="11" t="inlineStr">
        <is>
          <t>-</t>
        </is>
      </c>
      <c r="Z1203" s="11" t="n">
        <v>0</v>
      </c>
      <c r="AA1203" s="11" t="inlineStr">
        <is>
          <t>垫到60抽</t>
        </is>
      </c>
      <c r="AB1203" s="12">
        <f>AE1202</f>
        <v/>
      </c>
      <c r="AC1203" s="12" t="n">
        <v>0</v>
      </c>
      <c r="AD1203" s="12" t="n">
        <v>0</v>
      </c>
      <c r="AE1203" s="12">
        <f>AB1203+AC1203+AD1203</f>
        <v/>
      </c>
      <c r="AF1203" s="13">
        <f>AI1202</f>
        <v/>
      </c>
      <c r="AG1203" s="13" t="n">
        <v>0</v>
      </c>
      <c r="AH1203" s="13" t="n">
        <v>0</v>
      </c>
      <c r="AI1203" s="13">
        <f>AF1203+AG1203+AH1203</f>
        <v/>
      </c>
      <c r="AJ1203" s="14" t="n">
        <v>30</v>
      </c>
      <c r="AK1203" s="14" t="n">
        <v>0</v>
      </c>
      <c r="AL1203" s="14" t="n">
        <v>0</v>
      </c>
      <c r="AM1203" s="14">
        <f>AJ1203+AK1203+AL1203</f>
        <v/>
      </c>
      <c r="AN1203" s="14">
        <f>AN1202+AM1203</f>
        <v/>
      </c>
    </row>
    <row r="1204">
      <c r="A1204" s="8" t="n">
        <v>47</v>
      </c>
      <c r="B1204" s="8" t="n">
        <v>4</v>
      </c>
      <c r="C1204" s="8" t="n">
        <v>1</v>
      </c>
      <c r="D1204" s="8" t="inlineStr">
        <is>
          <t>版本免费+义相逢 + 月卡收益</t>
        </is>
      </c>
      <c r="E1204" s="9">
        <f>K1203</f>
        <v/>
      </c>
      <c r="F1204" s="9" t="n">
        <v>1540</v>
      </c>
      <c r="G1204" s="9" t="n">
        <v>4800</v>
      </c>
      <c r="H1204" s="9" t="n">
        <v>0</v>
      </c>
      <c r="I1204" s="9" t="n">
        <v>0</v>
      </c>
      <c r="J1204" s="9" t="n">
        <v>0</v>
      </c>
      <c r="K1204" s="9">
        <f>E1204+F1204+G1204+H1204+I1204-J1204</f>
        <v/>
      </c>
      <c r="L1204" s="10">
        <f>Q1203</f>
        <v/>
      </c>
      <c r="M1204" s="10" t="n">
        <v>85</v>
      </c>
      <c r="N1204" s="10" t="n">
        <v>3</v>
      </c>
      <c r="O1204" s="10">
        <f>J1204/160</f>
        <v/>
      </c>
      <c r="P1204" s="10" t="n">
        <v>40</v>
      </c>
      <c r="Q1204" s="10">
        <f>L1204+M1204+N1204+O1204-P1204</f>
        <v/>
      </c>
      <c r="R1204" s="11">
        <f>T1203</f>
        <v/>
      </c>
      <c r="S1204" s="11">
        <f>N(V1204) + N(X1204) + N(Z1204)</f>
        <v/>
      </c>
      <c r="T1204" s="11">
        <f>R1204+P1204-S1204</f>
        <v/>
      </c>
      <c r="U1204" s="11" t="inlineStr">
        <is>
          <t>是</t>
        </is>
      </c>
      <c r="V1204" s="11" t="n">
        <v>46</v>
      </c>
      <c r="W1204" s="11" t="inlineStr">
        <is>
          <t>否</t>
        </is>
      </c>
      <c r="X1204" s="11" t="inlineStr">
        <is>
          <t>-</t>
        </is>
      </c>
      <c r="Y1204" s="11" t="inlineStr">
        <is>
          <t>-</t>
        </is>
      </c>
      <c r="Z1204" s="11" t="n">
        <v>0</v>
      </c>
      <c r="AA1204" s="11" t="inlineStr">
        <is>
          <t>无</t>
        </is>
      </c>
      <c r="AB1204" s="12">
        <f>AE1203</f>
        <v/>
      </c>
      <c r="AC1204" s="12" t="n">
        <v>4</v>
      </c>
      <c r="AD1204" s="12" t="n">
        <v>0</v>
      </c>
      <c r="AE1204" s="12">
        <f>AB1204+AC1204+AD1204</f>
        <v/>
      </c>
      <c r="AF1204" s="13">
        <f>AI1203</f>
        <v/>
      </c>
      <c r="AG1204" s="13" t="n">
        <v>0</v>
      </c>
      <c r="AH1204" s="13" t="n">
        <v>0</v>
      </c>
      <c r="AI1204" s="13">
        <f>AF1204+AG1204+AH1204</f>
        <v/>
      </c>
      <c r="AJ1204" s="14" t="n">
        <v>0</v>
      </c>
      <c r="AK1204" s="14" t="n">
        <v>50</v>
      </c>
      <c r="AL1204" s="14" t="n">
        <v>0</v>
      </c>
      <c r="AM1204" s="14">
        <f>AJ1204+AK1204+AL1204</f>
        <v/>
      </c>
      <c r="AN1204" s="14">
        <f>AN1203+AM1204</f>
        <v/>
      </c>
    </row>
    <row r="1205">
      <c r="A1205" s="8" t="n">
        <v>47</v>
      </c>
      <c r="B1205" s="8" t="n">
        <v>4</v>
      </c>
      <c r="C1205" s="8" t="n">
        <v>2</v>
      </c>
      <c r="D1205" s="8" t="inlineStr">
        <is>
          <t>月卡收益 [月卡续费-30元]</t>
        </is>
      </c>
      <c r="E1205" s="9">
        <f>K1204</f>
        <v/>
      </c>
      <c r="F1205" s="9" t="n">
        <v>1540</v>
      </c>
      <c r="G1205" s="9" t="n">
        <v>0</v>
      </c>
      <c r="H1205" s="9" t="n">
        <v>0</v>
      </c>
      <c r="I1205" s="9" t="n">
        <v>0</v>
      </c>
      <c r="J1205" s="9" t="n">
        <v>1760</v>
      </c>
      <c r="K1205" s="9">
        <f>E1205+F1205+G1205+H1205+I1205-J1205</f>
        <v/>
      </c>
      <c r="L1205" s="10">
        <f>Q1204</f>
        <v/>
      </c>
      <c r="M1205" s="10" t="n">
        <v>0</v>
      </c>
      <c r="N1205" s="10" t="n">
        <v>11</v>
      </c>
      <c r="O1205" s="10">
        <f>J1205/160</f>
        <v/>
      </c>
      <c r="P1205" s="10" t="n">
        <v>90</v>
      </c>
      <c r="Q1205" s="10">
        <f>L1205+M1205+N1205+O1205-P1205</f>
        <v/>
      </c>
      <c r="R1205" s="11">
        <f>T1204</f>
        <v/>
      </c>
      <c r="S1205" s="11">
        <f>N(V1205) + N(X1205) + N(Z1205)</f>
        <v/>
      </c>
      <c r="T1205" s="11">
        <f>R1205+P1205-S1205</f>
        <v/>
      </c>
      <c r="U1205" s="11" t="inlineStr">
        <is>
          <t>是</t>
        </is>
      </c>
      <c r="V1205" s="11" t="n">
        <v>51</v>
      </c>
      <c r="W1205" s="11" t="inlineStr">
        <is>
          <t>是</t>
        </is>
      </c>
      <c r="X1205" s="11" t="n">
        <v>47</v>
      </c>
      <c r="Y1205" s="11" t="inlineStr">
        <is>
          <t>-</t>
        </is>
      </c>
      <c r="Z1205" s="11" t="n">
        <v>0</v>
      </c>
      <c r="AA1205" s="11" t="inlineStr">
        <is>
          <t>无</t>
        </is>
      </c>
      <c r="AB1205" s="12">
        <f>AE1204</f>
        <v/>
      </c>
      <c r="AC1205" s="12" t="n">
        <v>0</v>
      </c>
      <c r="AD1205" s="12" t="n">
        <v>0</v>
      </c>
      <c r="AE1205" s="12">
        <f>AB1205+AC1205+AD1205</f>
        <v/>
      </c>
      <c r="AF1205" s="13">
        <f>AI1204</f>
        <v/>
      </c>
      <c r="AG1205" s="13" t="n">
        <v>0</v>
      </c>
      <c r="AH1205" s="13" t="n">
        <v>0</v>
      </c>
      <c r="AI1205" s="13">
        <f>AF1205+AG1205+AH1205</f>
        <v/>
      </c>
      <c r="AJ1205" s="14" t="n">
        <v>30</v>
      </c>
      <c r="AK1205" s="14" t="n">
        <v>0</v>
      </c>
      <c r="AL1205" s="14" t="n">
        <v>0</v>
      </c>
      <c r="AM1205" s="14">
        <f>AJ1205+AK1205+AL1205</f>
        <v/>
      </c>
      <c r="AN1205" s="14">
        <f>AN1204+AM1205</f>
        <v/>
      </c>
    </row>
    <row r="1206">
      <c r="A1206" s="8" t="n">
        <v>47</v>
      </c>
      <c r="B1206" s="8" t="n">
        <v>5</v>
      </c>
      <c r="C1206" s="8" t="n">
        <v>1</v>
      </c>
      <c r="D1206" s="8" t="inlineStr">
        <is>
          <t>版本免费+义相逢 + 月卡收益</t>
        </is>
      </c>
      <c r="E1206" s="9">
        <f>K1205</f>
        <v/>
      </c>
      <c r="F1206" s="9" t="n">
        <v>1540</v>
      </c>
      <c r="G1206" s="9" t="n">
        <v>4800</v>
      </c>
      <c r="H1206" s="9" t="n">
        <v>0</v>
      </c>
      <c r="I1206" s="9" t="n">
        <v>0</v>
      </c>
      <c r="J1206" s="9" t="n">
        <v>14240</v>
      </c>
      <c r="K1206" s="9">
        <f>E1206+F1206+G1206+H1206+I1206-J1206</f>
        <v/>
      </c>
      <c r="L1206" s="10">
        <f>Q1205</f>
        <v/>
      </c>
      <c r="M1206" s="10" t="n">
        <v>85</v>
      </c>
      <c r="N1206" s="10" t="n">
        <v>21</v>
      </c>
      <c r="O1206" s="10">
        <f>J1206/160</f>
        <v/>
      </c>
      <c r="P1206" s="10" t="n">
        <v>200</v>
      </c>
      <c r="Q1206" s="10">
        <f>L1206+M1206+N1206+O1206-P1206</f>
        <v/>
      </c>
      <c r="R1206" s="11">
        <f>T1205</f>
        <v/>
      </c>
      <c r="S1206" s="11">
        <f>N(V1206) + N(X1206) + N(Z1206)</f>
        <v/>
      </c>
      <c r="T1206" s="11">
        <f>R1206+P1206-S1206</f>
        <v/>
      </c>
      <c r="U1206" s="11" t="inlineStr">
        <is>
          <t>是</t>
        </is>
      </c>
      <c r="V1206" s="11" t="n">
        <v>50</v>
      </c>
      <c r="W1206" s="11" t="inlineStr">
        <is>
          <t>是</t>
        </is>
      </c>
      <c r="X1206" s="11" t="n">
        <v>50</v>
      </c>
      <c r="Y1206" s="11" t="inlineStr">
        <is>
          <t>UP(49), UP(49)</t>
        </is>
      </c>
      <c r="Z1206" s="11" t="n">
        <v>98</v>
      </c>
      <c r="AA1206" s="11" t="inlineStr">
        <is>
          <t>冲刺200(动态90)</t>
        </is>
      </c>
      <c r="AB1206" s="12">
        <f>AE1205</f>
        <v/>
      </c>
      <c r="AC1206" s="12" t="n">
        <v>4</v>
      </c>
      <c r="AD1206" s="12" t="n">
        <v>1</v>
      </c>
      <c r="AE1206" s="12">
        <f>AB1206+AC1206+AD1206</f>
        <v/>
      </c>
      <c r="AF1206" s="13">
        <f>AI1205</f>
        <v/>
      </c>
      <c r="AG1206" s="13" t="n">
        <v>0</v>
      </c>
      <c r="AH1206" s="13" t="n">
        <v>5000</v>
      </c>
      <c r="AI1206" s="13">
        <f>AF1206+AG1206+AH1206</f>
        <v/>
      </c>
      <c r="AJ1206" s="14" t="n">
        <v>0</v>
      </c>
      <c r="AK1206" s="14" t="n">
        <v>50</v>
      </c>
      <c r="AL1206" s="14" t="n">
        <v>0</v>
      </c>
      <c r="AM1206" s="14">
        <f>AJ1206+AK1206+AL1206</f>
        <v/>
      </c>
      <c r="AN1206" s="14">
        <f>AN1205+AM1206</f>
        <v/>
      </c>
    </row>
    <row r="1207">
      <c r="A1207" s="8" t="n">
        <v>47</v>
      </c>
      <c r="B1207" s="8" t="n">
        <v>5</v>
      </c>
      <c r="C1207" s="8" t="n">
        <v>2</v>
      </c>
      <c r="D1207" s="8" t="inlineStr">
        <is>
          <t>月卡收益 [月卡续费-30元]</t>
        </is>
      </c>
      <c r="E1207" s="9">
        <f>K1206</f>
        <v/>
      </c>
      <c r="F1207" s="9" t="n">
        <v>1540</v>
      </c>
      <c r="G1207" s="9" t="n">
        <v>0</v>
      </c>
      <c r="H1207" s="9" t="n">
        <v>0</v>
      </c>
      <c r="I1207" s="9" t="n">
        <v>0</v>
      </c>
      <c r="J1207" s="9" t="n">
        <v>9120</v>
      </c>
      <c r="K1207" s="9">
        <f>E1207+F1207+G1207+H1207+I1207-J1207</f>
        <v/>
      </c>
      <c r="L1207" s="10">
        <f>Q1206</f>
        <v/>
      </c>
      <c r="M1207" s="10" t="n">
        <v>0</v>
      </c>
      <c r="N1207" s="10" t="n">
        <v>6</v>
      </c>
      <c r="O1207" s="10">
        <f>J1207/160</f>
        <v/>
      </c>
      <c r="P1207" s="10" t="n">
        <v>60</v>
      </c>
      <c r="Q1207" s="10">
        <f>L1207+M1207+N1207+O1207-P1207</f>
        <v/>
      </c>
      <c r="R1207" s="11">
        <f>T1206</f>
        <v/>
      </c>
      <c r="S1207" s="11">
        <f>N(V1207) + N(X1207) + N(Z1207)</f>
        <v/>
      </c>
      <c r="T1207" s="11">
        <f>R1207+P1207-S1207</f>
        <v/>
      </c>
      <c r="U1207" s="11" t="inlineStr">
        <is>
          <t>是</t>
        </is>
      </c>
      <c r="V1207" s="11" t="n">
        <v>48</v>
      </c>
      <c r="W1207" s="11" t="inlineStr">
        <is>
          <t>否</t>
        </is>
      </c>
      <c r="X1207" s="11" t="inlineStr">
        <is>
          <t>-</t>
        </is>
      </c>
      <c r="Y1207" s="11" t="inlineStr">
        <is>
          <t>-</t>
        </is>
      </c>
      <c r="Z1207" s="11" t="n">
        <v>0</v>
      </c>
      <c r="AA1207" s="11" t="inlineStr">
        <is>
          <t>垫到60抽</t>
        </is>
      </c>
      <c r="AB1207" s="12">
        <f>AE1206</f>
        <v/>
      </c>
      <c r="AC1207" s="12" t="n">
        <v>0</v>
      </c>
      <c r="AD1207" s="12" t="n">
        <v>0</v>
      </c>
      <c r="AE1207" s="12">
        <f>AB1207+AC1207+AD1207</f>
        <v/>
      </c>
      <c r="AF1207" s="13">
        <f>AI1206</f>
        <v/>
      </c>
      <c r="AG1207" s="13" t="n">
        <v>0</v>
      </c>
      <c r="AH1207" s="13" t="n">
        <v>0</v>
      </c>
      <c r="AI1207" s="13">
        <f>AF1207+AG1207+AH1207</f>
        <v/>
      </c>
      <c r="AJ1207" s="14" t="n">
        <v>30</v>
      </c>
      <c r="AK1207" s="14" t="n">
        <v>0</v>
      </c>
      <c r="AL1207" s="14" t="n">
        <v>0</v>
      </c>
      <c r="AM1207" s="14">
        <f>AJ1207+AK1207+AL1207</f>
        <v/>
      </c>
      <c r="AN1207" s="14">
        <f>AN1206+AM1207</f>
        <v/>
      </c>
    </row>
    <row r="1208">
      <c r="A1208" s="8" t="n">
        <v>47</v>
      </c>
      <c r="B1208" s="8" t="n">
        <v>6</v>
      </c>
      <c r="C1208" s="8" t="n">
        <v>1</v>
      </c>
      <c r="D1208" s="8" t="inlineStr">
        <is>
          <t>版本免费+义相逢 + 月卡收益</t>
        </is>
      </c>
      <c r="E1208" s="9">
        <f>K1207</f>
        <v/>
      </c>
      <c r="F1208" s="9" t="n">
        <v>1540</v>
      </c>
      <c r="G1208" s="9" t="n">
        <v>4800</v>
      </c>
      <c r="H1208" s="9" t="n">
        <v>0</v>
      </c>
      <c r="I1208" s="9" t="n">
        <v>0</v>
      </c>
      <c r="J1208" s="9" t="n">
        <v>0</v>
      </c>
      <c r="K1208" s="9">
        <f>E1208+F1208+G1208+H1208+I1208-J1208</f>
        <v/>
      </c>
      <c r="L1208" s="10">
        <f>Q1207</f>
        <v/>
      </c>
      <c r="M1208" s="10" t="n">
        <v>85</v>
      </c>
      <c r="N1208" s="10" t="n">
        <v>3</v>
      </c>
      <c r="O1208" s="10">
        <f>J1208/160</f>
        <v/>
      </c>
      <c r="P1208" s="10" t="n">
        <v>40</v>
      </c>
      <c r="Q1208" s="10">
        <f>L1208+M1208+N1208+O1208-P1208</f>
        <v/>
      </c>
      <c r="R1208" s="11">
        <f>T1207</f>
        <v/>
      </c>
      <c r="S1208" s="11">
        <f>N(V1208) + N(X1208) + N(Z1208)</f>
        <v/>
      </c>
      <c r="T1208" s="11">
        <f>R1208+P1208-S1208</f>
        <v/>
      </c>
      <c r="U1208" s="11" t="inlineStr">
        <is>
          <t>是</t>
        </is>
      </c>
      <c r="V1208" s="11" t="n">
        <v>50</v>
      </c>
      <c r="W1208" s="11" t="inlineStr">
        <is>
          <t>否</t>
        </is>
      </c>
      <c r="X1208" s="11" t="inlineStr">
        <is>
          <t>-</t>
        </is>
      </c>
      <c r="Y1208" s="11" t="inlineStr">
        <is>
          <t>-</t>
        </is>
      </c>
      <c r="Z1208" s="11" t="n">
        <v>0</v>
      </c>
      <c r="AA1208" s="11" t="inlineStr">
        <is>
          <t>无</t>
        </is>
      </c>
      <c r="AB1208" s="12">
        <f>AE1207</f>
        <v/>
      </c>
      <c r="AC1208" s="12" t="n">
        <v>4</v>
      </c>
      <c r="AD1208" s="12" t="n">
        <v>0</v>
      </c>
      <c r="AE1208" s="12">
        <f>AB1208+AC1208+AD1208</f>
        <v/>
      </c>
      <c r="AF1208" s="13">
        <f>AI1207</f>
        <v/>
      </c>
      <c r="AG1208" s="13" t="n">
        <v>0</v>
      </c>
      <c r="AH1208" s="13" t="n">
        <v>0</v>
      </c>
      <c r="AI1208" s="13">
        <f>AF1208+AG1208+AH1208</f>
        <v/>
      </c>
      <c r="AJ1208" s="14" t="n">
        <v>0</v>
      </c>
      <c r="AK1208" s="14" t="n">
        <v>50</v>
      </c>
      <c r="AL1208" s="14" t="n">
        <v>0</v>
      </c>
      <c r="AM1208" s="14">
        <f>AJ1208+AK1208+AL1208</f>
        <v/>
      </c>
      <c r="AN1208" s="14">
        <f>AN1207+AM1208</f>
        <v/>
      </c>
    </row>
    <row r="1209">
      <c r="A1209" s="8" t="n">
        <v>47</v>
      </c>
      <c r="B1209" s="8" t="n">
        <v>6</v>
      </c>
      <c r="C1209" s="8" t="n">
        <v>2</v>
      </c>
      <c r="D1209" s="8" t="inlineStr">
        <is>
          <t>月卡收益 [月卡续费-30元]</t>
        </is>
      </c>
      <c r="E1209" s="9">
        <f>K1208</f>
        <v/>
      </c>
      <c r="F1209" s="9" t="n">
        <v>1540</v>
      </c>
      <c r="G1209" s="9" t="n">
        <v>0</v>
      </c>
      <c r="H1209" s="9" t="n">
        <v>0</v>
      </c>
      <c r="I1209" s="9" t="n">
        <v>0</v>
      </c>
      <c r="J1209" s="9" t="n">
        <v>960</v>
      </c>
      <c r="K1209" s="9">
        <f>E1209+F1209+G1209+H1209+I1209-J1209</f>
        <v/>
      </c>
      <c r="L1209" s="10">
        <f>Q1208</f>
        <v/>
      </c>
      <c r="M1209" s="10" t="n">
        <v>0</v>
      </c>
      <c r="N1209" s="10" t="n">
        <v>6</v>
      </c>
      <c r="O1209" s="10">
        <f>J1209/160</f>
        <v/>
      </c>
      <c r="P1209" s="10" t="n">
        <v>60</v>
      </c>
      <c r="Q1209" s="10">
        <f>L1209+M1209+N1209+O1209-P1209</f>
        <v/>
      </c>
      <c r="R1209" s="11">
        <f>T1208</f>
        <v/>
      </c>
      <c r="S1209" s="11">
        <f>N(V1209) + N(X1209) + N(Z1209)</f>
        <v/>
      </c>
      <c r="T1209" s="11">
        <f>R1209+P1209-S1209</f>
        <v/>
      </c>
      <c r="U1209" s="11" t="inlineStr">
        <is>
          <t>是</t>
        </is>
      </c>
      <c r="V1209" s="11" t="n">
        <v>48</v>
      </c>
      <c r="W1209" s="11" t="inlineStr">
        <is>
          <t>否</t>
        </is>
      </c>
      <c r="X1209" s="11" t="inlineStr">
        <is>
          <t>-</t>
        </is>
      </c>
      <c r="Y1209" s="11" t="inlineStr">
        <is>
          <t>-</t>
        </is>
      </c>
      <c r="Z1209" s="11" t="n">
        <v>0</v>
      </c>
      <c r="AA1209" s="11" t="inlineStr">
        <is>
          <t>垫到60抽</t>
        </is>
      </c>
      <c r="AB1209" s="12">
        <f>AE1208</f>
        <v/>
      </c>
      <c r="AC1209" s="12" t="n">
        <v>0</v>
      </c>
      <c r="AD1209" s="12" t="n">
        <v>0</v>
      </c>
      <c r="AE1209" s="12">
        <f>AB1209+AC1209+AD1209</f>
        <v/>
      </c>
      <c r="AF1209" s="13">
        <f>AI1208</f>
        <v/>
      </c>
      <c r="AG1209" s="13" t="n">
        <v>0</v>
      </c>
      <c r="AH1209" s="13" t="n">
        <v>0</v>
      </c>
      <c r="AI1209" s="13">
        <f>AF1209+AG1209+AH1209</f>
        <v/>
      </c>
      <c r="AJ1209" s="14" t="n">
        <v>30</v>
      </c>
      <c r="AK1209" s="14" t="n">
        <v>0</v>
      </c>
      <c r="AL1209" s="14" t="n">
        <v>0</v>
      </c>
      <c r="AM1209" s="14">
        <f>AJ1209+AK1209+AL1209</f>
        <v/>
      </c>
      <c r="AN1209" s="14">
        <f>AN1208+AM1209</f>
        <v/>
      </c>
    </row>
    <row r="1210">
      <c r="A1210" s="8" t="n">
        <v>47</v>
      </c>
      <c r="B1210" s="8" t="n">
        <v>7</v>
      </c>
      <c r="C1210" s="8" t="n">
        <v>1</v>
      </c>
      <c r="D1210" s="8" t="inlineStr">
        <is>
          <t>版本免费+义相逢 + 月卡收益</t>
        </is>
      </c>
      <c r="E1210" s="9">
        <f>K1209</f>
        <v/>
      </c>
      <c r="F1210" s="9" t="n">
        <v>1540</v>
      </c>
      <c r="G1210" s="9" t="n">
        <v>4800</v>
      </c>
      <c r="H1210" s="9" t="n">
        <v>0</v>
      </c>
      <c r="I1210" s="9" t="n">
        <v>0</v>
      </c>
      <c r="J1210" s="9" t="n">
        <v>0</v>
      </c>
      <c r="K1210" s="9">
        <f>E1210+F1210+G1210+H1210+I1210-J1210</f>
        <v/>
      </c>
      <c r="L1210" s="10">
        <f>Q1209</f>
        <v/>
      </c>
      <c r="M1210" s="10" t="n">
        <v>85</v>
      </c>
      <c r="N1210" s="10" t="n">
        <v>3</v>
      </c>
      <c r="O1210" s="10">
        <f>J1210/160</f>
        <v/>
      </c>
      <c r="P1210" s="10" t="n">
        <v>40</v>
      </c>
      <c r="Q1210" s="10">
        <f>L1210+M1210+N1210+O1210-P1210</f>
        <v/>
      </c>
      <c r="R1210" s="11">
        <f>T1209</f>
        <v/>
      </c>
      <c r="S1210" s="11">
        <f>N(V1210) + N(X1210) + N(Z1210)</f>
        <v/>
      </c>
      <c r="T1210" s="11">
        <f>R1210+P1210-S1210</f>
        <v/>
      </c>
      <c r="U1210" s="11" t="inlineStr">
        <is>
          <t>是</t>
        </is>
      </c>
      <c r="V1210" s="11" t="n">
        <v>51</v>
      </c>
      <c r="W1210" s="11" t="inlineStr">
        <is>
          <t>否</t>
        </is>
      </c>
      <c r="X1210" s="11" t="inlineStr">
        <is>
          <t>-</t>
        </is>
      </c>
      <c r="Y1210" s="11" t="inlineStr">
        <is>
          <t>-</t>
        </is>
      </c>
      <c r="Z1210" s="11" t="n">
        <v>0</v>
      </c>
      <c r="AA1210" s="11" t="inlineStr">
        <is>
          <t>无</t>
        </is>
      </c>
      <c r="AB1210" s="12">
        <f>AE1209</f>
        <v/>
      </c>
      <c r="AC1210" s="12" t="n">
        <v>4</v>
      </c>
      <c r="AD1210" s="12" t="n">
        <v>0</v>
      </c>
      <c r="AE1210" s="12">
        <f>AB1210+AC1210+AD1210</f>
        <v/>
      </c>
      <c r="AF1210" s="13">
        <f>AI1209</f>
        <v/>
      </c>
      <c r="AG1210" s="13" t="n">
        <v>0</v>
      </c>
      <c r="AH1210" s="13" t="n">
        <v>0</v>
      </c>
      <c r="AI1210" s="13">
        <f>AF1210+AG1210+AH1210</f>
        <v/>
      </c>
      <c r="AJ1210" s="14" t="n">
        <v>0</v>
      </c>
      <c r="AK1210" s="14" t="n">
        <v>50</v>
      </c>
      <c r="AL1210" s="14" t="n">
        <v>0</v>
      </c>
      <c r="AM1210" s="14">
        <f>AJ1210+AK1210+AL1210</f>
        <v/>
      </c>
      <c r="AN1210" s="14">
        <f>AN1209+AM1210</f>
        <v/>
      </c>
    </row>
    <row r="1211">
      <c r="A1211" s="8" t="n">
        <v>47</v>
      </c>
      <c r="B1211" s="8" t="n">
        <v>7</v>
      </c>
      <c r="C1211" s="8" t="n">
        <v>2</v>
      </c>
      <c r="D1211" s="8" t="inlineStr">
        <is>
          <t>月卡收益 [月卡续费-30元]</t>
        </is>
      </c>
      <c r="E1211" s="9">
        <f>K1210</f>
        <v/>
      </c>
      <c r="F1211" s="9" t="n">
        <v>1540</v>
      </c>
      <c r="G1211" s="9" t="n">
        <v>0</v>
      </c>
      <c r="H1211" s="9" t="n">
        <v>0</v>
      </c>
      <c r="I1211" s="9" t="n">
        <v>0</v>
      </c>
      <c r="J1211" s="9" t="n">
        <v>5280</v>
      </c>
      <c r="K1211" s="9">
        <f>E1211+F1211+G1211+H1211+I1211-J1211</f>
        <v/>
      </c>
      <c r="L1211" s="10">
        <f>Q1210</f>
        <v/>
      </c>
      <c r="M1211" s="10" t="n">
        <v>0</v>
      </c>
      <c r="N1211" s="10" t="n">
        <v>11</v>
      </c>
      <c r="O1211" s="10">
        <f>J1211/160</f>
        <v/>
      </c>
      <c r="P1211" s="10" t="n">
        <v>90</v>
      </c>
      <c r="Q1211" s="10">
        <f>L1211+M1211+N1211+O1211-P1211</f>
        <v/>
      </c>
      <c r="R1211" s="11">
        <f>T1210</f>
        <v/>
      </c>
      <c r="S1211" s="11">
        <f>N(V1211) + N(X1211) + N(Z1211)</f>
        <v/>
      </c>
      <c r="T1211" s="11">
        <f>R1211+P1211-S1211</f>
        <v/>
      </c>
      <c r="U1211" s="11" t="inlineStr">
        <is>
          <t>是</t>
        </is>
      </c>
      <c r="V1211" s="11" t="n">
        <v>47</v>
      </c>
      <c r="W1211" s="11" t="inlineStr">
        <is>
          <t>是</t>
        </is>
      </c>
      <c r="X1211" s="11" t="n">
        <v>46</v>
      </c>
      <c r="Y1211" s="11" t="inlineStr">
        <is>
          <t>-</t>
        </is>
      </c>
      <c r="Z1211" s="11" t="n">
        <v>0</v>
      </c>
      <c r="AA1211" s="11" t="inlineStr">
        <is>
          <t>无</t>
        </is>
      </c>
      <c r="AB1211" s="12">
        <f>AE1210</f>
        <v/>
      </c>
      <c r="AC1211" s="12" t="n">
        <v>0</v>
      </c>
      <c r="AD1211" s="12" t="n">
        <v>0</v>
      </c>
      <c r="AE1211" s="12">
        <f>AB1211+AC1211+AD1211</f>
        <v/>
      </c>
      <c r="AF1211" s="13">
        <f>AI1210</f>
        <v/>
      </c>
      <c r="AG1211" s="13" t="n">
        <v>0</v>
      </c>
      <c r="AH1211" s="13" t="n">
        <v>0</v>
      </c>
      <c r="AI1211" s="13">
        <f>AF1211+AG1211+AH1211</f>
        <v/>
      </c>
      <c r="AJ1211" s="14" t="n">
        <v>30</v>
      </c>
      <c r="AK1211" s="14" t="n">
        <v>0</v>
      </c>
      <c r="AL1211" s="14" t="n">
        <v>0</v>
      </c>
      <c r="AM1211" s="14">
        <f>AJ1211+AK1211+AL1211</f>
        <v/>
      </c>
      <c r="AN1211" s="14">
        <f>AN1210+AM1211</f>
        <v/>
      </c>
    </row>
    <row r="1212">
      <c r="A1212" s="8" t="n">
        <v>47</v>
      </c>
      <c r="B1212" s="8" t="n">
        <v>8</v>
      </c>
      <c r="C1212" s="8" t="n">
        <v>1</v>
      </c>
      <c r="D1212" s="8" t="inlineStr">
        <is>
          <t>版本免费+义相逢 + 月卡收益</t>
        </is>
      </c>
      <c r="E1212" s="9">
        <f>K1211</f>
        <v/>
      </c>
      <c r="F1212" s="9" t="n">
        <v>1540</v>
      </c>
      <c r="G1212" s="9" t="n">
        <v>4800</v>
      </c>
      <c r="H1212" s="9" t="n">
        <v>0</v>
      </c>
      <c r="I1212" s="9" t="n">
        <v>0</v>
      </c>
      <c r="J1212" s="9" t="n">
        <v>0</v>
      </c>
      <c r="K1212" s="9">
        <f>E1212+F1212+G1212+H1212+I1212-J1212</f>
        <v/>
      </c>
      <c r="L1212" s="10">
        <f>Q1211</f>
        <v/>
      </c>
      <c r="M1212" s="10" t="n">
        <v>85</v>
      </c>
      <c r="N1212" s="10" t="n">
        <v>6</v>
      </c>
      <c r="O1212" s="10">
        <f>J1212/160</f>
        <v/>
      </c>
      <c r="P1212" s="10" t="n">
        <v>60</v>
      </c>
      <c r="Q1212" s="10">
        <f>L1212+M1212+N1212+O1212-P1212</f>
        <v/>
      </c>
      <c r="R1212" s="11">
        <f>T1211</f>
        <v/>
      </c>
      <c r="S1212" s="11">
        <f>N(V1212) + N(X1212) + N(Z1212)</f>
        <v/>
      </c>
      <c r="T1212" s="11">
        <f>R1212+P1212-S1212</f>
        <v/>
      </c>
      <c r="U1212" s="11" t="inlineStr">
        <is>
          <t>是</t>
        </is>
      </c>
      <c r="V1212" s="11" t="n">
        <v>50</v>
      </c>
      <c r="W1212" s="11" t="inlineStr">
        <is>
          <t>否</t>
        </is>
      </c>
      <c r="X1212" s="11" t="inlineStr">
        <is>
          <t>-</t>
        </is>
      </c>
      <c r="Y1212" s="11" t="inlineStr">
        <is>
          <t>-</t>
        </is>
      </c>
      <c r="Z1212" s="11" t="n">
        <v>0</v>
      </c>
      <c r="AA1212" s="11" t="inlineStr">
        <is>
          <t>垫到60抽</t>
        </is>
      </c>
      <c r="AB1212" s="12">
        <f>AE1211</f>
        <v/>
      </c>
      <c r="AC1212" s="12" t="n">
        <v>4</v>
      </c>
      <c r="AD1212" s="12" t="n">
        <v>0</v>
      </c>
      <c r="AE1212" s="12">
        <f>AB1212+AC1212+AD1212</f>
        <v/>
      </c>
      <c r="AF1212" s="13">
        <f>AI1211</f>
        <v/>
      </c>
      <c r="AG1212" s="13" t="n">
        <v>0</v>
      </c>
      <c r="AH1212" s="13" t="n">
        <v>0</v>
      </c>
      <c r="AI1212" s="13">
        <f>AF1212+AG1212+AH1212</f>
        <v/>
      </c>
      <c r="AJ1212" s="14" t="n">
        <v>0</v>
      </c>
      <c r="AK1212" s="14" t="n">
        <v>50</v>
      </c>
      <c r="AL1212" s="14" t="n">
        <v>0</v>
      </c>
      <c r="AM1212" s="14">
        <f>AJ1212+AK1212+AL1212</f>
        <v/>
      </c>
      <c r="AN1212" s="14">
        <f>AN1211+AM1212</f>
        <v/>
      </c>
    </row>
    <row r="1213">
      <c r="A1213" s="8" t="n">
        <v>47</v>
      </c>
      <c r="B1213" s="8" t="n">
        <v>8</v>
      </c>
      <c r="C1213" s="8" t="n">
        <v>2</v>
      </c>
      <c r="D1213" s="8" t="inlineStr">
        <is>
          <t>月卡收益 [月卡续费-30元]</t>
        </is>
      </c>
      <c r="E1213" s="9">
        <f>K1212</f>
        <v/>
      </c>
      <c r="F1213" s="9" t="n">
        <v>1540</v>
      </c>
      <c r="G1213" s="9" t="n">
        <v>0</v>
      </c>
      <c r="H1213" s="9" t="n">
        <v>0</v>
      </c>
      <c r="I1213" s="9" t="n">
        <v>0</v>
      </c>
      <c r="J1213" s="9" t="n">
        <v>7680</v>
      </c>
      <c r="K1213" s="9">
        <f>E1213+F1213+G1213+H1213+I1213-J1213</f>
        <v/>
      </c>
      <c r="L1213" s="10">
        <f>Q1212</f>
        <v/>
      </c>
      <c r="M1213" s="10" t="n">
        <v>0</v>
      </c>
      <c r="N1213" s="10" t="n">
        <v>11</v>
      </c>
      <c r="O1213" s="10">
        <f>J1213/160</f>
        <v/>
      </c>
      <c r="P1213" s="10" t="n">
        <v>90</v>
      </c>
      <c r="Q1213" s="10">
        <f>L1213+M1213+N1213+O1213-P1213</f>
        <v/>
      </c>
      <c r="R1213" s="11">
        <f>T1212</f>
        <v/>
      </c>
      <c r="S1213" s="11">
        <f>N(V1213) + N(X1213) + N(Z1213)</f>
        <v/>
      </c>
      <c r="T1213" s="11">
        <f>R1213+P1213-S1213</f>
        <v/>
      </c>
      <c r="U1213" s="11" t="inlineStr">
        <is>
          <t>是</t>
        </is>
      </c>
      <c r="V1213" s="11" t="n">
        <v>53</v>
      </c>
      <c r="W1213" s="11" t="inlineStr">
        <is>
          <t>是</t>
        </is>
      </c>
      <c r="X1213" s="11" t="n">
        <v>48</v>
      </c>
      <c r="Y1213" s="11" t="inlineStr">
        <is>
          <t>-</t>
        </is>
      </c>
      <c r="Z1213" s="11" t="n">
        <v>0</v>
      </c>
      <c r="AA1213" s="11" t="inlineStr">
        <is>
          <t>无</t>
        </is>
      </c>
      <c r="AB1213" s="12">
        <f>AE1212</f>
        <v/>
      </c>
      <c r="AC1213" s="12" t="n">
        <v>0</v>
      </c>
      <c r="AD1213" s="12" t="n">
        <v>0</v>
      </c>
      <c r="AE1213" s="12">
        <f>AB1213+AC1213+AD1213</f>
        <v/>
      </c>
      <c r="AF1213" s="13">
        <f>AI1212</f>
        <v/>
      </c>
      <c r="AG1213" s="13" t="n">
        <v>0</v>
      </c>
      <c r="AH1213" s="13" t="n">
        <v>0</v>
      </c>
      <c r="AI1213" s="13">
        <f>AF1213+AG1213+AH1213</f>
        <v/>
      </c>
      <c r="AJ1213" s="14" t="n">
        <v>30</v>
      </c>
      <c r="AK1213" s="14" t="n">
        <v>0</v>
      </c>
      <c r="AL1213" s="14" t="n">
        <v>0</v>
      </c>
      <c r="AM1213" s="14">
        <f>AJ1213+AK1213+AL1213</f>
        <v/>
      </c>
      <c r="AN1213" s="14">
        <f>AN1212+AM1213</f>
        <v/>
      </c>
    </row>
    <row r="1214">
      <c r="A1214" s="8" t="n">
        <v>47</v>
      </c>
      <c r="B1214" s="8" t="n">
        <v>9</v>
      </c>
      <c r="C1214" s="8" t="n">
        <v>1</v>
      </c>
      <c r="D1214" s="8" t="inlineStr">
        <is>
          <t>版本免费+义相逢 + 月卡收益</t>
        </is>
      </c>
      <c r="E1214" s="9">
        <f>K1213</f>
        <v/>
      </c>
      <c r="F1214" s="9" t="n">
        <v>1540</v>
      </c>
      <c r="G1214" s="9" t="n">
        <v>4800</v>
      </c>
      <c r="H1214" s="9" t="n">
        <v>0</v>
      </c>
      <c r="I1214" s="9" t="n">
        <v>0</v>
      </c>
      <c r="J1214" s="9" t="n">
        <v>0</v>
      </c>
      <c r="K1214" s="9">
        <f>E1214+F1214+G1214+H1214+I1214-J1214</f>
        <v/>
      </c>
      <c r="L1214" s="10">
        <f>Q1213</f>
        <v/>
      </c>
      <c r="M1214" s="10" t="n">
        <v>85</v>
      </c>
      <c r="N1214" s="10" t="n">
        <v>6</v>
      </c>
      <c r="O1214" s="10">
        <f>J1214/160</f>
        <v/>
      </c>
      <c r="P1214" s="10" t="n">
        <v>60</v>
      </c>
      <c r="Q1214" s="10">
        <f>L1214+M1214+N1214+O1214-P1214</f>
        <v/>
      </c>
      <c r="R1214" s="11">
        <f>T1213</f>
        <v/>
      </c>
      <c r="S1214" s="11">
        <f>N(V1214) + N(X1214) + N(Z1214)</f>
        <v/>
      </c>
      <c r="T1214" s="11">
        <f>R1214+P1214-S1214</f>
        <v/>
      </c>
      <c r="U1214" s="11" t="inlineStr">
        <is>
          <t>是</t>
        </is>
      </c>
      <c r="V1214" s="11" t="n">
        <v>51</v>
      </c>
      <c r="W1214" s="11" t="inlineStr">
        <is>
          <t>否</t>
        </is>
      </c>
      <c r="X1214" s="11" t="inlineStr">
        <is>
          <t>-</t>
        </is>
      </c>
      <c r="Y1214" s="11" t="inlineStr">
        <is>
          <t>-</t>
        </is>
      </c>
      <c r="Z1214" s="11" t="n">
        <v>0</v>
      </c>
      <c r="AA1214" s="11" t="inlineStr">
        <is>
          <t>垫到60抽</t>
        </is>
      </c>
      <c r="AB1214" s="12">
        <f>AE1213</f>
        <v/>
      </c>
      <c r="AC1214" s="12" t="n">
        <v>4</v>
      </c>
      <c r="AD1214" s="12" t="n">
        <v>0</v>
      </c>
      <c r="AE1214" s="12">
        <f>AB1214+AC1214+AD1214</f>
        <v/>
      </c>
      <c r="AF1214" s="13">
        <f>AI1213</f>
        <v/>
      </c>
      <c r="AG1214" s="13" t="n">
        <v>0</v>
      </c>
      <c r="AH1214" s="13" t="n">
        <v>0</v>
      </c>
      <c r="AI1214" s="13">
        <f>AF1214+AG1214+AH1214</f>
        <v/>
      </c>
      <c r="AJ1214" s="14" t="n">
        <v>0</v>
      </c>
      <c r="AK1214" s="14" t="n">
        <v>50</v>
      </c>
      <c r="AL1214" s="14" t="n">
        <v>0</v>
      </c>
      <c r="AM1214" s="14">
        <f>AJ1214+AK1214+AL1214</f>
        <v/>
      </c>
      <c r="AN1214" s="14">
        <f>AN1213+AM1214</f>
        <v/>
      </c>
    </row>
    <row r="1215">
      <c r="A1215" s="8" t="n">
        <v>47</v>
      </c>
      <c r="B1215" s="8" t="n">
        <v>9</v>
      </c>
      <c r="C1215" s="8" t="n">
        <v>2</v>
      </c>
      <c r="D1215" s="8" t="inlineStr">
        <is>
          <t>月卡收益 [月卡续费-30元]</t>
        </is>
      </c>
      <c r="E1215" s="9">
        <f>K1214</f>
        <v/>
      </c>
      <c r="F1215" s="9" t="n">
        <v>1540</v>
      </c>
      <c r="G1215" s="9" t="n">
        <v>0</v>
      </c>
      <c r="H1215" s="9" t="n">
        <v>0</v>
      </c>
      <c r="I1215" s="9" t="n">
        <v>0</v>
      </c>
      <c r="J1215" s="9" t="n">
        <v>160</v>
      </c>
      <c r="K1215" s="9">
        <f>E1215+F1215+G1215+H1215+I1215-J1215</f>
        <v/>
      </c>
      <c r="L1215" s="10">
        <f>Q1214</f>
        <v/>
      </c>
      <c r="M1215" s="10" t="n">
        <v>0</v>
      </c>
      <c r="N1215" s="10" t="n">
        <v>3</v>
      </c>
      <c r="O1215" s="10">
        <f>J1215/160</f>
        <v/>
      </c>
      <c r="P1215" s="10" t="n">
        <v>40</v>
      </c>
      <c r="Q1215" s="10">
        <f>L1215+M1215+N1215+O1215-P1215</f>
        <v/>
      </c>
      <c r="R1215" s="11">
        <f>T1214</f>
        <v/>
      </c>
      <c r="S1215" s="11">
        <f>N(V1215) + N(X1215) + N(Z1215)</f>
        <v/>
      </c>
      <c r="T1215" s="11">
        <f>R1215+P1215-S1215</f>
        <v/>
      </c>
      <c r="U1215" s="11" t="inlineStr">
        <is>
          <t>是</t>
        </is>
      </c>
      <c r="V1215" s="11" t="n">
        <v>49</v>
      </c>
      <c r="W1215" s="11" t="inlineStr">
        <is>
          <t>否</t>
        </is>
      </c>
      <c r="X1215" s="11" t="inlineStr">
        <is>
          <t>-</t>
        </is>
      </c>
      <c r="Y1215" s="11" t="inlineStr">
        <is>
          <t>-</t>
        </is>
      </c>
      <c r="Z1215" s="11" t="n">
        <v>0</v>
      </c>
      <c r="AA1215" s="11" t="inlineStr">
        <is>
          <t>无</t>
        </is>
      </c>
      <c r="AB1215" s="12">
        <f>AE1214</f>
        <v/>
      </c>
      <c r="AC1215" s="12" t="n">
        <v>0</v>
      </c>
      <c r="AD1215" s="12" t="n">
        <v>0</v>
      </c>
      <c r="AE1215" s="12">
        <f>AB1215+AC1215+AD1215</f>
        <v/>
      </c>
      <c r="AF1215" s="13">
        <f>AI1214</f>
        <v/>
      </c>
      <c r="AG1215" s="13" t="n">
        <v>0</v>
      </c>
      <c r="AH1215" s="13" t="n">
        <v>0</v>
      </c>
      <c r="AI1215" s="13">
        <f>AF1215+AG1215+AH1215</f>
        <v/>
      </c>
      <c r="AJ1215" s="14" t="n">
        <v>30</v>
      </c>
      <c r="AK1215" s="14" t="n">
        <v>0</v>
      </c>
      <c r="AL1215" s="14" t="n">
        <v>0</v>
      </c>
      <c r="AM1215" s="14">
        <f>AJ1215+AK1215+AL1215</f>
        <v/>
      </c>
      <c r="AN1215" s="14">
        <f>AN1214+AM1215</f>
        <v/>
      </c>
    </row>
    <row r="1216">
      <c r="A1216" s="8" t="n">
        <v>47</v>
      </c>
      <c r="B1216" s="8" t="n">
        <v>10</v>
      </c>
      <c r="C1216" s="8" t="n">
        <v>1</v>
      </c>
      <c r="D1216" s="8" t="inlineStr">
        <is>
          <t>版本免费+义相逢 + 月卡收益</t>
        </is>
      </c>
      <c r="E1216" s="9">
        <f>K1215</f>
        <v/>
      </c>
      <c r="F1216" s="9" t="n">
        <v>1540</v>
      </c>
      <c r="G1216" s="9" t="n">
        <v>4800</v>
      </c>
      <c r="H1216" s="9" t="n">
        <v>0</v>
      </c>
      <c r="I1216" s="9" t="n">
        <v>0</v>
      </c>
      <c r="J1216" s="9" t="n">
        <v>0</v>
      </c>
      <c r="K1216" s="9">
        <f>E1216+F1216+G1216+H1216+I1216-J1216</f>
        <v/>
      </c>
      <c r="L1216" s="10">
        <f>Q1215</f>
        <v/>
      </c>
      <c r="M1216" s="10" t="n">
        <v>85</v>
      </c>
      <c r="N1216" s="10" t="n">
        <v>1</v>
      </c>
      <c r="O1216" s="10">
        <f>J1216/160</f>
        <v/>
      </c>
      <c r="P1216" s="10" t="n">
        <v>20</v>
      </c>
      <c r="Q1216" s="10">
        <f>L1216+M1216+N1216+O1216-P1216</f>
        <v/>
      </c>
      <c r="R1216" s="11">
        <f>T1215</f>
        <v/>
      </c>
      <c r="S1216" s="11">
        <f>N(V1216) + N(X1216) + N(Z1216)</f>
        <v/>
      </c>
      <c r="T1216" s="11">
        <f>R1216+P1216-S1216</f>
        <v/>
      </c>
      <c r="U1216" s="11" t="inlineStr">
        <is>
          <t>是</t>
        </is>
      </c>
      <c r="V1216" s="11" t="n">
        <v>14</v>
      </c>
      <c r="W1216" s="11" t="inlineStr">
        <is>
          <t>否</t>
        </is>
      </c>
      <c r="X1216" s="11" t="inlineStr">
        <is>
          <t>-</t>
        </is>
      </c>
      <c r="Y1216" s="11" t="inlineStr">
        <is>
          <t>-</t>
        </is>
      </c>
      <c r="Z1216" s="11" t="n">
        <v>0</v>
      </c>
      <c r="AA1216" s="11" t="inlineStr">
        <is>
          <t>无</t>
        </is>
      </c>
      <c r="AB1216" s="12">
        <f>AE1215</f>
        <v/>
      </c>
      <c r="AC1216" s="12" t="n">
        <v>4</v>
      </c>
      <c r="AD1216" s="12" t="n">
        <v>0</v>
      </c>
      <c r="AE1216" s="12">
        <f>AB1216+AC1216+AD1216</f>
        <v/>
      </c>
      <c r="AF1216" s="13">
        <f>AI1215</f>
        <v/>
      </c>
      <c r="AG1216" s="13" t="n">
        <v>0</v>
      </c>
      <c r="AH1216" s="13" t="n">
        <v>0</v>
      </c>
      <c r="AI1216" s="13">
        <f>AF1216+AG1216+AH1216</f>
        <v/>
      </c>
      <c r="AJ1216" s="14" t="n">
        <v>0</v>
      </c>
      <c r="AK1216" s="14" t="n">
        <v>50</v>
      </c>
      <c r="AL1216" s="14" t="n">
        <v>0</v>
      </c>
      <c r="AM1216" s="14">
        <f>AJ1216+AK1216+AL1216</f>
        <v/>
      </c>
      <c r="AN1216" s="14">
        <f>AN1215+AM1216</f>
        <v/>
      </c>
    </row>
    <row r="1217">
      <c r="A1217" s="8" t="n">
        <v>47</v>
      </c>
      <c r="B1217" s="8" t="n">
        <v>10</v>
      </c>
      <c r="C1217" s="8" t="n">
        <v>2</v>
      </c>
      <c r="D1217" s="8" t="inlineStr">
        <is>
          <t>月卡收益</t>
        </is>
      </c>
      <c r="E1217" s="9">
        <f>K1216</f>
        <v/>
      </c>
      <c r="F1217" s="9" t="n">
        <v>1540</v>
      </c>
      <c r="G1217" s="9" t="n">
        <v>0</v>
      </c>
      <c r="H1217" s="9" t="n">
        <v>0</v>
      </c>
      <c r="I1217" s="9" t="n">
        <v>0</v>
      </c>
      <c r="J1217" s="9" t="n">
        <v>18080</v>
      </c>
      <c r="K1217" s="9">
        <f>E1217+F1217+G1217+H1217+I1217-J1217</f>
        <v/>
      </c>
      <c r="L1217" s="10">
        <f>Q1216</f>
        <v/>
      </c>
      <c r="M1217" s="10" t="n">
        <v>0</v>
      </c>
      <c r="N1217" s="10" t="n">
        <v>21</v>
      </c>
      <c r="O1217" s="10">
        <f>J1217/160</f>
        <v/>
      </c>
      <c r="P1217" s="10" t="n">
        <v>200</v>
      </c>
      <c r="Q1217" s="10">
        <f>L1217+M1217+N1217+O1217-P1217</f>
        <v/>
      </c>
      <c r="R1217" s="11">
        <f>T1216</f>
        <v/>
      </c>
      <c r="S1217" s="11">
        <f>N(V1217) + N(X1217) + N(Z1217)</f>
        <v/>
      </c>
      <c r="T1217" s="11">
        <f>R1217+P1217-S1217</f>
        <v/>
      </c>
      <c r="U1217" s="11" t="inlineStr">
        <is>
          <t>是</t>
        </is>
      </c>
      <c r="V1217" s="11" t="n">
        <v>49</v>
      </c>
      <c r="W1217" s="11" t="inlineStr">
        <is>
          <t>是</t>
        </is>
      </c>
      <c r="X1217" s="11" t="n">
        <v>46</v>
      </c>
      <c r="Y1217" s="11" t="inlineStr">
        <is>
          <t>歪(51), UP(51)</t>
        </is>
      </c>
      <c r="Z1217" s="11" t="n">
        <v>102</v>
      </c>
      <c r="AA1217" s="11" t="inlineStr">
        <is>
          <t>冲刺200(动态90)</t>
        </is>
      </c>
      <c r="AB1217" s="12">
        <f>AE1216</f>
        <v/>
      </c>
      <c r="AC1217" s="12" t="n">
        <v>0</v>
      </c>
      <c r="AD1217" s="12" t="n">
        <v>1</v>
      </c>
      <c r="AE1217" s="12">
        <f>AB1217+AC1217+AD1217</f>
        <v/>
      </c>
      <c r="AF1217" s="13">
        <f>AI1216</f>
        <v/>
      </c>
      <c r="AG1217" s="13" t="n">
        <v>0</v>
      </c>
      <c r="AH1217" s="13" t="n">
        <v>5000</v>
      </c>
      <c r="AI1217" s="13">
        <f>AF1217+AG1217+AH1217</f>
        <v/>
      </c>
      <c r="AJ1217" s="14" t="n">
        <v>0</v>
      </c>
      <c r="AK1217" s="14" t="n">
        <v>0</v>
      </c>
      <c r="AL1217" s="14" t="n">
        <v>0</v>
      </c>
      <c r="AM1217" s="14">
        <f>AJ1217+AK1217+AL1217</f>
        <v/>
      </c>
      <c r="AN1217" s="14">
        <f>AN1216+AM1217</f>
        <v/>
      </c>
    </row>
    <row r="1218">
      <c r="A1218" s="8" t="n">
        <v>47</v>
      </c>
      <c r="B1218" s="8" t="n">
        <v>11</v>
      </c>
      <c r="C1218" s="8" t="n">
        <v>1</v>
      </c>
      <c r="D1218" s="8" t="inlineStr">
        <is>
          <t>版本免费+义相逢 + 月卡收益 [月卡续费-30元]</t>
        </is>
      </c>
      <c r="E1218" s="9">
        <f>K1217</f>
        <v/>
      </c>
      <c r="F1218" s="9" t="n">
        <v>1540</v>
      </c>
      <c r="G1218" s="9" t="n">
        <v>4800</v>
      </c>
      <c r="H1218" s="9" t="n">
        <v>0</v>
      </c>
      <c r="I1218" s="9" t="n">
        <v>0</v>
      </c>
      <c r="J1218" s="9" t="n">
        <v>0</v>
      </c>
      <c r="K1218" s="9">
        <f>E1218+F1218+G1218+H1218+I1218-J1218</f>
        <v/>
      </c>
      <c r="L1218" s="10">
        <f>Q1217</f>
        <v/>
      </c>
      <c r="M1218" s="10" t="n">
        <v>85</v>
      </c>
      <c r="N1218" s="10" t="n">
        <v>3</v>
      </c>
      <c r="O1218" s="10">
        <f>J1218/160</f>
        <v/>
      </c>
      <c r="P1218" s="10" t="n">
        <v>40</v>
      </c>
      <c r="Q1218" s="10">
        <f>L1218+M1218+N1218+O1218-P1218</f>
        <v/>
      </c>
      <c r="R1218" s="11">
        <f>T1217</f>
        <v/>
      </c>
      <c r="S1218" s="11">
        <f>N(V1218) + N(X1218) + N(Z1218)</f>
        <v/>
      </c>
      <c r="T1218" s="11">
        <f>R1218+P1218-S1218</f>
        <v/>
      </c>
      <c r="U1218" s="11" t="inlineStr">
        <is>
          <t>是</t>
        </is>
      </c>
      <c r="V1218" s="11" t="n">
        <v>49</v>
      </c>
      <c r="W1218" s="11" t="inlineStr">
        <is>
          <t>否</t>
        </is>
      </c>
      <c r="X1218" s="11" t="inlineStr">
        <is>
          <t>-</t>
        </is>
      </c>
      <c r="Y1218" s="11" t="inlineStr">
        <is>
          <t>-</t>
        </is>
      </c>
      <c r="Z1218" s="11" t="n">
        <v>0</v>
      </c>
      <c r="AA1218" s="11" t="inlineStr">
        <is>
          <t>无</t>
        </is>
      </c>
      <c r="AB1218" s="12">
        <f>AE1217</f>
        <v/>
      </c>
      <c r="AC1218" s="12" t="n">
        <v>4</v>
      </c>
      <c r="AD1218" s="12" t="n">
        <v>0</v>
      </c>
      <c r="AE1218" s="12">
        <f>AB1218+AC1218+AD1218</f>
        <v/>
      </c>
      <c r="AF1218" s="13">
        <f>AI1217</f>
        <v/>
      </c>
      <c r="AG1218" s="13" t="n">
        <v>0</v>
      </c>
      <c r="AH1218" s="13" t="n">
        <v>0</v>
      </c>
      <c r="AI1218" s="13">
        <f>AF1218+AG1218+AH1218</f>
        <v/>
      </c>
      <c r="AJ1218" s="14" t="n">
        <v>30</v>
      </c>
      <c r="AK1218" s="14" t="n">
        <v>50</v>
      </c>
      <c r="AL1218" s="14" t="n">
        <v>0</v>
      </c>
      <c r="AM1218" s="14">
        <f>AJ1218+AK1218+AL1218</f>
        <v/>
      </c>
      <c r="AN1218" s="14">
        <f>AN1217+AM1218</f>
        <v/>
      </c>
    </row>
    <row r="1219">
      <c r="A1219" s="8" t="n">
        <v>47</v>
      </c>
      <c r="B1219" s="8" t="n">
        <v>11</v>
      </c>
      <c r="C1219" s="8" t="n">
        <v>2</v>
      </c>
      <c r="D1219" s="8" t="inlineStr">
        <is>
          <t>月卡收益</t>
        </is>
      </c>
      <c r="E1219" s="9">
        <f>K1218</f>
        <v/>
      </c>
      <c r="F1219" s="9" t="n">
        <v>1540</v>
      </c>
      <c r="G1219" s="9" t="n">
        <v>0</v>
      </c>
      <c r="H1219" s="9" t="n">
        <v>0</v>
      </c>
      <c r="I1219" s="9" t="n">
        <v>0</v>
      </c>
      <c r="J1219" s="9" t="n">
        <v>1440</v>
      </c>
      <c r="K1219" s="9">
        <f>E1219+F1219+G1219+H1219+I1219-J1219</f>
        <v/>
      </c>
      <c r="L1219" s="10">
        <f>Q1218</f>
        <v/>
      </c>
      <c r="M1219" s="10" t="n">
        <v>0</v>
      </c>
      <c r="N1219" s="10" t="n">
        <v>6</v>
      </c>
      <c r="O1219" s="10">
        <f>J1219/160</f>
        <v/>
      </c>
      <c r="P1219" s="10" t="n">
        <v>60</v>
      </c>
      <c r="Q1219" s="10">
        <f>L1219+M1219+N1219+O1219-P1219</f>
        <v/>
      </c>
      <c r="R1219" s="11">
        <f>T1218</f>
        <v/>
      </c>
      <c r="S1219" s="11">
        <f>N(V1219) + N(X1219) + N(Z1219)</f>
        <v/>
      </c>
      <c r="T1219" s="11">
        <f>R1219+P1219-S1219</f>
        <v/>
      </c>
      <c r="U1219" s="11" t="inlineStr">
        <is>
          <t>是</t>
        </is>
      </c>
      <c r="V1219" s="11" t="n">
        <v>48</v>
      </c>
      <c r="W1219" s="11" t="inlineStr">
        <is>
          <t>否</t>
        </is>
      </c>
      <c r="X1219" s="11" t="inlineStr">
        <is>
          <t>-</t>
        </is>
      </c>
      <c r="Y1219" s="11" t="inlineStr">
        <is>
          <t>-</t>
        </is>
      </c>
      <c r="Z1219" s="11" t="n">
        <v>0</v>
      </c>
      <c r="AA1219" s="11" t="inlineStr">
        <is>
          <t>垫到60抽</t>
        </is>
      </c>
      <c r="AB1219" s="12">
        <f>AE1218</f>
        <v/>
      </c>
      <c r="AC1219" s="12" t="n">
        <v>0</v>
      </c>
      <c r="AD1219" s="12" t="n">
        <v>0</v>
      </c>
      <c r="AE1219" s="12">
        <f>AB1219+AC1219+AD1219</f>
        <v/>
      </c>
      <c r="AF1219" s="13">
        <f>AI1218</f>
        <v/>
      </c>
      <c r="AG1219" s="13" t="n">
        <v>0</v>
      </c>
      <c r="AH1219" s="13" t="n">
        <v>0</v>
      </c>
      <c r="AI1219" s="13">
        <f>AF1219+AG1219+AH1219</f>
        <v/>
      </c>
      <c r="AJ1219" s="14" t="n">
        <v>0</v>
      </c>
      <c r="AK1219" s="14" t="n">
        <v>0</v>
      </c>
      <c r="AL1219" s="14" t="n">
        <v>0</v>
      </c>
      <c r="AM1219" s="14">
        <f>AJ1219+AK1219+AL1219</f>
        <v/>
      </c>
      <c r="AN1219" s="14">
        <f>AN1218+AM1219</f>
        <v/>
      </c>
    </row>
    <row r="1220">
      <c r="A1220" s="8" t="n">
        <v>47</v>
      </c>
      <c r="B1220" s="8" t="n">
        <v>12</v>
      </c>
      <c r="C1220" s="8" t="n">
        <v>1</v>
      </c>
      <c r="D1220" s="8" t="inlineStr">
        <is>
          <t>版本免费+义相逢 + 月卡收益 [月卡续费-30元]</t>
        </is>
      </c>
      <c r="E1220" s="9">
        <f>K1219</f>
        <v/>
      </c>
      <c r="F1220" s="9" t="n">
        <v>1540</v>
      </c>
      <c r="G1220" s="9" t="n">
        <v>4800</v>
      </c>
      <c r="H1220" s="9" t="n">
        <v>0</v>
      </c>
      <c r="I1220" s="9" t="n">
        <v>0</v>
      </c>
      <c r="J1220" s="9" t="n">
        <v>0</v>
      </c>
      <c r="K1220" s="9">
        <f>E1220+F1220+G1220+H1220+I1220-J1220</f>
        <v/>
      </c>
      <c r="L1220" s="10">
        <f>Q1219</f>
        <v/>
      </c>
      <c r="M1220" s="10" t="n">
        <v>85</v>
      </c>
      <c r="N1220" s="10" t="n">
        <v>3</v>
      </c>
      <c r="O1220" s="10">
        <f>J1220/160</f>
        <v/>
      </c>
      <c r="P1220" s="10" t="n">
        <v>40</v>
      </c>
      <c r="Q1220" s="10">
        <f>L1220+M1220+N1220+O1220-P1220</f>
        <v/>
      </c>
      <c r="R1220" s="11">
        <f>T1219</f>
        <v/>
      </c>
      <c r="S1220" s="11">
        <f>N(V1220) + N(X1220) + N(Z1220)</f>
        <v/>
      </c>
      <c r="T1220" s="11">
        <f>R1220+P1220-S1220</f>
        <v/>
      </c>
      <c r="U1220" s="11" t="inlineStr">
        <is>
          <t>是</t>
        </is>
      </c>
      <c r="V1220" s="11" t="n">
        <v>2</v>
      </c>
      <c r="W1220" s="11" t="inlineStr">
        <is>
          <t>是</t>
        </is>
      </c>
      <c r="X1220" s="11" t="n">
        <v>47</v>
      </c>
      <c r="Y1220" s="11" t="inlineStr">
        <is>
          <t>-</t>
        </is>
      </c>
      <c r="Z1220" s="11" t="n">
        <v>0</v>
      </c>
      <c r="AA1220" s="11" t="inlineStr">
        <is>
          <t>无</t>
        </is>
      </c>
      <c r="AB1220" s="12">
        <f>AE1219</f>
        <v/>
      </c>
      <c r="AC1220" s="12" t="n">
        <v>4</v>
      </c>
      <c r="AD1220" s="12" t="n">
        <v>0</v>
      </c>
      <c r="AE1220" s="12">
        <f>AB1220+AC1220+AD1220</f>
        <v/>
      </c>
      <c r="AF1220" s="13">
        <f>AI1219</f>
        <v/>
      </c>
      <c r="AG1220" s="13" t="n">
        <v>0</v>
      </c>
      <c r="AH1220" s="13" t="n">
        <v>0</v>
      </c>
      <c r="AI1220" s="13">
        <f>AF1220+AG1220+AH1220</f>
        <v/>
      </c>
      <c r="AJ1220" s="14" t="n">
        <v>30</v>
      </c>
      <c r="AK1220" s="14" t="n">
        <v>50</v>
      </c>
      <c r="AL1220" s="14" t="n">
        <v>0</v>
      </c>
      <c r="AM1220" s="14">
        <f>AJ1220+AK1220+AL1220</f>
        <v/>
      </c>
      <c r="AN1220" s="14">
        <f>AN1219+AM1220</f>
        <v/>
      </c>
    </row>
    <row r="1221">
      <c r="A1221" s="8" t="n">
        <v>47</v>
      </c>
      <c r="B1221" s="8" t="n">
        <v>12</v>
      </c>
      <c r="C1221" s="8" t="n">
        <v>2</v>
      </c>
      <c r="D1221" s="8" t="inlineStr">
        <is>
          <t>月卡收益</t>
        </is>
      </c>
      <c r="E1221" s="9">
        <f>K1220</f>
        <v/>
      </c>
      <c r="F1221" s="9" t="n">
        <v>1540</v>
      </c>
      <c r="G1221" s="9" t="n">
        <v>0</v>
      </c>
      <c r="H1221" s="9" t="n">
        <v>0</v>
      </c>
      <c r="I1221" s="9" t="n">
        <v>0</v>
      </c>
      <c r="J1221" s="9" t="n">
        <v>960</v>
      </c>
      <c r="K1221" s="9">
        <f>E1221+F1221+G1221+H1221+I1221-J1221</f>
        <v/>
      </c>
      <c r="L1221" s="10">
        <f>Q1220</f>
        <v/>
      </c>
      <c r="M1221" s="10" t="n">
        <v>0</v>
      </c>
      <c r="N1221" s="10" t="n">
        <v>6</v>
      </c>
      <c r="O1221" s="10">
        <f>J1221/160</f>
        <v/>
      </c>
      <c r="P1221" s="10" t="n">
        <v>60</v>
      </c>
      <c r="Q1221" s="10">
        <f>L1221+M1221+N1221+O1221-P1221</f>
        <v/>
      </c>
      <c r="R1221" s="11">
        <f>T1220</f>
        <v/>
      </c>
      <c r="S1221" s="11">
        <f>N(V1221) + N(X1221) + N(Z1221)</f>
        <v/>
      </c>
      <c r="T1221" s="11">
        <f>R1221+P1221-S1221</f>
        <v/>
      </c>
      <c r="U1221" s="11" t="inlineStr">
        <is>
          <t>是</t>
        </is>
      </c>
      <c r="V1221" s="11" t="n">
        <v>49</v>
      </c>
      <c r="W1221" s="11" t="inlineStr">
        <is>
          <t>否</t>
        </is>
      </c>
      <c r="X1221" s="11" t="inlineStr">
        <is>
          <t>-</t>
        </is>
      </c>
      <c r="Y1221" s="11" t="inlineStr">
        <is>
          <t>UP(8)</t>
        </is>
      </c>
      <c r="Z1221" s="11" t="n">
        <v>8</v>
      </c>
      <c r="AA1221" s="11" t="inlineStr">
        <is>
          <t>垫到60抽</t>
        </is>
      </c>
      <c r="AB1221" s="12">
        <f>AE1220</f>
        <v/>
      </c>
      <c r="AC1221" s="12" t="n">
        <v>0</v>
      </c>
      <c r="AD1221" s="12" t="n">
        <v>0</v>
      </c>
      <c r="AE1221" s="12">
        <f>AB1221+AC1221+AD1221</f>
        <v/>
      </c>
      <c r="AF1221" s="13">
        <f>AI1220</f>
        <v/>
      </c>
      <c r="AG1221" s="13" t="n">
        <v>0</v>
      </c>
      <c r="AH1221" s="13" t="n">
        <v>0</v>
      </c>
      <c r="AI1221" s="13">
        <f>AF1221+AG1221+AH1221</f>
        <v/>
      </c>
      <c r="AJ1221" s="14" t="n">
        <v>0</v>
      </c>
      <c r="AK1221" s="14" t="n">
        <v>0</v>
      </c>
      <c r="AL1221" s="14" t="n">
        <v>0</v>
      </c>
      <c r="AM1221" s="14">
        <f>AJ1221+AK1221+AL1221</f>
        <v/>
      </c>
      <c r="AN1221" s="14">
        <f>AN1220+AM1221</f>
        <v/>
      </c>
    </row>
    <row r="1222">
      <c r="A1222" s="8" t="n">
        <v>47</v>
      </c>
      <c r="B1222" s="8" t="n">
        <v>13</v>
      </c>
      <c r="C1222" s="8" t="n">
        <v>1</v>
      </c>
      <c r="D1222" s="8" t="inlineStr">
        <is>
          <t>版本免费+义相逢 + 月卡收益 [月卡续费-30元]</t>
        </is>
      </c>
      <c r="E1222" s="9">
        <f>K1221</f>
        <v/>
      </c>
      <c r="F1222" s="9" t="n">
        <v>1540</v>
      </c>
      <c r="G1222" s="9" t="n">
        <v>4800</v>
      </c>
      <c r="H1222" s="9" t="n">
        <v>0</v>
      </c>
      <c r="I1222" s="9" t="n">
        <v>0</v>
      </c>
      <c r="J1222" s="9" t="n">
        <v>0</v>
      </c>
      <c r="K1222" s="9">
        <f>E1222+F1222+G1222+H1222+I1222-J1222</f>
        <v/>
      </c>
      <c r="L1222" s="10">
        <f>Q1221</f>
        <v/>
      </c>
      <c r="M1222" s="10" t="n">
        <v>85</v>
      </c>
      <c r="N1222" s="10" t="n">
        <v>6</v>
      </c>
      <c r="O1222" s="10">
        <f>J1222/160</f>
        <v/>
      </c>
      <c r="P1222" s="10" t="n">
        <v>60</v>
      </c>
      <c r="Q1222" s="10">
        <f>L1222+M1222+N1222+O1222-P1222</f>
        <v/>
      </c>
      <c r="R1222" s="11">
        <f>T1221</f>
        <v/>
      </c>
      <c r="S1222" s="11">
        <f>N(V1222) + N(X1222) + N(Z1222)</f>
        <v/>
      </c>
      <c r="T1222" s="11">
        <f>R1222+P1222-S1222</f>
        <v/>
      </c>
      <c r="U1222" s="11" t="inlineStr">
        <is>
          <t>是</t>
        </is>
      </c>
      <c r="V1222" s="11" t="n">
        <v>49</v>
      </c>
      <c r="W1222" s="11" t="inlineStr">
        <is>
          <t>否</t>
        </is>
      </c>
      <c r="X1222" s="11" t="inlineStr">
        <is>
          <t>-</t>
        </is>
      </c>
      <c r="Y1222" s="11" t="inlineStr">
        <is>
          <t>-</t>
        </is>
      </c>
      <c r="Z1222" s="11" t="n">
        <v>0</v>
      </c>
      <c r="AA1222" s="11" t="inlineStr">
        <is>
          <t>垫到60抽</t>
        </is>
      </c>
      <c r="AB1222" s="12">
        <f>AE1221</f>
        <v/>
      </c>
      <c r="AC1222" s="12" t="n">
        <v>4</v>
      </c>
      <c r="AD1222" s="12" t="n">
        <v>0</v>
      </c>
      <c r="AE1222" s="12">
        <f>AB1222+AC1222+AD1222</f>
        <v/>
      </c>
      <c r="AF1222" s="13">
        <f>AI1221</f>
        <v/>
      </c>
      <c r="AG1222" s="13" t="n">
        <v>0</v>
      </c>
      <c r="AH1222" s="13" t="n">
        <v>0</v>
      </c>
      <c r="AI1222" s="13">
        <f>AF1222+AG1222+AH1222</f>
        <v/>
      </c>
      <c r="AJ1222" s="14" t="n">
        <v>30</v>
      </c>
      <c r="AK1222" s="14" t="n">
        <v>50</v>
      </c>
      <c r="AL1222" s="14" t="n">
        <v>0</v>
      </c>
      <c r="AM1222" s="14">
        <f>AJ1222+AK1222+AL1222</f>
        <v/>
      </c>
      <c r="AN1222" s="14">
        <f>AN1221+AM1222</f>
        <v/>
      </c>
    </row>
    <row r="1223">
      <c r="A1223" s="8" t="n">
        <v>47</v>
      </c>
      <c r="B1223" s="8" t="n">
        <v>13</v>
      </c>
      <c r="C1223" s="8" t="n">
        <v>2</v>
      </c>
      <c r="D1223" s="8" t="inlineStr">
        <is>
          <t>月卡收益</t>
        </is>
      </c>
      <c r="E1223" s="9">
        <f>K1222</f>
        <v/>
      </c>
      <c r="F1223" s="9" t="n">
        <v>1540</v>
      </c>
      <c r="G1223" s="9" t="n">
        <v>0</v>
      </c>
      <c r="H1223" s="9" t="n">
        <v>0</v>
      </c>
      <c r="I1223" s="9" t="n">
        <v>0</v>
      </c>
      <c r="J1223" s="9" t="n">
        <v>23200</v>
      </c>
      <c r="K1223" s="9">
        <f>E1223+F1223+G1223+H1223+I1223-J1223</f>
        <v/>
      </c>
      <c r="L1223" s="10">
        <f>Q1222</f>
        <v/>
      </c>
      <c r="M1223" s="10" t="n">
        <v>0</v>
      </c>
      <c r="N1223" s="10" t="n">
        <v>21</v>
      </c>
      <c r="O1223" s="10">
        <f>J1223/160</f>
        <v/>
      </c>
      <c r="P1223" s="10" t="n">
        <v>200</v>
      </c>
      <c r="Q1223" s="10">
        <f>L1223+M1223+N1223+O1223-P1223</f>
        <v/>
      </c>
      <c r="R1223" s="11">
        <f>T1222</f>
        <v/>
      </c>
      <c r="S1223" s="11">
        <f>N(V1223) + N(X1223) + N(Z1223)</f>
        <v/>
      </c>
      <c r="T1223" s="11">
        <f>R1223+P1223-S1223</f>
        <v/>
      </c>
      <c r="U1223" s="11" t="inlineStr">
        <is>
          <t>是</t>
        </is>
      </c>
      <c r="V1223" s="11" t="n">
        <v>51</v>
      </c>
      <c r="W1223" s="11" t="inlineStr">
        <is>
          <t>是</t>
        </is>
      </c>
      <c r="X1223" s="11" t="n">
        <v>51</v>
      </c>
      <c r="Y1223" s="11" t="inlineStr">
        <is>
          <t>歪(51), UP(4), 歪(49)</t>
        </is>
      </c>
      <c r="Z1223" s="11" t="n">
        <v>104</v>
      </c>
      <c r="AA1223" s="11" t="inlineStr">
        <is>
          <t>冲刺200(动态90)</t>
        </is>
      </c>
      <c r="AB1223" s="12">
        <f>AE1222</f>
        <v/>
      </c>
      <c r="AC1223" s="12" t="n">
        <v>0</v>
      </c>
      <c r="AD1223" s="12" t="n">
        <v>1</v>
      </c>
      <c r="AE1223" s="12">
        <f>AB1223+AC1223+AD1223</f>
        <v/>
      </c>
      <c r="AF1223" s="13">
        <f>AI1222</f>
        <v/>
      </c>
      <c r="AG1223" s="13" t="n">
        <v>0</v>
      </c>
      <c r="AH1223" s="13" t="n">
        <v>5000</v>
      </c>
      <c r="AI1223" s="13">
        <f>AF1223+AG1223+AH1223</f>
        <v/>
      </c>
      <c r="AJ1223" s="14" t="n">
        <v>0</v>
      </c>
      <c r="AK1223" s="14" t="n">
        <v>0</v>
      </c>
      <c r="AL1223" s="14" t="n">
        <v>0</v>
      </c>
      <c r="AM1223" s="14">
        <f>AJ1223+AK1223+AL1223</f>
        <v/>
      </c>
      <c r="AN1223" s="14">
        <f>AN1222+AM1223</f>
        <v/>
      </c>
    </row>
    <row r="1224">
      <c r="A1224" s="8" t="n">
        <v>48</v>
      </c>
      <c r="B1224" s="8" t="n">
        <v>1</v>
      </c>
      <c r="C1224" s="8" t="n">
        <v>1</v>
      </c>
      <c r="D1224" s="8" t="inlineStr">
        <is>
          <t>版本免费+义相逢 + 月卡收益 [月卡续费-30元]</t>
        </is>
      </c>
      <c r="E1224" s="9" t="n">
        <v>27480</v>
      </c>
      <c r="F1224" s="9" t="n">
        <v>1540</v>
      </c>
      <c r="G1224" s="9" t="n">
        <v>4800</v>
      </c>
      <c r="H1224" s="9" t="n">
        <v>0</v>
      </c>
      <c r="I1224" s="9" t="n">
        <v>0</v>
      </c>
      <c r="J1224" s="9" t="n">
        <v>0</v>
      </c>
      <c r="K1224" s="9">
        <f>E1224+F1224+G1224+H1224+I1224-J1224</f>
        <v/>
      </c>
      <c r="L1224" s="10" t="n">
        <v>0</v>
      </c>
      <c r="M1224" s="10" t="n">
        <v>85</v>
      </c>
      <c r="N1224" s="10" t="n">
        <v>3</v>
      </c>
      <c r="O1224" s="10">
        <f>J1224/160</f>
        <v/>
      </c>
      <c r="P1224" s="10" t="n">
        <v>40</v>
      </c>
      <c r="Q1224" s="10">
        <f>L1224+M1224+N1224+O1224-P1224</f>
        <v/>
      </c>
      <c r="R1224" s="11" t="n">
        <v>12</v>
      </c>
      <c r="S1224" s="11">
        <f>N(V1224) + N(X1224) + N(Z1224)</f>
        <v/>
      </c>
      <c r="T1224" s="11">
        <f>R1224+P1224-S1224</f>
        <v/>
      </c>
      <c r="U1224" s="11" t="inlineStr">
        <is>
          <t>是</t>
        </is>
      </c>
      <c r="V1224" s="11" t="n">
        <v>50</v>
      </c>
      <c r="W1224" s="11" t="inlineStr">
        <is>
          <t>否</t>
        </is>
      </c>
      <c r="X1224" s="11" t="inlineStr">
        <is>
          <t>-</t>
        </is>
      </c>
      <c r="Y1224" s="11" t="inlineStr">
        <is>
          <t>-</t>
        </is>
      </c>
      <c r="Z1224" s="11" t="n">
        <v>0</v>
      </c>
      <c r="AA1224" s="11" t="inlineStr">
        <is>
          <t>无</t>
        </is>
      </c>
      <c r="AB1224" s="12" t="n">
        <v>2510</v>
      </c>
      <c r="AC1224" s="12" t="n">
        <v>4</v>
      </c>
      <c r="AD1224" s="12" t="n">
        <v>0</v>
      </c>
      <c r="AE1224" s="12">
        <f>AB1224+AC1224+AD1224</f>
        <v/>
      </c>
      <c r="AF1224" s="13" t="n">
        <v>330000</v>
      </c>
      <c r="AG1224" s="13" t="n">
        <v>0</v>
      </c>
      <c r="AH1224" s="13" t="n">
        <v>0</v>
      </c>
      <c r="AI1224" s="13">
        <f>AF1224+AG1224+AH1224</f>
        <v/>
      </c>
      <c r="AJ1224" s="14" t="n">
        <v>30</v>
      </c>
      <c r="AK1224" s="14" t="n">
        <v>50</v>
      </c>
      <c r="AL1224" s="14" t="n">
        <v>0</v>
      </c>
      <c r="AM1224" s="14">
        <f>AJ1224+AK1224+AL1224</f>
        <v/>
      </c>
      <c r="AN1224" s="14">
        <f>AM1224</f>
        <v/>
      </c>
    </row>
    <row r="1225">
      <c r="A1225" s="8" t="n">
        <v>48</v>
      </c>
      <c r="B1225" s="8" t="n">
        <v>1</v>
      </c>
      <c r="C1225" s="8" t="n">
        <v>2</v>
      </c>
      <c r="D1225" s="8" t="inlineStr">
        <is>
          <t>月卡收益</t>
        </is>
      </c>
      <c r="E1225" s="9">
        <f>K1224</f>
        <v/>
      </c>
      <c r="F1225" s="9" t="n">
        <v>1540</v>
      </c>
      <c r="G1225" s="9" t="n">
        <v>0</v>
      </c>
      <c r="H1225" s="9" t="n">
        <v>0</v>
      </c>
      <c r="I1225" s="9" t="n">
        <v>0</v>
      </c>
      <c r="J1225" s="9" t="n">
        <v>1440</v>
      </c>
      <c r="K1225" s="9">
        <f>E1225+F1225+G1225+H1225+I1225-J1225</f>
        <v/>
      </c>
      <c r="L1225" s="10">
        <f>Q1224</f>
        <v/>
      </c>
      <c r="M1225" s="10" t="n">
        <v>0</v>
      </c>
      <c r="N1225" s="10" t="n">
        <v>6</v>
      </c>
      <c r="O1225" s="10">
        <f>J1225/160</f>
        <v/>
      </c>
      <c r="P1225" s="10" t="n">
        <v>60</v>
      </c>
      <c r="Q1225" s="10">
        <f>L1225+M1225+N1225+O1225-P1225</f>
        <v/>
      </c>
      <c r="R1225" s="11">
        <f>T1224</f>
        <v/>
      </c>
      <c r="S1225" s="11">
        <f>N(V1225) + N(X1225) + N(Z1225)</f>
        <v/>
      </c>
      <c r="T1225" s="11">
        <f>R1225+P1225-S1225</f>
        <v/>
      </c>
      <c r="U1225" s="11" t="inlineStr">
        <is>
          <t>是</t>
        </is>
      </c>
      <c r="V1225" s="11" t="n">
        <v>54</v>
      </c>
      <c r="W1225" s="11" t="inlineStr">
        <is>
          <t>否</t>
        </is>
      </c>
      <c r="X1225" s="11" t="inlineStr">
        <is>
          <t>-</t>
        </is>
      </c>
      <c r="Y1225" s="11" t="inlineStr">
        <is>
          <t>-</t>
        </is>
      </c>
      <c r="Z1225" s="11" t="n">
        <v>0</v>
      </c>
      <c r="AA1225" s="11" t="inlineStr">
        <is>
          <t>无</t>
        </is>
      </c>
      <c r="AB1225" s="12">
        <f>AE1224</f>
        <v/>
      </c>
      <c r="AC1225" s="12" t="n">
        <v>0</v>
      </c>
      <c r="AD1225" s="12" t="n">
        <v>0</v>
      </c>
      <c r="AE1225" s="12">
        <f>AB1225+AC1225+AD1225</f>
        <v/>
      </c>
      <c r="AF1225" s="13">
        <f>AI1224</f>
        <v/>
      </c>
      <c r="AG1225" s="13" t="n">
        <v>0</v>
      </c>
      <c r="AH1225" s="13" t="n">
        <v>0</v>
      </c>
      <c r="AI1225" s="13">
        <f>AF1225+AG1225+AH1225</f>
        <v/>
      </c>
      <c r="AJ1225" s="14" t="n">
        <v>0</v>
      </c>
      <c r="AK1225" s="14" t="n">
        <v>0</v>
      </c>
      <c r="AL1225" s="14" t="n">
        <v>0</v>
      </c>
      <c r="AM1225" s="14">
        <f>AJ1225+AK1225+AL1225</f>
        <v/>
      </c>
      <c r="AN1225" s="14">
        <f>AN1224+AM1225</f>
        <v/>
      </c>
    </row>
    <row r="1226">
      <c r="A1226" s="8" t="n">
        <v>48</v>
      </c>
      <c r="B1226" s="8" t="n">
        <v>2</v>
      </c>
      <c r="C1226" s="8" t="n">
        <v>1</v>
      </c>
      <c r="D1226" s="8" t="inlineStr">
        <is>
          <t>版本免费+义相逢 + 月卡收益 [月卡续费-30元]</t>
        </is>
      </c>
      <c r="E1226" s="9">
        <f>K1225</f>
        <v/>
      </c>
      <c r="F1226" s="9" t="n">
        <v>1540</v>
      </c>
      <c r="G1226" s="9" t="n">
        <v>4800</v>
      </c>
      <c r="H1226" s="9" t="n">
        <v>0</v>
      </c>
      <c r="I1226" s="9" t="n">
        <v>0</v>
      </c>
      <c r="J1226" s="9" t="n">
        <v>14560</v>
      </c>
      <c r="K1226" s="9">
        <f>E1226+F1226+G1226+H1226+I1226-J1226</f>
        <v/>
      </c>
      <c r="L1226" s="10">
        <f>Q1225</f>
        <v/>
      </c>
      <c r="M1226" s="10" t="n">
        <v>85</v>
      </c>
      <c r="N1226" s="10" t="n">
        <v>21</v>
      </c>
      <c r="O1226" s="10">
        <f>J1226/160</f>
        <v/>
      </c>
      <c r="P1226" s="10" t="n">
        <v>200</v>
      </c>
      <c r="Q1226" s="10">
        <f>L1226+M1226+N1226+O1226-P1226</f>
        <v/>
      </c>
      <c r="R1226" s="11">
        <f>T1225</f>
        <v/>
      </c>
      <c r="S1226" s="11">
        <f>N(V1226) + N(X1226) + N(Z1226)</f>
        <v/>
      </c>
      <c r="T1226" s="11">
        <f>R1226+P1226-S1226</f>
        <v/>
      </c>
      <c r="U1226" s="11" t="inlineStr">
        <is>
          <t>是</t>
        </is>
      </c>
      <c r="V1226" s="11" t="n">
        <v>50</v>
      </c>
      <c r="W1226" s="11" t="inlineStr">
        <is>
          <t>是</t>
        </is>
      </c>
      <c r="X1226" s="11" t="n">
        <v>50</v>
      </c>
      <c r="Y1226" s="11" t="inlineStr">
        <is>
          <t>UP(52), 歪(51)</t>
        </is>
      </c>
      <c r="Z1226" s="11" t="n">
        <v>103</v>
      </c>
      <c r="AA1226" s="11" t="inlineStr">
        <is>
          <t>冲刺200(动态90)</t>
        </is>
      </c>
      <c r="AB1226" s="12">
        <f>AE1225</f>
        <v/>
      </c>
      <c r="AC1226" s="12" t="n">
        <v>4</v>
      </c>
      <c r="AD1226" s="12" t="n">
        <v>1</v>
      </c>
      <c r="AE1226" s="12">
        <f>AB1226+AC1226+AD1226</f>
        <v/>
      </c>
      <c r="AF1226" s="13">
        <f>AI1225</f>
        <v/>
      </c>
      <c r="AG1226" s="13" t="n">
        <v>0</v>
      </c>
      <c r="AH1226" s="13" t="n">
        <v>5000</v>
      </c>
      <c r="AI1226" s="13">
        <f>AF1226+AG1226+AH1226</f>
        <v/>
      </c>
      <c r="AJ1226" s="14" t="n">
        <v>30</v>
      </c>
      <c r="AK1226" s="14" t="n">
        <v>50</v>
      </c>
      <c r="AL1226" s="14" t="n">
        <v>0</v>
      </c>
      <c r="AM1226" s="14">
        <f>AJ1226+AK1226+AL1226</f>
        <v/>
      </c>
      <c r="AN1226" s="14">
        <f>AN1225+AM1226</f>
        <v/>
      </c>
    </row>
    <row r="1227">
      <c r="A1227" s="8" t="n">
        <v>48</v>
      </c>
      <c r="B1227" s="8" t="n">
        <v>2</v>
      </c>
      <c r="C1227" s="8" t="n">
        <v>2</v>
      </c>
      <c r="D1227" s="8" t="inlineStr">
        <is>
          <t>月卡收益</t>
        </is>
      </c>
      <c r="E1227" s="9">
        <f>K1226</f>
        <v/>
      </c>
      <c r="F1227" s="9" t="n">
        <v>1540</v>
      </c>
      <c r="G1227" s="9" t="n">
        <v>0</v>
      </c>
      <c r="H1227" s="9" t="n">
        <v>0</v>
      </c>
      <c r="I1227" s="9" t="n">
        <v>0</v>
      </c>
      <c r="J1227" s="9" t="n">
        <v>9120</v>
      </c>
      <c r="K1227" s="9">
        <f>E1227+F1227+G1227+H1227+I1227-J1227</f>
        <v/>
      </c>
      <c r="L1227" s="10">
        <f>Q1226</f>
        <v/>
      </c>
      <c r="M1227" s="10" t="n">
        <v>0</v>
      </c>
      <c r="N1227" s="10" t="n">
        <v>6</v>
      </c>
      <c r="O1227" s="10">
        <f>J1227/160</f>
        <v/>
      </c>
      <c r="P1227" s="10" t="n">
        <v>60</v>
      </c>
      <c r="Q1227" s="10">
        <f>L1227+M1227+N1227+O1227-P1227</f>
        <v/>
      </c>
      <c r="R1227" s="11">
        <f>T1226</f>
        <v/>
      </c>
      <c r="S1227" s="11">
        <f>N(V1227) + N(X1227) + N(Z1227)</f>
        <v/>
      </c>
      <c r="T1227" s="11">
        <f>R1227+P1227-S1227</f>
        <v/>
      </c>
      <c r="U1227" s="11" t="inlineStr">
        <is>
          <t>是</t>
        </is>
      </c>
      <c r="V1227" s="11" t="n">
        <v>48</v>
      </c>
      <c r="W1227" s="11" t="inlineStr">
        <is>
          <t>否</t>
        </is>
      </c>
      <c r="X1227" s="11" t="inlineStr">
        <is>
          <t>-</t>
        </is>
      </c>
      <c r="Y1227" s="11" t="inlineStr">
        <is>
          <t>-</t>
        </is>
      </c>
      <c r="Z1227" s="11" t="n">
        <v>0</v>
      </c>
      <c r="AA1227" s="11" t="inlineStr">
        <is>
          <t>垫到60抽</t>
        </is>
      </c>
      <c r="AB1227" s="12">
        <f>AE1226</f>
        <v/>
      </c>
      <c r="AC1227" s="12" t="n">
        <v>0</v>
      </c>
      <c r="AD1227" s="12" t="n">
        <v>0</v>
      </c>
      <c r="AE1227" s="12">
        <f>AB1227+AC1227+AD1227</f>
        <v/>
      </c>
      <c r="AF1227" s="13">
        <f>AI1226</f>
        <v/>
      </c>
      <c r="AG1227" s="13" t="n">
        <v>0</v>
      </c>
      <c r="AH1227" s="13" t="n">
        <v>0</v>
      </c>
      <c r="AI1227" s="13">
        <f>AF1227+AG1227+AH1227</f>
        <v/>
      </c>
      <c r="AJ1227" s="14" t="n">
        <v>0</v>
      </c>
      <c r="AK1227" s="14" t="n">
        <v>0</v>
      </c>
      <c r="AL1227" s="14" t="n">
        <v>0</v>
      </c>
      <c r="AM1227" s="14">
        <f>AJ1227+AK1227+AL1227</f>
        <v/>
      </c>
      <c r="AN1227" s="14">
        <f>AN1226+AM1227</f>
        <v/>
      </c>
    </row>
    <row r="1228">
      <c r="A1228" s="8" t="n">
        <v>48</v>
      </c>
      <c r="B1228" s="8" t="n">
        <v>3</v>
      </c>
      <c r="C1228" s="8" t="n">
        <v>1</v>
      </c>
      <c r="D1228" s="8" t="inlineStr">
        <is>
          <t>版本免费+义相逢 + 月卡收益 [月卡续费-30元]</t>
        </is>
      </c>
      <c r="E1228" s="9">
        <f>K1227</f>
        <v/>
      </c>
      <c r="F1228" s="9" t="n">
        <v>1540</v>
      </c>
      <c r="G1228" s="9" t="n">
        <v>4800</v>
      </c>
      <c r="H1228" s="9" t="n">
        <v>0</v>
      </c>
      <c r="I1228" s="9" t="n">
        <v>0</v>
      </c>
      <c r="J1228" s="9" t="n">
        <v>0</v>
      </c>
      <c r="K1228" s="9">
        <f>E1228+F1228+G1228+H1228+I1228-J1228</f>
        <v/>
      </c>
      <c r="L1228" s="10">
        <f>Q1227</f>
        <v/>
      </c>
      <c r="M1228" s="10" t="n">
        <v>85</v>
      </c>
      <c r="N1228" s="10" t="n">
        <v>11</v>
      </c>
      <c r="O1228" s="10">
        <f>J1228/160</f>
        <v/>
      </c>
      <c r="P1228" s="10" t="n">
        <v>90</v>
      </c>
      <c r="Q1228" s="10">
        <f>L1228+M1228+N1228+O1228-P1228</f>
        <v/>
      </c>
      <c r="R1228" s="11">
        <f>T1227</f>
        <v/>
      </c>
      <c r="S1228" s="11">
        <f>N(V1228) + N(X1228) + N(Z1228)</f>
        <v/>
      </c>
      <c r="T1228" s="11">
        <f>R1228+P1228-S1228</f>
        <v/>
      </c>
      <c r="U1228" s="11" t="inlineStr">
        <is>
          <t>是</t>
        </is>
      </c>
      <c r="V1228" s="11" t="n">
        <v>48</v>
      </c>
      <c r="W1228" s="11" t="inlineStr">
        <is>
          <t>是</t>
        </is>
      </c>
      <c r="X1228" s="11" t="n">
        <v>48</v>
      </c>
      <c r="Y1228" s="11" t="inlineStr">
        <is>
          <t>-</t>
        </is>
      </c>
      <c r="Z1228" s="11" t="n">
        <v>0</v>
      </c>
      <c r="AA1228" s="11" t="inlineStr">
        <is>
          <t>垫到90抽</t>
        </is>
      </c>
      <c r="AB1228" s="12">
        <f>AE1227</f>
        <v/>
      </c>
      <c r="AC1228" s="12" t="n">
        <v>4</v>
      </c>
      <c r="AD1228" s="12" t="n">
        <v>0</v>
      </c>
      <c r="AE1228" s="12">
        <f>AB1228+AC1228+AD1228</f>
        <v/>
      </c>
      <c r="AF1228" s="13">
        <f>AI1227</f>
        <v/>
      </c>
      <c r="AG1228" s="13" t="n">
        <v>0</v>
      </c>
      <c r="AH1228" s="13" t="n">
        <v>0</v>
      </c>
      <c r="AI1228" s="13">
        <f>AF1228+AG1228+AH1228</f>
        <v/>
      </c>
      <c r="AJ1228" s="14" t="n">
        <v>30</v>
      </c>
      <c r="AK1228" s="14" t="n">
        <v>50</v>
      </c>
      <c r="AL1228" s="14" t="n">
        <v>0</v>
      </c>
      <c r="AM1228" s="14">
        <f>AJ1228+AK1228+AL1228</f>
        <v/>
      </c>
      <c r="AN1228" s="14">
        <f>AN1227+AM1228</f>
        <v/>
      </c>
    </row>
    <row r="1229">
      <c r="A1229" s="8" t="n">
        <v>48</v>
      </c>
      <c r="B1229" s="8" t="n">
        <v>3</v>
      </c>
      <c r="C1229" s="8" t="n">
        <v>2</v>
      </c>
      <c r="D1229" s="8" t="inlineStr">
        <is>
          <t>月卡收益</t>
        </is>
      </c>
      <c r="E1229" s="9">
        <f>K1228</f>
        <v/>
      </c>
      <c r="F1229" s="9" t="n">
        <v>1540</v>
      </c>
      <c r="G1229" s="9" t="n">
        <v>0</v>
      </c>
      <c r="H1229" s="9" t="n">
        <v>0</v>
      </c>
      <c r="I1229" s="9" t="n">
        <v>0</v>
      </c>
      <c r="J1229" s="9" t="n">
        <v>4480</v>
      </c>
      <c r="K1229" s="9">
        <f>E1229+F1229+G1229+H1229+I1229-J1229</f>
        <v/>
      </c>
      <c r="L1229" s="10">
        <f>Q1228</f>
        <v/>
      </c>
      <c r="M1229" s="10" t="n">
        <v>0</v>
      </c>
      <c r="N1229" s="10" t="n">
        <v>3</v>
      </c>
      <c r="O1229" s="10">
        <f>J1229/160</f>
        <v/>
      </c>
      <c r="P1229" s="10" t="n">
        <v>40</v>
      </c>
      <c r="Q1229" s="10">
        <f>L1229+M1229+N1229+O1229-P1229</f>
        <v/>
      </c>
      <c r="R1229" s="11">
        <f>T1228</f>
        <v/>
      </c>
      <c r="S1229" s="11">
        <f>N(V1229) + N(X1229) + N(Z1229)</f>
        <v/>
      </c>
      <c r="T1229" s="11">
        <f>R1229+P1229-S1229</f>
        <v/>
      </c>
      <c r="U1229" s="11" t="inlineStr">
        <is>
          <t>是</t>
        </is>
      </c>
      <c r="V1229" s="11" t="n">
        <v>46</v>
      </c>
      <c r="W1229" s="11" t="inlineStr">
        <is>
          <t>否</t>
        </is>
      </c>
      <c r="X1229" s="11" t="inlineStr">
        <is>
          <t>-</t>
        </is>
      </c>
      <c r="Y1229" s="11" t="inlineStr">
        <is>
          <t>-</t>
        </is>
      </c>
      <c r="Z1229" s="11" t="n">
        <v>0</v>
      </c>
      <c r="AA1229" s="11" t="inlineStr">
        <is>
          <t>无</t>
        </is>
      </c>
      <c r="AB1229" s="12">
        <f>AE1228</f>
        <v/>
      </c>
      <c r="AC1229" s="12" t="n">
        <v>0</v>
      </c>
      <c r="AD1229" s="12" t="n">
        <v>0</v>
      </c>
      <c r="AE1229" s="12">
        <f>AB1229+AC1229+AD1229</f>
        <v/>
      </c>
      <c r="AF1229" s="13">
        <f>AI1228</f>
        <v/>
      </c>
      <c r="AG1229" s="13" t="n">
        <v>0</v>
      </c>
      <c r="AH1229" s="13" t="n">
        <v>0</v>
      </c>
      <c r="AI1229" s="13">
        <f>AF1229+AG1229+AH1229</f>
        <v/>
      </c>
      <c r="AJ1229" s="14" t="n">
        <v>0</v>
      </c>
      <c r="AK1229" s="14" t="n">
        <v>0</v>
      </c>
      <c r="AL1229" s="14" t="n">
        <v>0</v>
      </c>
      <c r="AM1229" s="14">
        <f>AJ1229+AK1229+AL1229</f>
        <v/>
      </c>
      <c r="AN1229" s="14">
        <f>AN1228+AM1229</f>
        <v/>
      </c>
    </row>
    <row r="1230">
      <c r="A1230" s="8" t="n">
        <v>48</v>
      </c>
      <c r="B1230" s="8" t="n">
        <v>4</v>
      </c>
      <c r="C1230" s="8" t="n">
        <v>1</v>
      </c>
      <c r="D1230" s="8" t="inlineStr">
        <is>
          <t>版本免费+义相逢 + 月卡收益 [月卡续费-30元]</t>
        </is>
      </c>
      <c r="E1230" s="9">
        <f>K1229</f>
        <v/>
      </c>
      <c r="F1230" s="9" t="n">
        <v>1540</v>
      </c>
      <c r="G1230" s="9" t="n">
        <v>4800</v>
      </c>
      <c r="H1230" s="9" t="n">
        <v>0</v>
      </c>
      <c r="I1230" s="9" t="n">
        <v>0</v>
      </c>
      <c r="J1230" s="9" t="n">
        <v>640</v>
      </c>
      <c r="K1230" s="9">
        <f>E1230+F1230+G1230+H1230+I1230-J1230</f>
        <v/>
      </c>
      <c r="L1230" s="10">
        <f>Q1229</f>
        <v/>
      </c>
      <c r="M1230" s="10" t="n">
        <v>85</v>
      </c>
      <c r="N1230" s="10" t="n">
        <v>11</v>
      </c>
      <c r="O1230" s="10">
        <f>J1230/160</f>
        <v/>
      </c>
      <c r="P1230" s="10" t="n">
        <v>100</v>
      </c>
      <c r="Q1230" s="10">
        <f>L1230+M1230+N1230+O1230-P1230</f>
        <v/>
      </c>
      <c r="R1230" s="11">
        <f>T1229</f>
        <v/>
      </c>
      <c r="S1230" s="11">
        <f>N(V1230) + N(X1230) + N(Z1230)</f>
        <v/>
      </c>
      <c r="T1230" s="11">
        <f>R1230+P1230-S1230</f>
        <v/>
      </c>
      <c r="U1230" s="11" t="inlineStr">
        <is>
          <t>是</t>
        </is>
      </c>
      <c r="V1230" s="11" t="n">
        <v>47</v>
      </c>
      <c r="W1230" s="11" t="inlineStr">
        <is>
          <t>是</t>
        </is>
      </c>
      <c r="X1230" s="11" t="n">
        <v>51</v>
      </c>
      <c r="Y1230" s="11" t="inlineStr">
        <is>
          <t>-</t>
        </is>
      </c>
      <c r="Z1230" s="11" t="n">
        <v>0</v>
      </c>
      <c r="AA1230" s="11" t="inlineStr">
        <is>
          <t>无</t>
        </is>
      </c>
      <c r="AB1230" s="12">
        <f>AE1229</f>
        <v/>
      </c>
      <c r="AC1230" s="12" t="n">
        <v>4</v>
      </c>
      <c r="AD1230" s="12" t="n">
        <v>0</v>
      </c>
      <c r="AE1230" s="12">
        <f>AB1230+AC1230+AD1230</f>
        <v/>
      </c>
      <c r="AF1230" s="13">
        <f>AI1229</f>
        <v/>
      </c>
      <c r="AG1230" s="13" t="n">
        <v>0</v>
      </c>
      <c r="AH1230" s="13" t="n">
        <v>0</v>
      </c>
      <c r="AI1230" s="13">
        <f>AF1230+AG1230+AH1230</f>
        <v/>
      </c>
      <c r="AJ1230" s="14" t="n">
        <v>30</v>
      </c>
      <c r="AK1230" s="14" t="n">
        <v>50</v>
      </c>
      <c r="AL1230" s="14" t="n">
        <v>0</v>
      </c>
      <c r="AM1230" s="14">
        <f>AJ1230+AK1230+AL1230</f>
        <v/>
      </c>
      <c r="AN1230" s="14">
        <f>AN1229+AM1230</f>
        <v/>
      </c>
    </row>
    <row r="1231">
      <c r="A1231" s="8" t="n">
        <v>48</v>
      </c>
      <c r="B1231" s="8" t="n">
        <v>4</v>
      </c>
      <c r="C1231" s="8" t="n">
        <v>2</v>
      </c>
      <c r="D1231" s="8" t="inlineStr">
        <is>
          <t>月卡收益</t>
        </is>
      </c>
      <c r="E1231" s="9">
        <f>K1230</f>
        <v/>
      </c>
      <c r="F1231" s="9" t="n">
        <v>1540</v>
      </c>
      <c r="G1231" s="9" t="n">
        <v>0</v>
      </c>
      <c r="H1231" s="9" t="n">
        <v>0</v>
      </c>
      <c r="I1231" s="9" t="n">
        <v>0</v>
      </c>
      <c r="J1231" s="9" t="n">
        <v>13440</v>
      </c>
      <c r="K1231" s="9">
        <f>E1231+F1231+G1231+H1231+I1231-J1231</f>
        <v/>
      </c>
      <c r="L1231" s="10">
        <f>Q1230</f>
        <v/>
      </c>
      <c r="M1231" s="10" t="n">
        <v>0</v>
      </c>
      <c r="N1231" s="10" t="n">
        <v>11</v>
      </c>
      <c r="O1231" s="10">
        <f>J1231/160</f>
        <v/>
      </c>
      <c r="P1231" s="10" t="n">
        <v>90</v>
      </c>
      <c r="Q1231" s="10">
        <f>L1231+M1231+N1231+O1231-P1231</f>
        <v/>
      </c>
      <c r="R1231" s="11">
        <f>T1230</f>
        <v/>
      </c>
      <c r="S1231" s="11">
        <f>N(V1231) + N(X1231) + N(Z1231)</f>
        <v/>
      </c>
      <c r="T1231" s="11">
        <f>R1231+P1231-S1231</f>
        <v/>
      </c>
      <c r="U1231" s="11" t="inlineStr">
        <is>
          <t>是</t>
        </is>
      </c>
      <c r="V1231" s="11" t="n">
        <v>48</v>
      </c>
      <c r="W1231" s="11" t="inlineStr">
        <is>
          <t>是</t>
        </is>
      </c>
      <c r="X1231" s="11" t="n">
        <v>49</v>
      </c>
      <c r="Y1231" s="11" t="inlineStr">
        <is>
          <t>-</t>
        </is>
      </c>
      <c r="Z1231" s="11" t="n">
        <v>0</v>
      </c>
      <c r="AA1231" s="11" t="inlineStr">
        <is>
          <t>无</t>
        </is>
      </c>
      <c r="AB1231" s="12">
        <f>AE1230</f>
        <v/>
      </c>
      <c r="AC1231" s="12" t="n">
        <v>0</v>
      </c>
      <c r="AD1231" s="12" t="n">
        <v>0</v>
      </c>
      <c r="AE1231" s="12">
        <f>AB1231+AC1231+AD1231</f>
        <v/>
      </c>
      <c r="AF1231" s="13">
        <f>AI1230</f>
        <v/>
      </c>
      <c r="AG1231" s="13" t="n">
        <v>0</v>
      </c>
      <c r="AH1231" s="13" t="n">
        <v>0</v>
      </c>
      <c r="AI1231" s="13">
        <f>AF1231+AG1231+AH1231</f>
        <v/>
      </c>
      <c r="AJ1231" s="14" t="n">
        <v>0</v>
      </c>
      <c r="AK1231" s="14" t="n">
        <v>0</v>
      </c>
      <c r="AL1231" s="14" t="n">
        <v>0</v>
      </c>
      <c r="AM1231" s="14">
        <f>AJ1231+AK1231+AL1231</f>
        <v/>
      </c>
      <c r="AN1231" s="14">
        <f>AN1230+AM1231</f>
        <v/>
      </c>
    </row>
    <row r="1232">
      <c r="A1232" s="8" t="n">
        <v>48</v>
      </c>
      <c r="B1232" s="8" t="n">
        <v>5</v>
      </c>
      <c r="C1232" s="8" t="n">
        <v>1</v>
      </c>
      <c r="D1232" s="8" t="inlineStr">
        <is>
          <t>版本免费+义相逢 + 月卡收益</t>
        </is>
      </c>
      <c r="E1232" s="9">
        <f>K1231</f>
        <v/>
      </c>
      <c r="F1232" s="9" t="n">
        <v>1540</v>
      </c>
      <c r="G1232" s="9" t="n">
        <v>4800</v>
      </c>
      <c r="H1232" s="9" t="n">
        <v>0</v>
      </c>
      <c r="I1232" s="9" t="n">
        <v>0</v>
      </c>
      <c r="J1232" s="9" t="n">
        <v>0</v>
      </c>
      <c r="K1232" s="9">
        <f>E1232+F1232+G1232+H1232+I1232-J1232</f>
        <v/>
      </c>
      <c r="L1232" s="10">
        <f>Q1231</f>
        <v/>
      </c>
      <c r="M1232" s="10" t="n">
        <v>85</v>
      </c>
      <c r="N1232" s="10" t="n">
        <v>11</v>
      </c>
      <c r="O1232" s="10">
        <f>J1232/160</f>
        <v/>
      </c>
      <c r="P1232" s="10" t="n">
        <v>100</v>
      </c>
      <c r="Q1232" s="10">
        <f>L1232+M1232+N1232+O1232-P1232</f>
        <v/>
      </c>
      <c r="R1232" s="11">
        <f>T1231</f>
        <v/>
      </c>
      <c r="S1232" s="11">
        <f>N(V1232) + N(X1232) + N(Z1232)</f>
        <v/>
      </c>
      <c r="T1232" s="11">
        <f>R1232+P1232-S1232</f>
        <v/>
      </c>
      <c r="U1232" s="11" t="inlineStr">
        <is>
          <t>是</t>
        </is>
      </c>
      <c r="V1232" s="11" t="n">
        <v>51</v>
      </c>
      <c r="W1232" s="11" t="inlineStr">
        <is>
          <t>是</t>
        </is>
      </c>
      <c r="X1232" s="11" t="n">
        <v>47</v>
      </c>
      <c r="Y1232" s="11" t="inlineStr">
        <is>
          <t>-</t>
        </is>
      </c>
      <c r="Z1232" s="11" t="n">
        <v>0</v>
      </c>
      <c r="AA1232" s="11" t="inlineStr">
        <is>
          <t>无</t>
        </is>
      </c>
      <c r="AB1232" s="12">
        <f>AE1231</f>
        <v/>
      </c>
      <c r="AC1232" s="12" t="n">
        <v>4</v>
      </c>
      <c r="AD1232" s="12" t="n">
        <v>0</v>
      </c>
      <c r="AE1232" s="12">
        <f>AB1232+AC1232+AD1232</f>
        <v/>
      </c>
      <c r="AF1232" s="13">
        <f>AI1231</f>
        <v/>
      </c>
      <c r="AG1232" s="13" t="n">
        <v>0</v>
      </c>
      <c r="AH1232" s="13" t="n">
        <v>0</v>
      </c>
      <c r="AI1232" s="13">
        <f>AF1232+AG1232+AH1232</f>
        <v/>
      </c>
      <c r="AJ1232" s="14" t="n">
        <v>0</v>
      </c>
      <c r="AK1232" s="14" t="n">
        <v>50</v>
      </c>
      <c r="AL1232" s="14" t="n">
        <v>0</v>
      </c>
      <c r="AM1232" s="14">
        <f>AJ1232+AK1232+AL1232</f>
        <v/>
      </c>
      <c r="AN1232" s="14">
        <f>AN1231+AM1232</f>
        <v/>
      </c>
    </row>
    <row r="1233">
      <c r="A1233" s="8" t="n">
        <v>48</v>
      </c>
      <c r="B1233" s="8" t="n">
        <v>5</v>
      </c>
      <c r="C1233" s="8" t="n">
        <v>2</v>
      </c>
      <c r="D1233" s="8" t="inlineStr">
        <is>
          <t>月卡收益 [月卡续费-30元]</t>
        </is>
      </c>
      <c r="E1233" s="9">
        <f>K1232</f>
        <v/>
      </c>
      <c r="F1233" s="9" t="n">
        <v>1540</v>
      </c>
      <c r="G1233" s="9" t="n">
        <v>0</v>
      </c>
      <c r="H1233" s="9" t="n">
        <v>0</v>
      </c>
      <c r="I1233" s="9" t="n">
        <v>0</v>
      </c>
      <c r="J1233" s="9" t="n">
        <v>1440</v>
      </c>
      <c r="K1233" s="9">
        <f>E1233+F1233+G1233+H1233+I1233-J1233</f>
        <v/>
      </c>
      <c r="L1233" s="10">
        <f>Q1232</f>
        <v/>
      </c>
      <c r="M1233" s="10" t="n">
        <v>0</v>
      </c>
      <c r="N1233" s="10" t="n">
        <v>1</v>
      </c>
      <c r="O1233" s="10">
        <f>J1233/160</f>
        <v/>
      </c>
      <c r="P1233" s="10" t="n">
        <v>10</v>
      </c>
      <c r="Q1233" s="10">
        <f>L1233+M1233+N1233+O1233-P1233</f>
        <v/>
      </c>
      <c r="R1233" s="11">
        <f>T1232</f>
        <v/>
      </c>
      <c r="S1233" s="11">
        <f>N(V1233) + N(X1233) + N(Z1233)</f>
        <v/>
      </c>
      <c r="T1233" s="11">
        <f>R1233+P1233-S1233</f>
        <v/>
      </c>
      <c r="U1233" s="11" t="inlineStr">
        <is>
          <t>是</t>
        </is>
      </c>
      <c r="V1233" s="11" t="n">
        <v>10</v>
      </c>
      <c r="W1233" s="11" t="inlineStr">
        <is>
          <t>否</t>
        </is>
      </c>
      <c r="X1233" s="11" t="inlineStr">
        <is>
          <t>-</t>
        </is>
      </c>
      <c r="Y1233" s="11" t="inlineStr">
        <is>
          <t>-</t>
        </is>
      </c>
      <c r="Z1233" s="11" t="n">
        <v>0</v>
      </c>
      <c r="AA1233" s="11" t="inlineStr">
        <is>
          <t>无</t>
        </is>
      </c>
      <c r="AB1233" s="12">
        <f>AE1232</f>
        <v/>
      </c>
      <c r="AC1233" s="12" t="n">
        <v>0</v>
      </c>
      <c r="AD1233" s="12" t="n">
        <v>0</v>
      </c>
      <c r="AE1233" s="12">
        <f>AB1233+AC1233+AD1233</f>
        <v/>
      </c>
      <c r="AF1233" s="13">
        <f>AI1232</f>
        <v/>
      </c>
      <c r="AG1233" s="13" t="n">
        <v>0</v>
      </c>
      <c r="AH1233" s="13" t="n">
        <v>0</v>
      </c>
      <c r="AI1233" s="13">
        <f>AF1233+AG1233+AH1233</f>
        <v/>
      </c>
      <c r="AJ1233" s="14" t="n">
        <v>30</v>
      </c>
      <c r="AK1233" s="14" t="n">
        <v>0</v>
      </c>
      <c r="AL1233" s="14" t="n">
        <v>0</v>
      </c>
      <c r="AM1233" s="14">
        <f>AJ1233+AK1233+AL1233</f>
        <v/>
      </c>
      <c r="AN1233" s="14">
        <f>AN1232+AM1233</f>
        <v/>
      </c>
    </row>
    <row r="1234">
      <c r="A1234" s="8" t="n">
        <v>48</v>
      </c>
      <c r="B1234" s="8" t="n">
        <v>6</v>
      </c>
      <c r="C1234" s="8" t="n">
        <v>1</v>
      </c>
      <c r="D1234" s="8" t="inlineStr">
        <is>
          <t>版本免费+义相逢 + 月卡收益</t>
        </is>
      </c>
      <c r="E1234" s="9">
        <f>K1233</f>
        <v/>
      </c>
      <c r="F1234" s="9" t="n">
        <v>1540</v>
      </c>
      <c r="G1234" s="9" t="n">
        <v>4800</v>
      </c>
      <c r="H1234" s="9" t="n">
        <v>0</v>
      </c>
      <c r="I1234" s="9" t="n">
        <v>0</v>
      </c>
      <c r="J1234" s="9" t="n">
        <v>0</v>
      </c>
      <c r="K1234" s="9">
        <f>E1234+F1234+G1234+H1234+I1234-J1234</f>
        <v/>
      </c>
      <c r="L1234" s="10">
        <f>Q1233</f>
        <v/>
      </c>
      <c r="M1234" s="10" t="n">
        <v>85</v>
      </c>
      <c r="N1234" s="10" t="n">
        <v>6</v>
      </c>
      <c r="O1234" s="10">
        <f>J1234/160</f>
        <v/>
      </c>
      <c r="P1234" s="10" t="n">
        <v>60</v>
      </c>
      <c r="Q1234" s="10">
        <f>L1234+M1234+N1234+O1234-P1234</f>
        <v/>
      </c>
      <c r="R1234" s="11">
        <f>T1233</f>
        <v/>
      </c>
      <c r="S1234" s="11">
        <f>N(V1234) + N(X1234) + N(Z1234)</f>
        <v/>
      </c>
      <c r="T1234" s="11">
        <f>R1234+P1234-S1234</f>
        <v/>
      </c>
      <c r="U1234" s="11" t="inlineStr">
        <is>
          <t>是</t>
        </is>
      </c>
      <c r="V1234" s="11" t="n">
        <v>49</v>
      </c>
      <c r="W1234" s="11" t="inlineStr">
        <is>
          <t>否</t>
        </is>
      </c>
      <c r="X1234" s="11" t="inlineStr">
        <is>
          <t>-</t>
        </is>
      </c>
      <c r="Y1234" s="11" t="inlineStr">
        <is>
          <t>-</t>
        </is>
      </c>
      <c r="Z1234" s="11" t="n">
        <v>0</v>
      </c>
      <c r="AA1234" s="11" t="inlineStr">
        <is>
          <t>垫到60抽</t>
        </is>
      </c>
      <c r="AB1234" s="12">
        <f>AE1233</f>
        <v/>
      </c>
      <c r="AC1234" s="12" t="n">
        <v>4</v>
      </c>
      <c r="AD1234" s="12" t="n">
        <v>0</v>
      </c>
      <c r="AE1234" s="12">
        <f>AB1234+AC1234+AD1234</f>
        <v/>
      </c>
      <c r="AF1234" s="13">
        <f>AI1233</f>
        <v/>
      </c>
      <c r="AG1234" s="13" t="n">
        <v>0</v>
      </c>
      <c r="AH1234" s="13" t="n">
        <v>0</v>
      </c>
      <c r="AI1234" s="13">
        <f>AF1234+AG1234+AH1234</f>
        <v/>
      </c>
      <c r="AJ1234" s="14" t="n">
        <v>0</v>
      </c>
      <c r="AK1234" s="14" t="n">
        <v>50</v>
      </c>
      <c r="AL1234" s="14" t="n">
        <v>0</v>
      </c>
      <c r="AM1234" s="14">
        <f>AJ1234+AK1234+AL1234</f>
        <v/>
      </c>
      <c r="AN1234" s="14">
        <f>AN1233+AM1234</f>
        <v/>
      </c>
    </row>
    <row r="1235">
      <c r="A1235" s="8" t="n">
        <v>48</v>
      </c>
      <c r="B1235" s="8" t="n">
        <v>6</v>
      </c>
      <c r="C1235" s="8" t="n">
        <v>2</v>
      </c>
      <c r="D1235" s="8" t="inlineStr">
        <is>
          <t>月卡收益 [月卡续费-30元]</t>
        </is>
      </c>
      <c r="E1235" s="9">
        <f>K1234</f>
        <v/>
      </c>
      <c r="F1235" s="9" t="n">
        <v>1540</v>
      </c>
      <c r="G1235" s="9" t="n">
        <v>0</v>
      </c>
      <c r="H1235" s="9" t="n">
        <v>0</v>
      </c>
      <c r="I1235" s="9" t="n">
        <v>0</v>
      </c>
      <c r="J1235" s="9" t="n">
        <v>8320</v>
      </c>
      <c r="K1235" s="9">
        <f>E1235+F1235+G1235+H1235+I1235-J1235</f>
        <v/>
      </c>
      <c r="L1235" s="10">
        <f>Q1234</f>
        <v/>
      </c>
      <c r="M1235" s="10" t="n">
        <v>0</v>
      </c>
      <c r="N1235" s="10" t="n">
        <v>11</v>
      </c>
      <c r="O1235" s="10">
        <f>J1235/160</f>
        <v/>
      </c>
      <c r="P1235" s="10" t="n">
        <v>90</v>
      </c>
      <c r="Q1235" s="10">
        <f>L1235+M1235+N1235+O1235-P1235</f>
        <v/>
      </c>
      <c r="R1235" s="11">
        <f>T1234</f>
        <v/>
      </c>
      <c r="S1235" s="11">
        <f>N(V1235) + N(X1235) + N(Z1235)</f>
        <v/>
      </c>
      <c r="T1235" s="11">
        <f>R1235+P1235-S1235</f>
        <v/>
      </c>
      <c r="U1235" s="11" t="inlineStr">
        <is>
          <t>是</t>
        </is>
      </c>
      <c r="V1235" s="11" t="n">
        <v>51</v>
      </c>
      <c r="W1235" s="11" t="inlineStr">
        <is>
          <t>是</t>
        </is>
      </c>
      <c r="X1235" s="11" t="n">
        <v>35</v>
      </c>
      <c r="Y1235" s="11" t="inlineStr">
        <is>
          <t>-</t>
        </is>
      </c>
      <c r="Z1235" s="11" t="n">
        <v>0</v>
      </c>
      <c r="AA1235" s="11" t="inlineStr">
        <is>
          <t>垫到90抽</t>
        </is>
      </c>
      <c r="AB1235" s="12">
        <f>AE1234</f>
        <v/>
      </c>
      <c r="AC1235" s="12" t="n">
        <v>0</v>
      </c>
      <c r="AD1235" s="12" t="n">
        <v>0</v>
      </c>
      <c r="AE1235" s="12">
        <f>AB1235+AC1235+AD1235</f>
        <v/>
      </c>
      <c r="AF1235" s="13">
        <f>AI1234</f>
        <v/>
      </c>
      <c r="AG1235" s="13" t="n">
        <v>0</v>
      </c>
      <c r="AH1235" s="13" t="n">
        <v>0</v>
      </c>
      <c r="AI1235" s="13">
        <f>AF1235+AG1235+AH1235</f>
        <v/>
      </c>
      <c r="AJ1235" s="14" t="n">
        <v>30</v>
      </c>
      <c r="AK1235" s="14" t="n">
        <v>0</v>
      </c>
      <c r="AL1235" s="14" t="n">
        <v>0</v>
      </c>
      <c r="AM1235" s="14">
        <f>AJ1235+AK1235+AL1235</f>
        <v/>
      </c>
      <c r="AN1235" s="14">
        <f>AN1234+AM1235</f>
        <v/>
      </c>
    </row>
    <row r="1236">
      <c r="A1236" s="8" t="n">
        <v>48</v>
      </c>
      <c r="B1236" s="8" t="n">
        <v>7</v>
      </c>
      <c r="C1236" s="8" t="n">
        <v>1</v>
      </c>
      <c r="D1236" s="8" t="inlineStr">
        <is>
          <t>版本免费+义相逢 + 月卡收益</t>
        </is>
      </c>
      <c r="E1236" s="9">
        <f>K1235</f>
        <v/>
      </c>
      <c r="F1236" s="9" t="n">
        <v>1540</v>
      </c>
      <c r="G1236" s="9" t="n">
        <v>4800</v>
      </c>
      <c r="H1236" s="9" t="n">
        <v>0</v>
      </c>
      <c r="I1236" s="9" t="n">
        <v>0</v>
      </c>
      <c r="J1236" s="9" t="n">
        <v>0</v>
      </c>
      <c r="K1236" s="9">
        <f>E1236+F1236+G1236+H1236+I1236-J1236</f>
        <v/>
      </c>
      <c r="L1236" s="10">
        <f>Q1235</f>
        <v/>
      </c>
      <c r="M1236" s="10" t="n">
        <v>85</v>
      </c>
      <c r="N1236" s="10" t="n">
        <v>11</v>
      </c>
      <c r="O1236" s="10">
        <f>J1236/160</f>
        <v/>
      </c>
      <c r="P1236" s="10" t="n">
        <v>90</v>
      </c>
      <c r="Q1236" s="10">
        <f>L1236+M1236+N1236+O1236-P1236</f>
        <v/>
      </c>
      <c r="R1236" s="11">
        <f>T1235</f>
        <v/>
      </c>
      <c r="S1236" s="11">
        <f>N(V1236) + N(X1236) + N(Z1236)</f>
        <v/>
      </c>
      <c r="T1236" s="11">
        <f>R1236+P1236-S1236</f>
        <v/>
      </c>
      <c r="U1236" s="11" t="inlineStr">
        <is>
          <t>是</t>
        </is>
      </c>
      <c r="V1236" s="11" t="n">
        <v>52</v>
      </c>
      <c r="W1236" s="11" t="inlineStr">
        <is>
          <t>是</t>
        </is>
      </c>
      <c r="X1236" s="11" t="n">
        <v>51</v>
      </c>
      <c r="Y1236" s="11" t="inlineStr">
        <is>
          <t>-</t>
        </is>
      </c>
      <c r="Z1236" s="11" t="n">
        <v>0</v>
      </c>
      <c r="AA1236" s="11" t="inlineStr">
        <is>
          <t>无</t>
        </is>
      </c>
      <c r="AB1236" s="12">
        <f>AE1235</f>
        <v/>
      </c>
      <c r="AC1236" s="12" t="n">
        <v>4</v>
      </c>
      <c r="AD1236" s="12" t="n">
        <v>0</v>
      </c>
      <c r="AE1236" s="12">
        <f>AB1236+AC1236+AD1236</f>
        <v/>
      </c>
      <c r="AF1236" s="13">
        <f>AI1235</f>
        <v/>
      </c>
      <c r="AG1236" s="13" t="n">
        <v>0</v>
      </c>
      <c r="AH1236" s="13" t="n">
        <v>0</v>
      </c>
      <c r="AI1236" s="13">
        <f>AF1236+AG1236+AH1236</f>
        <v/>
      </c>
      <c r="AJ1236" s="14" t="n">
        <v>0</v>
      </c>
      <c r="AK1236" s="14" t="n">
        <v>50</v>
      </c>
      <c r="AL1236" s="14" t="n">
        <v>0</v>
      </c>
      <c r="AM1236" s="14">
        <f>AJ1236+AK1236+AL1236</f>
        <v/>
      </c>
      <c r="AN1236" s="14">
        <f>AN1235+AM1236</f>
        <v/>
      </c>
    </row>
    <row r="1237">
      <c r="A1237" s="8" t="n">
        <v>48</v>
      </c>
      <c r="B1237" s="8" t="n">
        <v>7</v>
      </c>
      <c r="C1237" s="8" t="n">
        <v>2</v>
      </c>
      <c r="D1237" s="8" t="inlineStr">
        <is>
          <t>月卡收益 [月卡续费-30元]</t>
        </is>
      </c>
      <c r="E1237" s="9">
        <f>K1236</f>
        <v/>
      </c>
      <c r="F1237" s="9" t="n">
        <v>1540</v>
      </c>
      <c r="G1237" s="9" t="n">
        <v>0</v>
      </c>
      <c r="H1237" s="9" t="n">
        <v>0</v>
      </c>
      <c r="I1237" s="9" t="n">
        <v>0</v>
      </c>
      <c r="J1237" s="9" t="n">
        <v>7360</v>
      </c>
      <c r="K1237" s="9">
        <f>E1237+F1237+G1237+H1237+I1237-J1237</f>
        <v/>
      </c>
      <c r="L1237" s="10">
        <f>Q1236</f>
        <v/>
      </c>
      <c r="M1237" s="10" t="n">
        <v>0</v>
      </c>
      <c r="N1237" s="10" t="n">
        <v>6</v>
      </c>
      <c r="O1237" s="10">
        <f>J1237/160</f>
        <v/>
      </c>
      <c r="P1237" s="10" t="n">
        <v>60</v>
      </c>
      <c r="Q1237" s="10">
        <f>L1237+M1237+N1237+O1237-P1237</f>
        <v/>
      </c>
      <c r="R1237" s="11">
        <f>T1236</f>
        <v/>
      </c>
      <c r="S1237" s="11">
        <f>N(V1237) + N(X1237) + N(Z1237)</f>
        <v/>
      </c>
      <c r="T1237" s="11">
        <f>R1237+P1237-S1237</f>
        <v/>
      </c>
      <c r="U1237" s="11" t="inlineStr">
        <is>
          <t>是</t>
        </is>
      </c>
      <c r="V1237" s="11" t="n">
        <v>50</v>
      </c>
      <c r="W1237" s="11" t="inlineStr">
        <is>
          <t>否</t>
        </is>
      </c>
      <c r="X1237" s="11" t="inlineStr">
        <is>
          <t>-</t>
        </is>
      </c>
      <c r="Y1237" s="11" t="inlineStr">
        <is>
          <t>-</t>
        </is>
      </c>
      <c r="Z1237" s="11" t="n">
        <v>0</v>
      </c>
      <c r="AA1237" s="11" t="inlineStr">
        <is>
          <t>垫到60抽</t>
        </is>
      </c>
      <c r="AB1237" s="12">
        <f>AE1236</f>
        <v/>
      </c>
      <c r="AC1237" s="12" t="n">
        <v>0</v>
      </c>
      <c r="AD1237" s="12" t="n">
        <v>0</v>
      </c>
      <c r="AE1237" s="12">
        <f>AB1237+AC1237+AD1237</f>
        <v/>
      </c>
      <c r="AF1237" s="13">
        <f>AI1236</f>
        <v/>
      </c>
      <c r="AG1237" s="13" t="n">
        <v>0</v>
      </c>
      <c r="AH1237" s="13" t="n">
        <v>0</v>
      </c>
      <c r="AI1237" s="13">
        <f>AF1237+AG1237+AH1237</f>
        <v/>
      </c>
      <c r="AJ1237" s="14" t="n">
        <v>30</v>
      </c>
      <c r="AK1237" s="14" t="n">
        <v>0</v>
      </c>
      <c r="AL1237" s="14" t="n">
        <v>0</v>
      </c>
      <c r="AM1237" s="14">
        <f>AJ1237+AK1237+AL1237</f>
        <v/>
      </c>
      <c r="AN1237" s="14">
        <f>AN1236+AM1237</f>
        <v/>
      </c>
    </row>
    <row r="1238">
      <c r="A1238" s="8" t="n">
        <v>48</v>
      </c>
      <c r="B1238" s="8" t="n">
        <v>8</v>
      </c>
      <c r="C1238" s="8" t="n">
        <v>1</v>
      </c>
      <c r="D1238" s="8" t="inlineStr">
        <is>
          <t>版本免费+义相逢 + 月卡收益</t>
        </is>
      </c>
      <c r="E1238" s="9">
        <f>K1237</f>
        <v/>
      </c>
      <c r="F1238" s="9" t="n">
        <v>1540</v>
      </c>
      <c r="G1238" s="9" t="n">
        <v>4800</v>
      </c>
      <c r="H1238" s="9" t="n">
        <v>0</v>
      </c>
      <c r="I1238" s="9" t="n">
        <v>0</v>
      </c>
      <c r="J1238" s="9" t="n">
        <v>0</v>
      </c>
      <c r="K1238" s="9">
        <f>E1238+F1238+G1238+H1238+I1238-J1238</f>
        <v/>
      </c>
      <c r="L1238" s="10">
        <f>Q1237</f>
        <v/>
      </c>
      <c r="M1238" s="10" t="n">
        <v>85</v>
      </c>
      <c r="N1238" s="10" t="n">
        <v>11</v>
      </c>
      <c r="O1238" s="10">
        <f>J1238/160</f>
        <v/>
      </c>
      <c r="P1238" s="10" t="n">
        <v>90</v>
      </c>
      <c r="Q1238" s="10">
        <f>L1238+M1238+N1238+O1238-P1238</f>
        <v/>
      </c>
      <c r="R1238" s="11">
        <f>T1237</f>
        <v/>
      </c>
      <c r="S1238" s="11">
        <f>N(V1238) + N(X1238) + N(Z1238)</f>
        <v/>
      </c>
      <c r="T1238" s="11">
        <f>R1238+P1238-S1238</f>
        <v/>
      </c>
      <c r="U1238" s="11" t="inlineStr">
        <is>
          <t>是</t>
        </is>
      </c>
      <c r="V1238" s="11" t="n">
        <v>50</v>
      </c>
      <c r="W1238" s="11" t="inlineStr">
        <is>
          <t>是</t>
        </is>
      </c>
      <c r="X1238" s="11" t="n">
        <v>49</v>
      </c>
      <c r="Y1238" s="11" t="inlineStr">
        <is>
          <t>-</t>
        </is>
      </c>
      <c r="Z1238" s="11" t="n">
        <v>0</v>
      </c>
      <c r="AA1238" s="11" t="inlineStr">
        <is>
          <t>无</t>
        </is>
      </c>
      <c r="AB1238" s="12">
        <f>AE1237</f>
        <v/>
      </c>
      <c r="AC1238" s="12" t="n">
        <v>4</v>
      </c>
      <c r="AD1238" s="12" t="n">
        <v>0</v>
      </c>
      <c r="AE1238" s="12">
        <f>AB1238+AC1238+AD1238</f>
        <v/>
      </c>
      <c r="AF1238" s="13">
        <f>AI1237</f>
        <v/>
      </c>
      <c r="AG1238" s="13" t="n">
        <v>0</v>
      </c>
      <c r="AH1238" s="13" t="n">
        <v>0</v>
      </c>
      <c r="AI1238" s="13">
        <f>AF1238+AG1238+AH1238</f>
        <v/>
      </c>
      <c r="AJ1238" s="14" t="n">
        <v>0</v>
      </c>
      <c r="AK1238" s="14" t="n">
        <v>50</v>
      </c>
      <c r="AL1238" s="14" t="n">
        <v>0</v>
      </c>
      <c r="AM1238" s="14">
        <f>AJ1238+AK1238+AL1238</f>
        <v/>
      </c>
      <c r="AN1238" s="14">
        <f>AN1237+AM1238</f>
        <v/>
      </c>
    </row>
    <row r="1239">
      <c r="A1239" s="8" t="n">
        <v>48</v>
      </c>
      <c r="B1239" s="8" t="n">
        <v>8</v>
      </c>
      <c r="C1239" s="8" t="n">
        <v>2</v>
      </c>
      <c r="D1239" s="8" t="inlineStr">
        <is>
          <t>月卡收益 [月卡续费-30元]</t>
        </is>
      </c>
      <c r="E1239" s="9">
        <f>K1238</f>
        <v/>
      </c>
      <c r="F1239" s="9" t="n">
        <v>1540</v>
      </c>
      <c r="G1239" s="9" t="n">
        <v>0</v>
      </c>
      <c r="H1239" s="9" t="n">
        <v>0</v>
      </c>
      <c r="I1239" s="9" t="n">
        <v>0</v>
      </c>
      <c r="J1239" s="9" t="n">
        <v>7680</v>
      </c>
      <c r="K1239" s="9">
        <f>E1239+F1239+G1239+H1239+I1239-J1239</f>
        <v/>
      </c>
      <c r="L1239" s="10">
        <f>Q1238</f>
        <v/>
      </c>
      <c r="M1239" s="10" t="n">
        <v>0</v>
      </c>
      <c r="N1239" s="10" t="n">
        <v>6</v>
      </c>
      <c r="O1239" s="10">
        <f>J1239/160</f>
        <v/>
      </c>
      <c r="P1239" s="10" t="n">
        <v>60</v>
      </c>
      <c r="Q1239" s="10">
        <f>L1239+M1239+N1239+O1239-P1239</f>
        <v/>
      </c>
      <c r="R1239" s="11">
        <f>T1238</f>
        <v/>
      </c>
      <c r="S1239" s="11">
        <f>N(V1239) + N(X1239) + N(Z1239)</f>
        <v/>
      </c>
      <c r="T1239" s="11">
        <f>R1239+P1239-S1239</f>
        <v/>
      </c>
      <c r="U1239" s="11" t="inlineStr">
        <is>
          <t>是</t>
        </is>
      </c>
      <c r="V1239" s="11" t="n">
        <v>52</v>
      </c>
      <c r="W1239" s="11" t="inlineStr">
        <is>
          <t>否</t>
        </is>
      </c>
      <c r="X1239" s="11" t="inlineStr">
        <is>
          <t>-</t>
        </is>
      </c>
      <c r="Y1239" s="11" t="inlineStr">
        <is>
          <t>-</t>
        </is>
      </c>
      <c r="Z1239" s="11" t="n">
        <v>0</v>
      </c>
      <c r="AA1239" s="11" t="inlineStr">
        <is>
          <t>垫到60抽</t>
        </is>
      </c>
      <c r="AB1239" s="12">
        <f>AE1238</f>
        <v/>
      </c>
      <c r="AC1239" s="12" t="n">
        <v>0</v>
      </c>
      <c r="AD1239" s="12" t="n">
        <v>0</v>
      </c>
      <c r="AE1239" s="12">
        <f>AB1239+AC1239+AD1239</f>
        <v/>
      </c>
      <c r="AF1239" s="13">
        <f>AI1238</f>
        <v/>
      </c>
      <c r="AG1239" s="13" t="n">
        <v>0</v>
      </c>
      <c r="AH1239" s="13" t="n">
        <v>0</v>
      </c>
      <c r="AI1239" s="13">
        <f>AF1239+AG1239+AH1239</f>
        <v/>
      </c>
      <c r="AJ1239" s="14" t="n">
        <v>30</v>
      </c>
      <c r="AK1239" s="14" t="n">
        <v>0</v>
      </c>
      <c r="AL1239" s="14" t="n">
        <v>0</v>
      </c>
      <c r="AM1239" s="14">
        <f>AJ1239+AK1239+AL1239</f>
        <v/>
      </c>
      <c r="AN1239" s="14">
        <f>AN1238+AM1239</f>
        <v/>
      </c>
    </row>
    <row r="1240">
      <c r="A1240" s="8" t="n">
        <v>48</v>
      </c>
      <c r="B1240" s="8" t="n">
        <v>9</v>
      </c>
      <c r="C1240" s="8" t="n">
        <v>1</v>
      </c>
      <c r="D1240" s="8" t="inlineStr">
        <is>
          <t>版本免费+义相逢 + 月卡收益</t>
        </is>
      </c>
      <c r="E1240" s="9">
        <f>K1239</f>
        <v/>
      </c>
      <c r="F1240" s="9" t="n">
        <v>1540</v>
      </c>
      <c r="G1240" s="9" t="n">
        <v>4800</v>
      </c>
      <c r="H1240" s="9" t="n">
        <v>0</v>
      </c>
      <c r="I1240" s="9" t="n">
        <v>0</v>
      </c>
      <c r="J1240" s="9" t="n">
        <v>0</v>
      </c>
      <c r="K1240" s="9">
        <f>E1240+F1240+G1240+H1240+I1240-J1240</f>
        <v/>
      </c>
      <c r="L1240" s="10">
        <f>Q1239</f>
        <v/>
      </c>
      <c r="M1240" s="10" t="n">
        <v>85</v>
      </c>
      <c r="N1240" s="10" t="n">
        <v>3</v>
      </c>
      <c r="O1240" s="10">
        <f>J1240/160</f>
        <v/>
      </c>
      <c r="P1240" s="10" t="n">
        <v>40</v>
      </c>
      <c r="Q1240" s="10">
        <f>L1240+M1240+N1240+O1240-P1240</f>
        <v/>
      </c>
      <c r="R1240" s="11">
        <f>T1239</f>
        <v/>
      </c>
      <c r="S1240" s="11">
        <f>N(V1240) + N(X1240) + N(Z1240)</f>
        <v/>
      </c>
      <c r="T1240" s="11">
        <f>R1240+P1240-S1240</f>
        <v/>
      </c>
      <c r="U1240" s="11" t="inlineStr">
        <is>
          <t>是</t>
        </is>
      </c>
      <c r="V1240" s="11" t="n">
        <v>46</v>
      </c>
      <c r="W1240" s="11" t="inlineStr">
        <is>
          <t>否</t>
        </is>
      </c>
      <c r="X1240" s="11" t="inlineStr">
        <is>
          <t>-</t>
        </is>
      </c>
      <c r="Y1240" s="11" t="inlineStr">
        <is>
          <t>-</t>
        </is>
      </c>
      <c r="Z1240" s="11" t="n">
        <v>0</v>
      </c>
      <c r="AA1240" s="11" t="inlineStr">
        <is>
          <t>无</t>
        </is>
      </c>
      <c r="AB1240" s="12">
        <f>AE1239</f>
        <v/>
      </c>
      <c r="AC1240" s="12" t="n">
        <v>4</v>
      </c>
      <c r="AD1240" s="12" t="n">
        <v>0</v>
      </c>
      <c r="AE1240" s="12">
        <f>AB1240+AC1240+AD1240</f>
        <v/>
      </c>
      <c r="AF1240" s="13">
        <f>AI1239</f>
        <v/>
      </c>
      <c r="AG1240" s="13" t="n">
        <v>0</v>
      </c>
      <c r="AH1240" s="13" t="n">
        <v>0</v>
      </c>
      <c r="AI1240" s="13">
        <f>AF1240+AG1240+AH1240</f>
        <v/>
      </c>
      <c r="AJ1240" s="14" t="n">
        <v>0</v>
      </c>
      <c r="AK1240" s="14" t="n">
        <v>50</v>
      </c>
      <c r="AL1240" s="14" t="n">
        <v>0</v>
      </c>
      <c r="AM1240" s="14">
        <f>AJ1240+AK1240+AL1240</f>
        <v/>
      </c>
      <c r="AN1240" s="14">
        <f>AN1239+AM1240</f>
        <v/>
      </c>
    </row>
    <row r="1241">
      <c r="A1241" s="8" t="n">
        <v>48</v>
      </c>
      <c r="B1241" s="8" t="n">
        <v>9</v>
      </c>
      <c r="C1241" s="8" t="n">
        <v>2</v>
      </c>
      <c r="D1241" s="8" t="inlineStr">
        <is>
          <t>月卡收益 [月卡续费-30元]</t>
        </is>
      </c>
      <c r="E1241" s="9">
        <f>K1240</f>
        <v/>
      </c>
      <c r="F1241" s="9" t="n">
        <v>1540</v>
      </c>
      <c r="G1241" s="9" t="n">
        <v>0</v>
      </c>
      <c r="H1241" s="9" t="n">
        <v>0</v>
      </c>
      <c r="I1241" s="9" t="n">
        <v>0</v>
      </c>
      <c r="J1241" s="9" t="n">
        <v>6080</v>
      </c>
      <c r="K1241" s="9">
        <f>E1241+F1241+G1241+H1241+I1241-J1241</f>
        <v/>
      </c>
      <c r="L1241" s="10">
        <f>Q1240</f>
        <v/>
      </c>
      <c r="M1241" s="10" t="n">
        <v>0</v>
      </c>
      <c r="N1241" s="10" t="n">
        <v>11</v>
      </c>
      <c r="O1241" s="10">
        <f>J1241/160</f>
        <v/>
      </c>
      <c r="P1241" s="10" t="n">
        <v>100</v>
      </c>
      <c r="Q1241" s="10">
        <f>L1241+M1241+N1241+O1241-P1241</f>
        <v/>
      </c>
      <c r="R1241" s="11">
        <f>T1240</f>
        <v/>
      </c>
      <c r="S1241" s="11">
        <f>N(V1241) + N(X1241) + N(Z1241)</f>
        <v/>
      </c>
      <c r="T1241" s="11">
        <f>R1241+P1241-S1241</f>
        <v/>
      </c>
      <c r="U1241" s="11" t="inlineStr">
        <is>
          <t>是</t>
        </is>
      </c>
      <c r="V1241" s="11" t="n">
        <v>47</v>
      </c>
      <c r="W1241" s="11" t="inlineStr">
        <is>
          <t>是</t>
        </is>
      </c>
      <c r="X1241" s="11" t="n">
        <v>53</v>
      </c>
      <c r="Y1241" s="11" t="inlineStr">
        <is>
          <t>-</t>
        </is>
      </c>
      <c r="Z1241" s="11" t="n">
        <v>0</v>
      </c>
      <c r="AA1241" s="11" t="inlineStr">
        <is>
          <t>无</t>
        </is>
      </c>
      <c r="AB1241" s="12">
        <f>AE1240</f>
        <v/>
      </c>
      <c r="AC1241" s="12" t="n">
        <v>0</v>
      </c>
      <c r="AD1241" s="12" t="n">
        <v>0</v>
      </c>
      <c r="AE1241" s="12">
        <f>AB1241+AC1241+AD1241</f>
        <v/>
      </c>
      <c r="AF1241" s="13">
        <f>AI1240</f>
        <v/>
      </c>
      <c r="AG1241" s="13" t="n">
        <v>0</v>
      </c>
      <c r="AH1241" s="13" t="n">
        <v>0</v>
      </c>
      <c r="AI1241" s="13">
        <f>AF1241+AG1241+AH1241</f>
        <v/>
      </c>
      <c r="AJ1241" s="14" t="n">
        <v>30</v>
      </c>
      <c r="AK1241" s="14" t="n">
        <v>0</v>
      </c>
      <c r="AL1241" s="14" t="n">
        <v>0</v>
      </c>
      <c r="AM1241" s="14">
        <f>AJ1241+AK1241+AL1241</f>
        <v/>
      </c>
      <c r="AN1241" s="14">
        <f>AN1240+AM1241</f>
        <v/>
      </c>
    </row>
    <row r="1242">
      <c r="A1242" s="8" t="n">
        <v>48</v>
      </c>
      <c r="B1242" s="8" t="n">
        <v>10</v>
      </c>
      <c r="C1242" s="8" t="n">
        <v>1</v>
      </c>
      <c r="D1242" s="8" t="inlineStr">
        <is>
          <t>版本免费+义相逢 + 月卡收益</t>
        </is>
      </c>
      <c r="E1242" s="9">
        <f>K1241</f>
        <v/>
      </c>
      <c r="F1242" s="9" t="n">
        <v>1540</v>
      </c>
      <c r="G1242" s="9" t="n">
        <v>4800</v>
      </c>
      <c r="H1242" s="9" t="n">
        <v>0</v>
      </c>
      <c r="I1242" s="9" t="n">
        <v>0</v>
      </c>
      <c r="J1242" s="9" t="n">
        <v>0</v>
      </c>
      <c r="K1242" s="9">
        <f>E1242+F1242+G1242+H1242+I1242-J1242</f>
        <v/>
      </c>
      <c r="L1242" s="10">
        <f>Q1241</f>
        <v/>
      </c>
      <c r="M1242" s="10" t="n">
        <v>85</v>
      </c>
      <c r="N1242" s="10" t="n">
        <v>6</v>
      </c>
      <c r="O1242" s="10">
        <f>J1242/160</f>
        <v/>
      </c>
      <c r="P1242" s="10" t="n">
        <v>70</v>
      </c>
      <c r="Q1242" s="10">
        <f>L1242+M1242+N1242+O1242-P1242</f>
        <v/>
      </c>
      <c r="R1242" s="11">
        <f>T1241</f>
        <v/>
      </c>
      <c r="S1242" s="11">
        <f>N(V1242) + N(X1242) + N(Z1242)</f>
        <v/>
      </c>
      <c r="T1242" s="11">
        <f>R1242+P1242-S1242</f>
        <v/>
      </c>
      <c r="U1242" s="11" t="inlineStr">
        <is>
          <t>是</t>
        </is>
      </c>
      <c r="V1242" s="11" t="n">
        <v>52</v>
      </c>
      <c r="W1242" s="11" t="inlineStr">
        <is>
          <t>是</t>
        </is>
      </c>
      <c r="X1242" s="11" t="n">
        <v>25</v>
      </c>
      <c r="Y1242" s="11" t="inlineStr">
        <is>
          <t>-</t>
        </is>
      </c>
      <c r="Z1242" s="11" t="n">
        <v>0</v>
      </c>
      <c r="AA1242" s="11" t="inlineStr">
        <is>
          <t>无</t>
        </is>
      </c>
      <c r="AB1242" s="12">
        <f>AE1241</f>
        <v/>
      </c>
      <c r="AC1242" s="12" t="n">
        <v>4</v>
      </c>
      <c r="AD1242" s="12" t="n">
        <v>0</v>
      </c>
      <c r="AE1242" s="12">
        <f>AB1242+AC1242+AD1242</f>
        <v/>
      </c>
      <c r="AF1242" s="13">
        <f>AI1241</f>
        <v/>
      </c>
      <c r="AG1242" s="13" t="n">
        <v>0</v>
      </c>
      <c r="AH1242" s="13" t="n">
        <v>0</v>
      </c>
      <c r="AI1242" s="13">
        <f>AF1242+AG1242+AH1242</f>
        <v/>
      </c>
      <c r="AJ1242" s="14" t="n">
        <v>0</v>
      </c>
      <c r="AK1242" s="14" t="n">
        <v>50</v>
      </c>
      <c r="AL1242" s="14" t="n">
        <v>0</v>
      </c>
      <c r="AM1242" s="14">
        <f>AJ1242+AK1242+AL1242</f>
        <v/>
      </c>
      <c r="AN1242" s="14">
        <f>AN1241+AM1242</f>
        <v/>
      </c>
    </row>
    <row r="1243">
      <c r="A1243" s="8" t="n">
        <v>48</v>
      </c>
      <c r="B1243" s="8" t="n">
        <v>10</v>
      </c>
      <c r="C1243" s="8" t="n">
        <v>2</v>
      </c>
      <c r="D1243" s="8" t="inlineStr">
        <is>
          <t>月卡收益 [月卡续费-30元]</t>
        </is>
      </c>
      <c r="E1243" s="9">
        <f>K1242</f>
        <v/>
      </c>
      <c r="F1243" s="9" t="n">
        <v>1540</v>
      </c>
      <c r="G1243" s="9" t="n">
        <v>0</v>
      </c>
      <c r="H1243" s="9" t="n">
        <v>0</v>
      </c>
      <c r="I1243" s="9" t="n">
        <v>0</v>
      </c>
      <c r="J1243" s="9" t="n">
        <v>10080</v>
      </c>
      <c r="K1243" s="9">
        <f>E1243+F1243+G1243+H1243+I1243-J1243</f>
        <v/>
      </c>
      <c r="L1243" s="10">
        <f>Q1242</f>
        <v/>
      </c>
      <c r="M1243" s="10" t="n">
        <v>0</v>
      </c>
      <c r="N1243" s="10" t="n">
        <v>11</v>
      </c>
      <c r="O1243" s="10">
        <f>J1243/160</f>
        <v/>
      </c>
      <c r="P1243" s="10" t="n">
        <v>90</v>
      </c>
      <c r="Q1243" s="10">
        <f>L1243+M1243+N1243+O1243-P1243</f>
        <v/>
      </c>
      <c r="R1243" s="11">
        <f>T1242</f>
        <v/>
      </c>
      <c r="S1243" s="11">
        <f>N(V1243) + N(X1243) + N(Z1243)</f>
        <v/>
      </c>
      <c r="T1243" s="11">
        <f>R1243+P1243-S1243</f>
        <v/>
      </c>
      <c r="U1243" s="11" t="inlineStr">
        <is>
          <t>是</t>
        </is>
      </c>
      <c r="V1243" s="11" t="n">
        <v>31</v>
      </c>
      <c r="W1243" s="11" t="inlineStr">
        <is>
          <t>是</t>
        </is>
      </c>
      <c r="X1243" s="11" t="n">
        <v>52</v>
      </c>
      <c r="Y1243" s="11" t="inlineStr">
        <is>
          <t>-</t>
        </is>
      </c>
      <c r="Z1243" s="11" t="n">
        <v>0</v>
      </c>
      <c r="AA1243" s="11" t="inlineStr">
        <is>
          <t>无</t>
        </is>
      </c>
      <c r="AB1243" s="12">
        <f>AE1242</f>
        <v/>
      </c>
      <c r="AC1243" s="12" t="n">
        <v>0</v>
      </c>
      <c r="AD1243" s="12" t="n">
        <v>0</v>
      </c>
      <c r="AE1243" s="12">
        <f>AB1243+AC1243+AD1243</f>
        <v/>
      </c>
      <c r="AF1243" s="13">
        <f>AI1242</f>
        <v/>
      </c>
      <c r="AG1243" s="13" t="n">
        <v>0</v>
      </c>
      <c r="AH1243" s="13" t="n">
        <v>0</v>
      </c>
      <c r="AI1243" s="13">
        <f>AF1243+AG1243+AH1243</f>
        <v/>
      </c>
      <c r="AJ1243" s="14" t="n">
        <v>30</v>
      </c>
      <c r="AK1243" s="14" t="n">
        <v>0</v>
      </c>
      <c r="AL1243" s="14" t="n">
        <v>0</v>
      </c>
      <c r="AM1243" s="14">
        <f>AJ1243+AK1243+AL1243</f>
        <v/>
      </c>
      <c r="AN1243" s="14">
        <f>AN1242+AM1243</f>
        <v/>
      </c>
    </row>
    <row r="1244">
      <c r="A1244" s="8" t="n">
        <v>48</v>
      </c>
      <c r="B1244" s="8" t="n">
        <v>11</v>
      </c>
      <c r="C1244" s="8" t="n">
        <v>1</v>
      </c>
      <c r="D1244" s="8" t="inlineStr">
        <is>
          <t>版本免费+义相逢 + 月卡收益</t>
        </is>
      </c>
      <c r="E1244" s="9">
        <f>K1243</f>
        <v/>
      </c>
      <c r="F1244" s="9" t="n">
        <v>1540</v>
      </c>
      <c r="G1244" s="9" t="n">
        <v>4800</v>
      </c>
      <c r="H1244" s="9" t="n">
        <v>0</v>
      </c>
      <c r="I1244" s="9" t="n">
        <v>0</v>
      </c>
      <c r="J1244" s="9" t="n">
        <v>0</v>
      </c>
      <c r="K1244" s="9">
        <f>E1244+F1244+G1244+H1244+I1244-J1244</f>
        <v/>
      </c>
      <c r="L1244" s="10">
        <f>Q1243</f>
        <v/>
      </c>
      <c r="M1244" s="10" t="n">
        <v>85</v>
      </c>
      <c r="N1244" s="10" t="n">
        <v>6</v>
      </c>
      <c r="O1244" s="10">
        <f>J1244/160</f>
        <v/>
      </c>
      <c r="P1244" s="10" t="n">
        <v>60</v>
      </c>
      <c r="Q1244" s="10">
        <f>L1244+M1244+N1244+O1244-P1244</f>
        <v/>
      </c>
      <c r="R1244" s="11">
        <f>T1243</f>
        <v/>
      </c>
      <c r="S1244" s="11">
        <f>N(V1244) + N(X1244) + N(Z1244)</f>
        <v/>
      </c>
      <c r="T1244" s="11">
        <f>R1244+P1244-S1244</f>
        <v/>
      </c>
      <c r="U1244" s="11" t="inlineStr">
        <is>
          <t>是</t>
        </is>
      </c>
      <c r="V1244" s="11" t="n">
        <v>52</v>
      </c>
      <c r="W1244" s="11" t="inlineStr">
        <is>
          <t>否</t>
        </is>
      </c>
      <c r="X1244" s="11" t="inlineStr">
        <is>
          <t>-</t>
        </is>
      </c>
      <c r="Y1244" s="11" t="inlineStr">
        <is>
          <t>UP(6)</t>
        </is>
      </c>
      <c r="Z1244" s="11" t="n">
        <v>6</v>
      </c>
      <c r="AA1244" s="11" t="inlineStr">
        <is>
          <t>垫到60抽</t>
        </is>
      </c>
      <c r="AB1244" s="12">
        <f>AE1243</f>
        <v/>
      </c>
      <c r="AC1244" s="12" t="n">
        <v>4</v>
      </c>
      <c r="AD1244" s="12" t="n">
        <v>0</v>
      </c>
      <c r="AE1244" s="12">
        <f>AB1244+AC1244+AD1244</f>
        <v/>
      </c>
      <c r="AF1244" s="13">
        <f>AI1243</f>
        <v/>
      </c>
      <c r="AG1244" s="13" t="n">
        <v>0</v>
      </c>
      <c r="AH1244" s="13" t="n">
        <v>0</v>
      </c>
      <c r="AI1244" s="13">
        <f>AF1244+AG1244+AH1244</f>
        <v/>
      </c>
      <c r="AJ1244" s="14" t="n">
        <v>0</v>
      </c>
      <c r="AK1244" s="14" t="n">
        <v>50</v>
      </c>
      <c r="AL1244" s="14" t="n">
        <v>0</v>
      </c>
      <c r="AM1244" s="14">
        <f>AJ1244+AK1244+AL1244</f>
        <v/>
      </c>
      <c r="AN1244" s="14">
        <f>AN1243+AM1244</f>
        <v/>
      </c>
    </row>
    <row r="1245">
      <c r="A1245" s="8" t="n">
        <v>48</v>
      </c>
      <c r="B1245" s="8" t="n">
        <v>11</v>
      </c>
      <c r="C1245" s="8" t="n">
        <v>2</v>
      </c>
      <c r="D1245" s="8" t="inlineStr">
        <is>
          <t>月卡收益 [月卡续费-30元]</t>
        </is>
      </c>
      <c r="E1245" s="9">
        <f>K1244</f>
        <v/>
      </c>
      <c r="F1245" s="9" t="n">
        <v>1540</v>
      </c>
      <c r="G1245" s="9" t="n">
        <v>0</v>
      </c>
      <c r="H1245" s="9" t="n">
        <v>0</v>
      </c>
      <c r="I1245" s="9" t="n">
        <v>0</v>
      </c>
      <c r="J1245" s="9" t="n">
        <v>7680</v>
      </c>
      <c r="K1245" s="9">
        <f>E1245+F1245+G1245+H1245+I1245-J1245</f>
        <v/>
      </c>
      <c r="L1245" s="10">
        <f>Q1244</f>
        <v/>
      </c>
      <c r="M1245" s="10" t="n">
        <v>0</v>
      </c>
      <c r="N1245" s="10" t="n">
        <v>11</v>
      </c>
      <c r="O1245" s="10">
        <f>J1245/160</f>
        <v/>
      </c>
      <c r="P1245" s="10" t="n">
        <v>90</v>
      </c>
      <c r="Q1245" s="10">
        <f>L1245+M1245+N1245+O1245-P1245</f>
        <v/>
      </c>
      <c r="R1245" s="11">
        <f>T1244</f>
        <v/>
      </c>
      <c r="S1245" s="11">
        <f>N(V1245) + N(X1245) + N(Z1245)</f>
        <v/>
      </c>
      <c r="T1245" s="11">
        <f>R1245+P1245-S1245</f>
        <v/>
      </c>
      <c r="U1245" s="11" t="inlineStr">
        <is>
          <t>是</t>
        </is>
      </c>
      <c r="V1245" s="11" t="n">
        <v>38</v>
      </c>
      <c r="W1245" s="11" t="inlineStr">
        <is>
          <t>是</t>
        </is>
      </c>
      <c r="X1245" s="11" t="n">
        <v>50</v>
      </c>
      <c r="Y1245" s="11" t="inlineStr">
        <is>
          <t>-</t>
        </is>
      </c>
      <c r="Z1245" s="11" t="n">
        <v>0</v>
      </c>
      <c r="AA1245" s="11" t="inlineStr">
        <is>
          <t>垫到90抽</t>
        </is>
      </c>
      <c r="AB1245" s="12">
        <f>AE1244</f>
        <v/>
      </c>
      <c r="AC1245" s="12" t="n">
        <v>0</v>
      </c>
      <c r="AD1245" s="12" t="n">
        <v>0</v>
      </c>
      <c r="AE1245" s="12">
        <f>AB1245+AC1245+AD1245</f>
        <v/>
      </c>
      <c r="AF1245" s="13">
        <f>AI1244</f>
        <v/>
      </c>
      <c r="AG1245" s="13" t="n">
        <v>0</v>
      </c>
      <c r="AH1245" s="13" t="n">
        <v>0</v>
      </c>
      <c r="AI1245" s="13">
        <f>AF1245+AG1245+AH1245</f>
        <v/>
      </c>
      <c r="AJ1245" s="14" t="n">
        <v>30</v>
      </c>
      <c r="AK1245" s="14" t="n">
        <v>0</v>
      </c>
      <c r="AL1245" s="14" t="n">
        <v>0</v>
      </c>
      <c r="AM1245" s="14">
        <f>AJ1245+AK1245+AL1245</f>
        <v/>
      </c>
      <c r="AN1245" s="14">
        <f>AN1244+AM1245</f>
        <v/>
      </c>
    </row>
    <row r="1246">
      <c r="A1246" s="8" t="n">
        <v>48</v>
      </c>
      <c r="B1246" s="8" t="n">
        <v>12</v>
      </c>
      <c r="C1246" s="8" t="n">
        <v>1</v>
      </c>
      <c r="D1246" s="8" t="inlineStr">
        <is>
          <t>版本免费+义相逢 + 月卡收益</t>
        </is>
      </c>
      <c r="E1246" s="9">
        <f>K1245</f>
        <v/>
      </c>
      <c r="F1246" s="9" t="n">
        <v>1540</v>
      </c>
      <c r="G1246" s="9" t="n">
        <v>4800</v>
      </c>
      <c r="H1246" s="9" t="n">
        <v>0</v>
      </c>
      <c r="I1246" s="9" t="n">
        <v>0</v>
      </c>
      <c r="J1246" s="9" t="n">
        <v>0</v>
      </c>
      <c r="K1246" s="9">
        <f>E1246+F1246+G1246+H1246+I1246-J1246</f>
        <v/>
      </c>
      <c r="L1246" s="10">
        <f>Q1245</f>
        <v/>
      </c>
      <c r="M1246" s="10" t="n">
        <v>85</v>
      </c>
      <c r="N1246" s="10" t="n">
        <v>1</v>
      </c>
      <c r="O1246" s="10">
        <f>J1246/160</f>
        <v/>
      </c>
      <c r="P1246" s="10" t="n">
        <v>20</v>
      </c>
      <c r="Q1246" s="10">
        <f>L1246+M1246+N1246+O1246-P1246</f>
        <v/>
      </c>
      <c r="R1246" s="11">
        <f>T1245</f>
        <v/>
      </c>
      <c r="S1246" s="11">
        <f>N(V1246) + N(X1246) + N(Z1246)</f>
        <v/>
      </c>
      <c r="T1246" s="11">
        <f>R1246+P1246-S1246</f>
        <v/>
      </c>
      <c r="U1246" s="11" t="inlineStr">
        <is>
          <t>是</t>
        </is>
      </c>
      <c r="V1246" s="11" t="n">
        <v>28</v>
      </c>
      <c r="W1246" s="11" t="inlineStr">
        <is>
          <t>否</t>
        </is>
      </c>
      <c r="X1246" s="11" t="inlineStr">
        <is>
          <t>-</t>
        </is>
      </c>
      <c r="Y1246" s="11" t="inlineStr">
        <is>
          <t>-</t>
        </is>
      </c>
      <c r="Z1246" s="11" t="n">
        <v>0</v>
      </c>
      <c r="AA1246" s="11" t="inlineStr">
        <is>
          <t>无</t>
        </is>
      </c>
      <c r="AB1246" s="12">
        <f>AE1245</f>
        <v/>
      </c>
      <c r="AC1246" s="12" t="n">
        <v>4</v>
      </c>
      <c r="AD1246" s="12" t="n">
        <v>0</v>
      </c>
      <c r="AE1246" s="12">
        <f>AB1246+AC1246+AD1246</f>
        <v/>
      </c>
      <c r="AF1246" s="13">
        <f>AI1245</f>
        <v/>
      </c>
      <c r="AG1246" s="13" t="n">
        <v>0</v>
      </c>
      <c r="AH1246" s="13" t="n">
        <v>0</v>
      </c>
      <c r="AI1246" s="13">
        <f>AF1246+AG1246+AH1246</f>
        <v/>
      </c>
      <c r="AJ1246" s="14" t="n">
        <v>0</v>
      </c>
      <c r="AK1246" s="14" t="n">
        <v>50</v>
      </c>
      <c r="AL1246" s="14" t="n">
        <v>0</v>
      </c>
      <c r="AM1246" s="14">
        <f>AJ1246+AK1246+AL1246</f>
        <v/>
      </c>
      <c r="AN1246" s="14">
        <f>AN1245+AM1246</f>
        <v/>
      </c>
    </row>
    <row r="1247">
      <c r="A1247" s="8" t="n">
        <v>48</v>
      </c>
      <c r="B1247" s="8" t="n">
        <v>12</v>
      </c>
      <c r="C1247" s="8" t="n">
        <v>2</v>
      </c>
      <c r="D1247" s="8" t="inlineStr">
        <is>
          <t>月卡收益</t>
        </is>
      </c>
      <c r="E1247" s="9">
        <f>K1246</f>
        <v/>
      </c>
      <c r="F1247" s="9" t="n">
        <v>1540</v>
      </c>
      <c r="G1247" s="9" t="n">
        <v>0</v>
      </c>
      <c r="H1247" s="9" t="n">
        <v>0</v>
      </c>
      <c r="I1247" s="9" t="n">
        <v>0</v>
      </c>
      <c r="J1247" s="9" t="n">
        <v>2880</v>
      </c>
      <c r="K1247" s="9">
        <f>E1247+F1247+G1247+H1247+I1247-J1247</f>
        <v/>
      </c>
      <c r="L1247" s="10">
        <f>Q1246</f>
        <v/>
      </c>
      <c r="M1247" s="10" t="n">
        <v>0</v>
      </c>
      <c r="N1247" s="10" t="n">
        <v>11</v>
      </c>
      <c r="O1247" s="10">
        <f>J1247/160</f>
        <v/>
      </c>
      <c r="P1247" s="10" t="n">
        <v>100</v>
      </c>
      <c r="Q1247" s="10">
        <f>L1247+M1247+N1247+O1247-P1247</f>
        <v/>
      </c>
      <c r="R1247" s="11">
        <f>T1246</f>
        <v/>
      </c>
      <c r="S1247" s="11">
        <f>N(V1247) + N(X1247) + N(Z1247)</f>
        <v/>
      </c>
      <c r="T1247" s="11">
        <f>R1247+P1247-S1247</f>
        <v/>
      </c>
      <c r="U1247" s="11" t="inlineStr">
        <is>
          <t>是</t>
        </is>
      </c>
      <c r="V1247" s="11" t="n">
        <v>50</v>
      </c>
      <c r="W1247" s="11" t="inlineStr">
        <is>
          <t>是</t>
        </is>
      </c>
      <c r="X1247" s="11" t="n">
        <v>52</v>
      </c>
      <c r="Y1247" s="11" t="inlineStr">
        <is>
          <t>-</t>
        </is>
      </c>
      <c r="Z1247" s="11" t="n">
        <v>0</v>
      </c>
      <c r="AA1247" s="11" t="inlineStr">
        <is>
          <t>无</t>
        </is>
      </c>
      <c r="AB1247" s="12">
        <f>AE1246</f>
        <v/>
      </c>
      <c r="AC1247" s="12" t="n">
        <v>0</v>
      </c>
      <c r="AD1247" s="12" t="n">
        <v>0</v>
      </c>
      <c r="AE1247" s="12">
        <f>AB1247+AC1247+AD1247</f>
        <v/>
      </c>
      <c r="AF1247" s="13">
        <f>AI1246</f>
        <v/>
      </c>
      <c r="AG1247" s="13" t="n">
        <v>0</v>
      </c>
      <c r="AH1247" s="13" t="n">
        <v>0</v>
      </c>
      <c r="AI1247" s="13">
        <f>AF1247+AG1247+AH1247</f>
        <v/>
      </c>
      <c r="AJ1247" s="14" t="n">
        <v>0</v>
      </c>
      <c r="AK1247" s="14" t="n">
        <v>0</v>
      </c>
      <c r="AL1247" s="14" t="n">
        <v>0</v>
      </c>
      <c r="AM1247" s="14">
        <f>AJ1247+AK1247+AL1247</f>
        <v/>
      </c>
      <c r="AN1247" s="14">
        <f>AN1246+AM1247</f>
        <v/>
      </c>
    </row>
    <row r="1248">
      <c r="A1248" s="8" t="n">
        <v>48</v>
      </c>
      <c r="B1248" s="8" t="n">
        <v>13</v>
      </c>
      <c r="C1248" s="8" t="n">
        <v>1</v>
      </c>
      <c r="D1248" s="8" t="inlineStr">
        <is>
          <t>版本免费+义相逢 + 月卡收益 [月卡续费-30元]</t>
        </is>
      </c>
      <c r="E1248" s="9">
        <f>K1247</f>
        <v/>
      </c>
      <c r="F1248" s="9" t="n">
        <v>1540</v>
      </c>
      <c r="G1248" s="9" t="n">
        <v>4800</v>
      </c>
      <c r="H1248" s="9" t="n">
        <v>0</v>
      </c>
      <c r="I1248" s="9" t="n">
        <v>0</v>
      </c>
      <c r="J1248" s="9" t="n">
        <v>15040</v>
      </c>
      <c r="K1248" s="9">
        <f>E1248+F1248+G1248+H1248+I1248-J1248</f>
        <v/>
      </c>
      <c r="L1248" s="10">
        <f>Q1247</f>
        <v/>
      </c>
      <c r="M1248" s="10" t="n">
        <v>85</v>
      </c>
      <c r="N1248" s="10" t="n">
        <v>21</v>
      </c>
      <c r="O1248" s="10">
        <f>J1248/160</f>
        <v/>
      </c>
      <c r="P1248" s="10" t="n">
        <v>200</v>
      </c>
      <c r="Q1248" s="10">
        <f>L1248+M1248+N1248+O1248-P1248</f>
        <v/>
      </c>
      <c r="R1248" s="11">
        <f>T1247</f>
        <v/>
      </c>
      <c r="S1248" s="11">
        <f>N(V1248) + N(X1248) + N(Z1248)</f>
        <v/>
      </c>
      <c r="T1248" s="11">
        <f>R1248+P1248-S1248</f>
        <v/>
      </c>
      <c r="U1248" s="11" t="inlineStr">
        <is>
          <t>是</t>
        </is>
      </c>
      <c r="V1248" s="11" t="n">
        <v>53</v>
      </c>
      <c r="W1248" s="11" t="inlineStr">
        <is>
          <t>是</t>
        </is>
      </c>
      <c r="X1248" s="11" t="n">
        <v>49</v>
      </c>
      <c r="Y1248" s="11" t="inlineStr">
        <is>
          <t>UP(52)</t>
        </is>
      </c>
      <c r="Z1248" s="11" t="n">
        <v>52</v>
      </c>
      <c r="AA1248" s="11" t="inlineStr">
        <is>
          <t>冲刺200(动态100)</t>
        </is>
      </c>
      <c r="AB1248" s="12">
        <f>AE1247</f>
        <v/>
      </c>
      <c r="AC1248" s="12" t="n">
        <v>4</v>
      </c>
      <c r="AD1248" s="12" t="n">
        <v>1</v>
      </c>
      <c r="AE1248" s="12">
        <f>AB1248+AC1248+AD1248</f>
        <v/>
      </c>
      <c r="AF1248" s="13">
        <f>AI1247</f>
        <v/>
      </c>
      <c r="AG1248" s="13" t="n">
        <v>0</v>
      </c>
      <c r="AH1248" s="13" t="n">
        <v>5000</v>
      </c>
      <c r="AI1248" s="13">
        <f>AF1248+AG1248+AH1248</f>
        <v/>
      </c>
      <c r="AJ1248" s="14" t="n">
        <v>30</v>
      </c>
      <c r="AK1248" s="14" t="n">
        <v>50</v>
      </c>
      <c r="AL1248" s="14" t="n">
        <v>0</v>
      </c>
      <c r="AM1248" s="14">
        <f>AJ1248+AK1248+AL1248</f>
        <v/>
      </c>
      <c r="AN1248" s="14">
        <f>AN1247+AM1248</f>
        <v/>
      </c>
    </row>
    <row r="1249">
      <c r="A1249" s="8" t="n">
        <v>48</v>
      </c>
      <c r="B1249" s="8" t="n">
        <v>13</v>
      </c>
      <c r="C1249" s="8" t="n">
        <v>2</v>
      </c>
      <c r="D1249" s="8" t="inlineStr">
        <is>
          <t>月卡收益</t>
        </is>
      </c>
      <c r="E1249" s="9">
        <f>K1248</f>
        <v/>
      </c>
      <c r="F1249" s="9" t="n">
        <v>1540</v>
      </c>
      <c r="G1249" s="9" t="n">
        <v>0</v>
      </c>
      <c r="H1249" s="9" t="n">
        <v>0</v>
      </c>
      <c r="I1249" s="9" t="n">
        <v>0</v>
      </c>
      <c r="J1249" s="9" t="n">
        <v>1600</v>
      </c>
      <c r="K1249" s="9">
        <f>E1249+F1249+G1249+H1249+I1249-J1249</f>
        <v/>
      </c>
      <c r="L1249" s="10">
        <f>Q1248</f>
        <v/>
      </c>
      <c r="M1249" s="10" t="n">
        <v>0</v>
      </c>
      <c r="N1249" s="10" t="n">
        <v>1</v>
      </c>
      <c r="O1249" s="10">
        <f>J1249/160</f>
        <v/>
      </c>
      <c r="P1249" s="10" t="n">
        <v>10</v>
      </c>
      <c r="Q1249" s="10">
        <f>L1249+M1249+N1249+O1249-P1249</f>
        <v/>
      </c>
      <c r="R1249" s="11">
        <f>T1248</f>
        <v/>
      </c>
      <c r="S1249" s="11">
        <f>N(V1249) + N(X1249) + N(Z1249)</f>
        <v/>
      </c>
      <c r="T1249" s="11">
        <f>R1249+P1249-S1249</f>
        <v/>
      </c>
      <c r="U1249" s="11" t="inlineStr">
        <is>
          <t>是</t>
        </is>
      </c>
      <c r="V1249" s="11" t="n">
        <v>49</v>
      </c>
      <c r="W1249" s="11" t="inlineStr">
        <is>
          <t>否</t>
        </is>
      </c>
      <c r="X1249" s="11" t="inlineStr">
        <is>
          <t>-</t>
        </is>
      </c>
      <c r="Y1249" s="11" t="inlineStr">
        <is>
          <t>-</t>
        </is>
      </c>
      <c r="Z1249" s="11" t="n">
        <v>0</v>
      </c>
      <c r="AA1249" s="11" t="inlineStr">
        <is>
          <t>无</t>
        </is>
      </c>
      <c r="AB1249" s="12">
        <f>AE1248</f>
        <v/>
      </c>
      <c r="AC1249" s="12" t="n">
        <v>0</v>
      </c>
      <c r="AD1249" s="12" t="n">
        <v>0</v>
      </c>
      <c r="AE1249" s="12">
        <f>AB1249+AC1249+AD1249</f>
        <v/>
      </c>
      <c r="AF1249" s="13">
        <f>AI1248</f>
        <v/>
      </c>
      <c r="AG1249" s="13" t="n">
        <v>0</v>
      </c>
      <c r="AH1249" s="13" t="n">
        <v>0</v>
      </c>
      <c r="AI1249" s="13">
        <f>AF1249+AG1249+AH1249</f>
        <v/>
      </c>
      <c r="AJ1249" s="14" t="n">
        <v>0</v>
      </c>
      <c r="AK1249" s="14" t="n">
        <v>0</v>
      </c>
      <c r="AL1249" s="14" t="n">
        <v>0</v>
      </c>
      <c r="AM1249" s="14">
        <f>AJ1249+AK1249+AL1249</f>
        <v/>
      </c>
      <c r="AN1249" s="14">
        <f>AN1248+AM1249</f>
        <v/>
      </c>
    </row>
    <row r="1250">
      <c r="A1250" s="8" t="n">
        <v>49</v>
      </c>
      <c r="B1250" s="8" t="n">
        <v>1</v>
      </c>
      <c r="C1250" s="8" t="n">
        <v>1</v>
      </c>
      <c r="D1250" s="8" t="inlineStr">
        <is>
          <t>版本免费+义相逢 + 月卡收益 [月卡续费-30元]</t>
        </is>
      </c>
      <c r="E1250" s="9" t="n">
        <v>18080</v>
      </c>
      <c r="F1250" s="9" t="n">
        <v>1540</v>
      </c>
      <c r="G1250" s="9" t="n">
        <v>4800</v>
      </c>
      <c r="H1250" s="9" t="n">
        <v>0</v>
      </c>
      <c r="I1250" s="9" t="n">
        <v>0</v>
      </c>
      <c r="J1250" s="9" t="n">
        <v>0</v>
      </c>
      <c r="K1250" s="9">
        <f>E1250+F1250+G1250+H1250+I1250-J1250</f>
        <v/>
      </c>
      <c r="L1250" s="10" t="n">
        <v>1</v>
      </c>
      <c r="M1250" s="10" t="n">
        <v>85</v>
      </c>
      <c r="N1250" s="10" t="n">
        <v>11</v>
      </c>
      <c r="O1250" s="10">
        <f>J1250/160</f>
        <v/>
      </c>
      <c r="P1250" s="10" t="n">
        <v>90</v>
      </c>
      <c r="Q1250" s="10">
        <f>L1250+M1250+N1250+O1250-P1250</f>
        <v/>
      </c>
      <c r="R1250" s="11" t="n">
        <v>8</v>
      </c>
      <c r="S1250" s="11">
        <f>N(V1250) + N(X1250) + N(Z1250)</f>
        <v/>
      </c>
      <c r="T1250" s="11">
        <f>R1250+P1250-S1250</f>
        <v/>
      </c>
      <c r="U1250" s="11" t="inlineStr">
        <is>
          <t>是</t>
        </is>
      </c>
      <c r="V1250" s="11" t="n">
        <v>47</v>
      </c>
      <c r="W1250" s="11" t="inlineStr">
        <is>
          <t>是</t>
        </is>
      </c>
      <c r="X1250" s="11" t="n">
        <v>48</v>
      </c>
      <c r="Y1250" s="11" t="inlineStr">
        <is>
          <t>-</t>
        </is>
      </c>
      <c r="Z1250" s="11" t="n">
        <v>0</v>
      </c>
      <c r="AA1250" s="11" t="inlineStr">
        <is>
          <t>无</t>
        </is>
      </c>
      <c r="AB1250" s="12" t="n">
        <v>2564</v>
      </c>
      <c r="AC1250" s="12" t="n">
        <v>4</v>
      </c>
      <c r="AD1250" s="12" t="n">
        <v>0</v>
      </c>
      <c r="AE1250" s="12">
        <f>AB1250+AC1250+AD1250</f>
        <v/>
      </c>
      <c r="AF1250" s="13" t="n">
        <v>340000</v>
      </c>
      <c r="AG1250" s="13" t="n">
        <v>0</v>
      </c>
      <c r="AH1250" s="13" t="n">
        <v>0</v>
      </c>
      <c r="AI1250" s="13">
        <f>AF1250+AG1250+AH1250</f>
        <v/>
      </c>
      <c r="AJ1250" s="14" t="n">
        <v>30</v>
      </c>
      <c r="AK1250" s="14" t="n">
        <v>50</v>
      </c>
      <c r="AL1250" s="14" t="n">
        <v>0</v>
      </c>
      <c r="AM1250" s="14">
        <f>AJ1250+AK1250+AL1250</f>
        <v/>
      </c>
      <c r="AN1250" s="14">
        <f>AM1250</f>
        <v/>
      </c>
    </row>
    <row r="1251">
      <c r="A1251" s="8" t="n">
        <v>49</v>
      </c>
      <c r="B1251" s="8" t="n">
        <v>1</v>
      </c>
      <c r="C1251" s="8" t="n">
        <v>2</v>
      </c>
      <c r="D1251" s="8" t="inlineStr">
        <is>
          <t>月卡收益</t>
        </is>
      </c>
      <c r="E1251" s="9">
        <f>K1250</f>
        <v/>
      </c>
      <c r="F1251" s="9" t="n">
        <v>1540</v>
      </c>
      <c r="G1251" s="9" t="n">
        <v>0</v>
      </c>
      <c r="H1251" s="9" t="n">
        <v>0</v>
      </c>
      <c r="I1251" s="9" t="n">
        <v>0</v>
      </c>
      <c r="J1251" s="9" t="n">
        <v>12320</v>
      </c>
      <c r="K1251" s="9">
        <f>E1251+F1251+G1251+H1251+I1251-J1251</f>
        <v/>
      </c>
      <c r="L1251" s="10">
        <f>Q1250</f>
        <v/>
      </c>
      <c r="M1251" s="10" t="n">
        <v>0</v>
      </c>
      <c r="N1251" s="10" t="n">
        <v>11</v>
      </c>
      <c r="O1251" s="10">
        <f>J1251/160</f>
        <v/>
      </c>
      <c r="P1251" s="10" t="n">
        <v>90</v>
      </c>
      <c r="Q1251" s="10">
        <f>L1251+M1251+N1251+O1251-P1251</f>
        <v/>
      </c>
      <c r="R1251" s="11">
        <f>T1250</f>
        <v/>
      </c>
      <c r="S1251" s="11">
        <f>N(V1251) + N(X1251) + N(Z1251)</f>
        <v/>
      </c>
      <c r="T1251" s="11">
        <f>R1251+P1251-S1251</f>
        <v/>
      </c>
      <c r="U1251" s="11" t="inlineStr">
        <is>
          <t>是</t>
        </is>
      </c>
      <c r="V1251" s="11" t="n">
        <v>38</v>
      </c>
      <c r="W1251" s="11" t="inlineStr">
        <is>
          <t>是</t>
        </is>
      </c>
      <c r="X1251" s="11" t="n">
        <v>48</v>
      </c>
      <c r="Y1251" s="11" t="inlineStr">
        <is>
          <t>-</t>
        </is>
      </c>
      <c r="Z1251" s="11" t="n">
        <v>0</v>
      </c>
      <c r="AA1251" s="11" t="inlineStr">
        <is>
          <t>无</t>
        </is>
      </c>
      <c r="AB1251" s="12">
        <f>AE1250</f>
        <v/>
      </c>
      <c r="AC1251" s="12" t="n">
        <v>0</v>
      </c>
      <c r="AD1251" s="12" t="n">
        <v>0</v>
      </c>
      <c r="AE1251" s="12">
        <f>AB1251+AC1251+AD1251</f>
        <v/>
      </c>
      <c r="AF1251" s="13">
        <f>AI1250</f>
        <v/>
      </c>
      <c r="AG1251" s="13" t="n">
        <v>0</v>
      </c>
      <c r="AH1251" s="13" t="n">
        <v>0</v>
      </c>
      <c r="AI1251" s="13">
        <f>AF1251+AG1251+AH1251</f>
        <v/>
      </c>
      <c r="AJ1251" s="14" t="n">
        <v>0</v>
      </c>
      <c r="AK1251" s="14" t="n">
        <v>0</v>
      </c>
      <c r="AL1251" s="14" t="n">
        <v>0</v>
      </c>
      <c r="AM1251" s="14">
        <f>AJ1251+AK1251+AL1251</f>
        <v/>
      </c>
      <c r="AN1251" s="14">
        <f>AN1250+AM1251</f>
        <v/>
      </c>
    </row>
    <row r="1252">
      <c r="A1252" s="8" t="n">
        <v>49</v>
      </c>
      <c r="B1252" s="8" t="n">
        <v>2</v>
      </c>
      <c r="C1252" s="8" t="n">
        <v>1</v>
      </c>
      <c r="D1252" s="8" t="inlineStr">
        <is>
          <t>版本免费+义相逢 + 月卡收益 [月卡续费-30元]</t>
        </is>
      </c>
      <c r="E1252" s="9">
        <f>K1251</f>
        <v/>
      </c>
      <c r="F1252" s="9" t="n">
        <v>1540</v>
      </c>
      <c r="G1252" s="9" t="n">
        <v>4800</v>
      </c>
      <c r="H1252" s="9" t="n">
        <v>0</v>
      </c>
      <c r="I1252" s="9" t="n">
        <v>0</v>
      </c>
      <c r="J1252" s="9" t="n">
        <v>0</v>
      </c>
      <c r="K1252" s="9">
        <f>E1252+F1252+G1252+H1252+I1252-J1252</f>
        <v/>
      </c>
      <c r="L1252" s="10">
        <f>Q1251</f>
        <v/>
      </c>
      <c r="M1252" s="10" t="n">
        <v>85</v>
      </c>
      <c r="N1252" s="10" t="n">
        <v>6</v>
      </c>
      <c r="O1252" s="10">
        <f>J1252/160</f>
        <v/>
      </c>
      <c r="P1252" s="10" t="n">
        <v>60</v>
      </c>
      <c r="Q1252" s="10">
        <f>L1252+M1252+N1252+O1252-P1252</f>
        <v/>
      </c>
      <c r="R1252" s="11">
        <f>T1251</f>
        <v/>
      </c>
      <c r="S1252" s="11">
        <f>N(V1252) + N(X1252) + N(Z1252)</f>
        <v/>
      </c>
      <c r="T1252" s="11">
        <f>R1252+P1252-S1252</f>
        <v/>
      </c>
      <c r="U1252" s="11" t="inlineStr">
        <is>
          <t>是</t>
        </is>
      </c>
      <c r="V1252" s="11" t="n">
        <v>49</v>
      </c>
      <c r="W1252" s="11" t="inlineStr">
        <is>
          <t>否</t>
        </is>
      </c>
      <c r="X1252" s="11" t="inlineStr">
        <is>
          <t>-</t>
        </is>
      </c>
      <c r="Y1252" s="11" t="inlineStr">
        <is>
          <t>-</t>
        </is>
      </c>
      <c r="Z1252" s="11" t="n">
        <v>0</v>
      </c>
      <c r="AA1252" s="11" t="inlineStr">
        <is>
          <t>垫到60抽</t>
        </is>
      </c>
      <c r="AB1252" s="12">
        <f>AE1251</f>
        <v/>
      </c>
      <c r="AC1252" s="12" t="n">
        <v>4</v>
      </c>
      <c r="AD1252" s="12" t="n">
        <v>0</v>
      </c>
      <c r="AE1252" s="12">
        <f>AB1252+AC1252+AD1252</f>
        <v/>
      </c>
      <c r="AF1252" s="13">
        <f>AI1251</f>
        <v/>
      </c>
      <c r="AG1252" s="13" t="n">
        <v>0</v>
      </c>
      <c r="AH1252" s="13" t="n">
        <v>0</v>
      </c>
      <c r="AI1252" s="13">
        <f>AF1252+AG1252+AH1252</f>
        <v/>
      </c>
      <c r="AJ1252" s="14" t="n">
        <v>30</v>
      </c>
      <c r="AK1252" s="14" t="n">
        <v>50</v>
      </c>
      <c r="AL1252" s="14" t="n">
        <v>0</v>
      </c>
      <c r="AM1252" s="14">
        <f>AJ1252+AK1252+AL1252</f>
        <v/>
      </c>
      <c r="AN1252" s="14">
        <f>AN1251+AM1252</f>
        <v/>
      </c>
    </row>
    <row r="1253">
      <c r="A1253" s="8" t="n">
        <v>49</v>
      </c>
      <c r="B1253" s="8" t="n">
        <v>2</v>
      </c>
      <c r="C1253" s="8" t="n">
        <v>2</v>
      </c>
      <c r="D1253" s="8" t="inlineStr">
        <is>
          <t>月卡收益</t>
        </is>
      </c>
      <c r="E1253" s="9">
        <f>K1252</f>
        <v/>
      </c>
      <c r="F1253" s="9" t="n">
        <v>1540</v>
      </c>
      <c r="G1253" s="9" t="n">
        <v>0</v>
      </c>
      <c r="H1253" s="9" t="n">
        <v>0</v>
      </c>
      <c r="I1253" s="9" t="n">
        <v>0</v>
      </c>
      <c r="J1253" s="9" t="n">
        <v>160</v>
      </c>
      <c r="K1253" s="9">
        <f>E1253+F1253+G1253+H1253+I1253-J1253</f>
        <v/>
      </c>
      <c r="L1253" s="10">
        <f>Q1252</f>
        <v/>
      </c>
      <c r="M1253" s="10" t="n">
        <v>0</v>
      </c>
      <c r="N1253" s="10" t="n">
        <v>3</v>
      </c>
      <c r="O1253" s="10">
        <f>J1253/160</f>
        <v/>
      </c>
      <c r="P1253" s="10" t="n">
        <v>40</v>
      </c>
      <c r="Q1253" s="10">
        <f>L1253+M1253+N1253+O1253-P1253</f>
        <v/>
      </c>
      <c r="R1253" s="11">
        <f>T1252</f>
        <v/>
      </c>
      <c r="S1253" s="11">
        <f>N(V1253) + N(X1253) + N(Z1253)</f>
        <v/>
      </c>
      <c r="T1253" s="11">
        <f>R1253+P1253-S1253</f>
        <v/>
      </c>
      <c r="U1253" s="11" t="inlineStr">
        <is>
          <t>是</t>
        </is>
      </c>
      <c r="V1253" s="11" t="n">
        <v>50</v>
      </c>
      <c r="W1253" s="11" t="inlineStr">
        <is>
          <t>否</t>
        </is>
      </c>
      <c r="X1253" s="11" t="inlineStr">
        <is>
          <t>-</t>
        </is>
      </c>
      <c r="Y1253" s="11" t="inlineStr">
        <is>
          <t>-</t>
        </is>
      </c>
      <c r="Z1253" s="11" t="n">
        <v>0</v>
      </c>
      <c r="AA1253" s="11" t="inlineStr">
        <is>
          <t>无</t>
        </is>
      </c>
      <c r="AB1253" s="12">
        <f>AE1252</f>
        <v/>
      </c>
      <c r="AC1253" s="12" t="n">
        <v>0</v>
      </c>
      <c r="AD1253" s="12" t="n">
        <v>0</v>
      </c>
      <c r="AE1253" s="12">
        <f>AB1253+AC1253+AD1253</f>
        <v/>
      </c>
      <c r="AF1253" s="13">
        <f>AI1252</f>
        <v/>
      </c>
      <c r="AG1253" s="13" t="n">
        <v>0</v>
      </c>
      <c r="AH1253" s="13" t="n">
        <v>0</v>
      </c>
      <c r="AI1253" s="13">
        <f>AF1253+AG1253+AH1253</f>
        <v/>
      </c>
      <c r="AJ1253" s="14" t="n">
        <v>0</v>
      </c>
      <c r="AK1253" s="14" t="n">
        <v>0</v>
      </c>
      <c r="AL1253" s="14" t="n">
        <v>0</v>
      </c>
      <c r="AM1253" s="14">
        <f>AJ1253+AK1253+AL1253</f>
        <v/>
      </c>
      <c r="AN1253" s="14">
        <f>AN1252+AM1253</f>
        <v/>
      </c>
    </row>
    <row r="1254">
      <c r="A1254" s="8" t="n">
        <v>49</v>
      </c>
      <c r="B1254" s="8" t="n">
        <v>3</v>
      </c>
      <c r="C1254" s="8" t="n">
        <v>1</v>
      </c>
      <c r="D1254" s="8" t="inlineStr">
        <is>
          <t>版本免费+义相逢 + 月卡收益 [月卡续费-30元]</t>
        </is>
      </c>
      <c r="E1254" s="9">
        <f>K1253</f>
        <v/>
      </c>
      <c r="F1254" s="9" t="n">
        <v>1540</v>
      </c>
      <c r="G1254" s="9" t="n">
        <v>4800</v>
      </c>
      <c r="H1254" s="9" t="n">
        <v>0</v>
      </c>
      <c r="I1254" s="9" t="n">
        <v>0</v>
      </c>
      <c r="J1254" s="9" t="n">
        <v>0</v>
      </c>
      <c r="K1254" s="9">
        <f>E1254+F1254+G1254+H1254+I1254-J1254</f>
        <v/>
      </c>
      <c r="L1254" s="10">
        <f>Q1253</f>
        <v/>
      </c>
      <c r="M1254" s="10" t="n">
        <v>85</v>
      </c>
      <c r="N1254" s="10" t="n">
        <v>6</v>
      </c>
      <c r="O1254" s="10">
        <f>J1254/160</f>
        <v/>
      </c>
      <c r="P1254" s="10" t="n">
        <v>60</v>
      </c>
      <c r="Q1254" s="10">
        <f>L1254+M1254+N1254+O1254-P1254</f>
        <v/>
      </c>
      <c r="R1254" s="11">
        <f>T1253</f>
        <v/>
      </c>
      <c r="S1254" s="11">
        <f>N(V1254) + N(X1254) + N(Z1254)</f>
        <v/>
      </c>
      <c r="T1254" s="11">
        <f>R1254+P1254-S1254</f>
        <v/>
      </c>
      <c r="U1254" s="11" t="inlineStr">
        <is>
          <t>是</t>
        </is>
      </c>
      <c r="V1254" s="11" t="n">
        <v>54</v>
      </c>
      <c r="W1254" s="11" t="inlineStr">
        <is>
          <t>否</t>
        </is>
      </c>
      <c r="X1254" s="11" t="inlineStr">
        <is>
          <t>-</t>
        </is>
      </c>
      <c r="Y1254" s="11" t="inlineStr">
        <is>
          <t>-</t>
        </is>
      </c>
      <c r="Z1254" s="11" t="n">
        <v>0</v>
      </c>
      <c r="AA1254" s="11" t="inlineStr">
        <is>
          <t>垫到60抽</t>
        </is>
      </c>
      <c r="AB1254" s="12">
        <f>AE1253</f>
        <v/>
      </c>
      <c r="AC1254" s="12" t="n">
        <v>4</v>
      </c>
      <c r="AD1254" s="12" t="n">
        <v>0</v>
      </c>
      <c r="AE1254" s="12">
        <f>AB1254+AC1254+AD1254</f>
        <v/>
      </c>
      <c r="AF1254" s="13">
        <f>AI1253</f>
        <v/>
      </c>
      <c r="AG1254" s="13" t="n">
        <v>0</v>
      </c>
      <c r="AH1254" s="13" t="n">
        <v>0</v>
      </c>
      <c r="AI1254" s="13">
        <f>AF1254+AG1254+AH1254</f>
        <v/>
      </c>
      <c r="AJ1254" s="14" t="n">
        <v>30</v>
      </c>
      <c r="AK1254" s="14" t="n">
        <v>50</v>
      </c>
      <c r="AL1254" s="14" t="n">
        <v>0</v>
      </c>
      <c r="AM1254" s="14">
        <f>AJ1254+AK1254+AL1254</f>
        <v/>
      </c>
      <c r="AN1254" s="14">
        <f>AN1253+AM1254</f>
        <v/>
      </c>
    </row>
    <row r="1255">
      <c r="A1255" s="8" t="n">
        <v>49</v>
      </c>
      <c r="B1255" s="8" t="n">
        <v>3</v>
      </c>
      <c r="C1255" s="8" t="n">
        <v>2</v>
      </c>
      <c r="D1255" s="8" t="inlineStr">
        <is>
          <t>月卡收益</t>
        </is>
      </c>
      <c r="E1255" s="9">
        <f>K1254</f>
        <v/>
      </c>
      <c r="F1255" s="9" t="n">
        <v>1540</v>
      </c>
      <c r="G1255" s="9" t="n">
        <v>0</v>
      </c>
      <c r="H1255" s="9" t="n">
        <v>0</v>
      </c>
      <c r="I1255" s="9" t="n">
        <v>0</v>
      </c>
      <c r="J1255" s="9" t="n">
        <v>8480</v>
      </c>
      <c r="K1255" s="9">
        <f>E1255+F1255+G1255+H1255+I1255-J1255</f>
        <v/>
      </c>
      <c r="L1255" s="10">
        <f>Q1254</f>
        <v/>
      </c>
      <c r="M1255" s="10" t="n">
        <v>0</v>
      </c>
      <c r="N1255" s="10" t="n">
        <v>11</v>
      </c>
      <c r="O1255" s="10">
        <f>J1255/160</f>
        <v/>
      </c>
      <c r="P1255" s="10" t="n">
        <v>90</v>
      </c>
      <c r="Q1255" s="10">
        <f>L1255+M1255+N1255+O1255-P1255</f>
        <v/>
      </c>
      <c r="R1255" s="11">
        <f>T1254</f>
        <v/>
      </c>
      <c r="S1255" s="11">
        <f>N(V1255) + N(X1255) + N(Z1255)</f>
        <v/>
      </c>
      <c r="T1255" s="11">
        <f>R1255+P1255-S1255</f>
        <v/>
      </c>
      <c r="U1255" s="11" t="inlineStr">
        <is>
          <t>是</t>
        </is>
      </c>
      <c r="V1255" s="11" t="n">
        <v>49</v>
      </c>
      <c r="W1255" s="11" t="inlineStr">
        <is>
          <t>是</t>
        </is>
      </c>
      <c r="X1255" s="11" t="n">
        <v>47</v>
      </c>
      <c r="Y1255" s="11" t="inlineStr">
        <is>
          <t>-</t>
        </is>
      </c>
      <c r="Z1255" s="11" t="n">
        <v>0</v>
      </c>
      <c r="AA1255" s="11" t="inlineStr">
        <is>
          <t>无</t>
        </is>
      </c>
      <c r="AB1255" s="12">
        <f>AE1254</f>
        <v/>
      </c>
      <c r="AC1255" s="12" t="n">
        <v>0</v>
      </c>
      <c r="AD1255" s="12" t="n">
        <v>0</v>
      </c>
      <c r="AE1255" s="12">
        <f>AB1255+AC1255+AD1255</f>
        <v/>
      </c>
      <c r="AF1255" s="13">
        <f>AI1254</f>
        <v/>
      </c>
      <c r="AG1255" s="13" t="n">
        <v>0</v>
      </c>
      <c r="AH1255" s="13" t="n">
        <v>0</v>
      </c>
      <c r="AI1255" s="13">
        <f>AF1255+AG1255+AH1255</f>
        <v/>
      </c>
      <c r="AJ1255" s="14" t="n">
        <v>0</v>
      </c>
      <c r="AK1255" s="14" t="n">
        <v>0</v>
      </c>
      <c r="AL1255" s="14" t="n">
        <v>0</v>
      </c>
      <c r="AM1255" s="14">
        <f>AJ1255+AK1255+AL1255</f>
        <v/>
      </c>
      <c r="AN1255" s="14">
        <f>AN1254+AM1255</f>
        <v/>
      </c>
    </row>
    <row r="1256">
      <c r="A1256" s="8" t="n">
        <v>49</v>
      </c>
      <c r="B1256" s="8" t="n">
        <v>4</v>
      </c>
      <c r="C1256" s="8" t="n">
        <v>1</v>
      </c>
      <c r="D1256" s="8" t="inlineStr">
        <is>
          <t>版本免费+义相逢 + 月卡收益 [月卡续费-30元]</t>
        </is>
      </c>
      <c r="E1256" s="9">
        <f>K1255</f>
        <v/>
      </c>
      <c r="F1256" s="9" t="n">
        <v>1540</v>
      </c>
      <c r="G1256" s="9" t="n">
        <v>4800</v>
      </c>
      <c r="H1256" s="9" t="n">
        <v>0</v>
      </c>
      <c r="I1256" s="9" t="n">
        <v>0</v>
      </c>
      <c r="J1256" s="9" t="n">
        <v>0</v>
      </c>
      <c r="K1256" s="9">
        <f>E1256+F1256+G1256+H1256+I1256-J1256</f>
        <v/>
      </c>
      <c r="L1256" s="10">
        <f>Q1255</f>
        <v/>
      </c>
      <c r="M1256" s="10" t="n">
        <v>85</v>
      </c>
      <c r="N1256" s="10" t="n">
        <v>3</v>
      </c>
      <c r="O1256" s="10">
        <f>J1256/160</f>
        <v/>
      </c>
      <c r="P1256" s="10" t="n">
        <v>40</v>
      </c>
      <c r="Q1256" s="10">
        <f>L1256+M1256+N1256+O1256-P1256</f>
        <v/>
      </c>
      <c r="R1256" s="11">
        <f>T1255</f>
        <v/>
      </c>
      <c r="S1256" s="11">
        <f>N(V1256) + N(X1256) + N(Z1256)</f>
        <v/>
      </c>
      <c r="T1256" s="11">
        <f>R1256+P1256-S1256</f>
        <v/>
      </c>
      <c r="U1256" s="11" t="inlineStr">
        <is>
          <t>是</t>
        </is>
      </c>
      <c r="V1256" s="11" t="n">
        <v>46</v>
      </c>
      <c r="W1256" s="11" t="inlineStr">
        <is>
          <t>否</t>
        </is>
      </c>
      <c r="X1256" s="11" t="inlineStr">
        <is>
          <t>-</t>
        </is>
      </c>
      <c r="Y1256" s="11" t="inlineStr">
        <is>
          <t>-</t>
        </is>
      </c>
      <c r="Z1256" s="11" t="n">
        <v>0</v>
      </c>
      <c r="AA1256" s="11" t="inlineStr">
        <is>
          <t>无</t>
        </is>
      </c>
      <c r="AB1256" s="12">
        <f>AE1255</f>
        <v/>
      </c>
      <c r="AC1256" s="12" t="n">
        <v>4</v>
      </c>
      <c r="AD1256" s="12" t="n">
        <v>0</v>
      </c>
      <c r="AE1256" s="12">
        <f>AB1256+AC1256+AD1256</f>
        <v/>
      </c>
      <c r="AF1256" s="13">
        <f>AI1255</f>
        <v/>
      </c>
      <c r="AG1256" s="13" t="n">
        <v>0</v>
      </c>
      <c r="AH1256" s="13" t="n">
        <v>0</v>
      </c>
      <c r="AI1256" s="13">
        <f>AF1256+AG1256+AH1256</f>
        <v/>
      </c>
      <c r="AJ1256" s="14" t="n">
        <v>30</v>
      </c>
      <c r="AK1256" s="14" t="n">
        <v>50</v>
      </c>
      <c r="AL1256" s="14" t="n">
        <v>0</v>
      </c>
      <c r="AM1256" s="14">
        <f>AJ1256+AK1256+AL1256</f>
        <v/>
      </c>
      <c r="AN1256" s="14">
        <f>AN1255+AM1256</f>
        <v/>
      </c>
    </row>
    <row r="1257">
      <c r="A1257" s="8" t="n">
        <v>49</v>
      </c>
      <c r="B1257" s="8" t="n">
        <v>4</v>
      </c>
      <c r="C1257" s="8" t="n">
        <v>2</v>
      </c>
      <c r="D1257" s="8" t="inlineStr">
        <is>
          <t>月卡收益</t>
        </is>
      </c>
      <c r="E1257" s="9">
        <f>K1256</f>
        <v/>
      </c>
      <c r="F1257" s="9" t="n">
        <v>1540</v>
      </c>
      <c r="G1257" s="9" t="n">
        <v>0</v>
      </c>
      <c r="H1257" s="9" t="n">
        <v>0</v>
      </c>
      <c r="I1257" s="9" t="n">
        <v>0</v>
      </c>
      <c r="J1257" s="9" t="n">
        <v>640</v>
      </c>
      <c r="K1257" s="9">
        <f>E1257+F1257+G1257+H1257+I1257-J1257</f>
        <v/>
      </c>
      <c r="L1257" s="10">
        <f>Q1256</f>
        <v/>
      </c>
      <c r="M1257" s="10" t="n">
        <v>0</v>
      </c>
      <c r="N1257" s="10" t="n">
        <v>6</v>
      </c>
      <c r="O1257" s="10">
        <f>J1257/160</f>
        <v/>
      </c>
      <c r="P1257" s="10" t="n">
        <v>60</v>
      </c>
      <c r="Q1257" s="10">
        <f>L1257+M1257+N1257+O1257-P1257</f>
        <v/>
      </c>
      <c r="R1257" s="11">
        <f>T1256</f>
        <v/>
      </c>
      <c r="S1257" s="11">
        <f>N(V1257) + N(X1257) + N(Z1257)</f>
        <v/>
      </c>
      <c r="T1257" s="11">
        <f>R1257+P1257-S1257</f>
        <v/>
      </c>
      <c r="U1257" s="11" t="inlineStr">
        <is>
          <t>是</t>
        </is>
      </c>
      <c r="V1257" s="11" t="n">
        <v>46</v>
      </c>
      <c r="W1257" s="11" t="inlineStr">
        <is>
          <t>否</t>
        </is>
      </c>
      <c r="X1257" s="11" t="inlineStr">
        <is>
          <t>-</t>
        </is>
      </c>
      <c r="Y1257" s="11" t="inlineStr">
        <is>
          <t>-</t>
        </is>
      </c>
      <c r="Z1257" s="11" t="n">
        <v>0</v>
      </c>
      <c r="AA1257" s="11" t="inlineStr">
        <is>
          <t>垫到60抽</t>
        </is>
      </c>
      <c r="AB1257" s="12">
        <f>AE1256</f>
        <v/>
      </c>
      <c r="AC1257" s="12" t="n">
        <v>0</v>
      </c>
      <c r="AD1257" s="12" t="n">
        <v>0</v>
      </c>
      <c r="AE1257" s="12">
        <f>AB1257+AC1257+AD1257</f>
        <v/>
      </c>
      <c r="AF1257" s="13">
        <f>AI1256</f>
        <v/>
      </c>
      <c r="AG1257" s="13" t="n">
        <v>0</v>
      </c>
      <c r="AH1257" s="13" t="n">
        <v>0</v>
      </c>
      <c r="AI1257" s="13">
        <f>AF1257+AG1257+AH1257</f>
        <v/>
      </c>
      <c r="AJ1257" s="14" t="n">
        <v>0</v>
      </c>
      <c r="AK1257" s="14" t="n">
        <v>0</v>
      </c>
      <c r="AL1257" s="14" t="n">
        <v>0</v>
      </c>
      <c r="AM1257" s="14">
        <f>AJ1257+AK1257+AL1257</f>
        <v/>
      </c>
      <c r="AN1257" s="14">
        <f>AN1256+AM1257</f>
        <v/>
      </c>
    </row>
    <row r="1258">
      <c r="A1258" s="8" t="n">
        <v>49</v>
      </c>
      <c r="B1258" s="8" t="n">
        <v>5</v>
      </c>
      <c r="C1258" s="8" t="n">
        <v>1</v>
      </c>
      <c r="D1258" s="8" t="inlineStr">
        <is>
          <t>版本免费+义相逢 + 月卡收益 [月卡续费-30元]</t>
        </is>
      </c>
      <c r="E1258" s="9">
        <f>K1257</f>
        <v/>
      </c>
      <c r="F1258" s="9" t="n">
        <v>1540</v>
      </c>
      <c r="G1258" s="9" t="n">
        <v>4800</v>
      </c>
      <c r="H1258" s="9" t="n">
        <v>0</v>
      </c>
      <c r="I1258" s="9" t="n">
        <v>0</v>
      </c>
      <c r="J1258" s="9" t="n">
        <v>0</v>
      </c>
      <c r="K1258" s="9">
        <f>E1258+F1258+G1258+H1258+I1258-J1258</f>
        <v/>
      </c>
      <c r="L1258" s="10">
        <f>Q1257</f>
        <v/>
      </c>
      <c r="M1258" s="10" t="n">
        <v>85</v>
      </c>
      <c r="N1258" s="10" t="n">
        <v>3</v>
      </c>
      <c r="O1258" s="10">
        <f>J1258/160</f>
        <v/>
      </c>
      <c r="P1258" s="10" t="n">
        <v>40</v>
      </c>
      <c r="Q1258" s="10">
        <f>L1258+M1258+N1258+O1258-P1258</f>
        <v/>
      </c>
      <c r="R1258" s="11">
        <f>T1257</f>
        <v/>
      </c>
      <c r="S1258" s="11">
        <f>N(V1258) + N(X1258) + N(Z1258)</f>
        <v/>
      </c>
      <c r="T1258" s="11">
        <f>R1258+P1258-S1258</f>
        <v/>
      </c>
      <c r="U1258" s="11" t="inlineStr">
        <is>
          <t>是</t>
        </is>
      </c>
      <c r="V1258" s="11" t="n">
        <v>50</v>
      </c>
      <c r="W1258" s="11" t="inlineStr">
        <is>
          <t>否</t>
        </is>
      </c>
      <c r="X1258" s="11" t="inlineStr">
        <is>
          <t>-</t>
        </is>
      </c>
      <c r="Y1258" s="11" t="inlineStr">
        <is>
          <t>-</t>
        </is>
      </c>
      <c r="Z1258" s="11" t="n">
        <v>0</v>
      </c>
      <c r="AA1258" s="11" t="inlineStr">
        <is>
          <t>无</t>
        </is>
      </c>
      <c r="AB1258" s="12">
        <f>AE1257</f>
        <v/>
      </c>
      <c r="AC1258" s="12" t="n">
        <v>4</v>
      </c>
      <c r="AD1258" s="12" t="n">
        <v>0</v>
      </c>
      <c r="AE1258" s="12">
        <f>AB1258+AC1258+AD1258</f>
        <v/>
      </c>
      <c r="AF1258" s="13">
        <f>AI1257</f>
        <v/>
      </c>
      <c r="AG1258" s="13" t="n">
        <v>0</v>
      </c>
      <c r="AH1258" s="13" t="n">
        <v>0</v>
      </c>
      <c r="AI1258" s="13">
        <f>AF1258+AG1258+AH1258</f>
        <v/>
      </c>
      <c r="AJ1258" s="14" t="n">
        <v>30</v>
      </c>
      <c r="AK1258" s="14" t="n">
        <v>50</v>
      </c>
      <c r="AL1258" s="14" t="n">
        <v>0</v>
      </c>
      <c r="AM1258" s="14">
        <f>AJ1258+AK1258+AL1258</f>
        <v/>
      </c>
      <c r="AN1258" s="14">
        <f>AN1257+AM1258</f>
        <v/>
      </c>
    </row>
    <row r="1259">
      <c r="A1259" s="8" t="n">
        <v>49</v>
      </c>
      <c r="B1259" s="8" t="n">
        <v>5</v>
      </c>
      <c r="C1259" s="8" t="n">
        <v>2</v>
      </c>
      <c r="D1259" s="8" t="inlineStr">
        <is>
          <t>月卡收益</t>
        </is>
      </c>
      <c r="E1259" s="9">
        <f>K1258</f>
        <v/>
      </c>
      <c r="F1259" s="9" t="n">
        <v>1540</v>
      </c>
      <c r="G1259" s="9" t="n">
        <v>0</v>
      </c>
      <c r="H1259" s="9" t="n">
        <v>0</v>
      </c>
      <c r="I1259" s="9" t="n">
        <v>0</v>
      </c>
      <c r="J1259" s="9" t="n">
        <v>960</v>
      </c>
      <c r="K1259" s="9">
        <f>E1259+F1259+G1259+H1259+I1259-J1259</f>
        <v/>
      </c>
      <c r="L1259" s="10">
        <f>Q1258</f>
        <v/>
      </c>
      <c r="M1259" s="10" t="n">
        <v>0</v>
      </c>
      <c r="N1259" s="10" t="n">
        <v>6</v>
      </c>
      <c r="O1259" s="10">
        <f>J1259/160</f>
        <v/>
      </c>
      <c r="P1259" s="10" t="n">
        <v>60</v>
      </c>
      <c r="Q1259" s="10">
        <f>L1259+M1259+N1259+O1259-P1259</f>
        <v/>
      </c>
      <c r="R1259" s="11">
        <f>T1258</f>
        <v/>
      </c>
      <c r="S1259" s="11">
        <f>N(V1259) + N(X1259) + N(Z1259)</f>
        <v/>
      </c>
      <c r="T1259" s="11">
        <f>R1259+P1259-S1259</f>
        <v/>
      </c>
      <c r="U1259" s="11" t="inlineStr">
        <is>
          <t>是</t>
        </is>
      </c>
      <c r="V1259" s="11" t="n">
        <v>51</v>
      </c>
      <c r="W1259" s="11" t="inlineStr">
        <is>
          <t>否</t>
        </is>
      </c>
      <c r="X1259" s="11" t="inlineStr">
        <is>
          <t>-</t>
        </is>
      </c>
      <c r="Y1259" s="11" t="inlineStr">
        <is>
          <t>-</t>
        </is>
      </c>
      <c r="Z1259" s="11" t="n">
        <v>0</v>
      </c>
      <c r="AA1259" s="11" t="inlineStr">
        <is>
          <t>垫到60抽</t>
        </is>
      </c>
      <c r="AB1259" s="12">
        <f>AE1258</f>
        <v/>
      </c>
      <c r="AC1259" s="12" t="n">
        <v>0</v>
      </c>
      <c r="AD1259" s="12" t="n">
        <v>0</v>
      </c>
      <c r="AE1259" s="12">
        <f>AB1259+AC1259+AD1259</f>
        <v/>
      </c>
      <c r="AF1259" s="13">
        <f>AI1258</f>
        <v/>
      </c>
      <c r="AG1259" s="13" t="n">
        <v>0</v>
      </c>
      <c r="AH1259" s="13" t="n">
        <v>0</v>
      </c>
      <c r="AI1259" s="13">
        <f>AF1259+AG1259+AH1259</f>
        <v/>
      </c>
      <c r="AJ1259" s="14" t="n">
        <v>0</v>
      </c>
      <c r="AK1259" s="14" t="n">
        <v>0</v>
      </c>
      <c r="AL1259" s="14" t="n">
        <v>0</v>
      </c>
      <c r="AM1259" s="14">
        <f>AJ1259+AK1259+AL1259</f>
        <v/>
      </c>
      <c r="AN1259" s="14">
        <f>AN1258+AM1259</f>
        <v/>
      </c>
    </row>
    <row r="1260">
      <c r="A1260" s="8" t="n">
        <v>49</v>
      </c>
      <c r="B1260" s="8" t="n">
        <v>6</v>
      </c>
      <c r="C1260" s="8" t="n">
        <v>1</v>
      </c>
      <c r="D1260" s="8" t="inlineStr">
        <is>
          <t>版本免费+义相逢 + 月卡收益 [月卡续费-30元]</t>
        </is>
      </c>
      <c r="E1260" s="9">
        <f>K1259</f>
        <v/>
      </c>
      <c r="F1260" s="9" t="n">
        <v>1540</v>
      </c>
      <c r="G1260" s="9" t="n">
        <v>4800</v>
      </c>
      <c r="H1260" s="9" t="n">
        <v>0</v>
      </c>
      <c r="I1260" s="9" t="n">
        <v>0</v>
      </c>
      <c r="J1260" s="9" t="n">
        <v>0</v>
      </c>
      <c r="K1260" s="9">
        <f>E1260+F1260+G1260+H1260+I1260-J1260</f>
        <v/>
      </c>
      <c r="L1260" s="10">
        <f>Q1259</f>
        <v/>
      </c>
      <c r="M1260" s="10" t="n">
        <v>85</v>
      </c>
      <c r="N1260" s="10" t="n">
        <v>6</v>
      </c>
      <c r="O1260" s="10">
        <f>J1260/160</f>
        <v/>
      </c>
      <c r="P1260" s="10" t="n">
        <v>70</v>
      </c>
      <c r="Q1260" s="10">
        <f>L1260+M1260+N1260+O1260-P1260</f>
        <v/>
      </c>
      <c r="R1260" s="11">
        <f>T1259</f>
        <v/>
      </c>
      <c r="S1260" s="11">
        <f>N(V1260) + N(X1260) + N(Z1260)</f>
        <v/>
      </c>
      <c r="T1260" s="11">
        <f>R1260+P1260-S1260</f>
        <v/>
      </c>
      <c r="U1260" s="11" t="inlineStr">
        <is>
          <t>是</t>
        </is>
      </c>
      <c r="V1260" s="11" t="n">
        <v>49</v>
      </c>
      <c r="W1260" s="11" t="inlineStr">
        <is>
          <t>是</t>
        </is>
      </c>
      <c r="X1260" s="11" t="n">
        <v>27</v>
      </c>
      <c r="Y1260" s="11" t="inlineStr">
        <is>
          <t>-</t>
        </is>
      </c>
      <c r="Z1260" s="11" t="n">
        <v>0</v>
      </c>
      <c r="AA1260" s="11" t="inlineStr">
        <is>
          <t>无</t>
        </is>
      </c>
      <c r="AB1260" s="12">
        <f>AE1259</f>
        <v/>
      </c>
      <c r="AC1260" s="12" t="n">
        <v>4</v>
      </c>
      <c r="AD1260" s="12" t="n">
        <v>0</v>
      </c>
      <c r="AE1260" s="12">
        <f>AB1260+AC1260+AD1260</f>
        <v/>
      </c>
      <c r="AF1260" s="13">
        <f>AI1259</f>
        <v/>
      </c>
      <c r="AG1260" s="13" t="n">
        <v>0</v>
      </c>
      <c r="AH1260" s="13" t="n">
        <v>0</v>
      </c>
      <c r="AI1260" s="13">
        <f>AF1260+AG1260+AH1260</f>
        <v/>
      </c>
      <c r="AJ1260" s="14" t="n">
        <v>30</v>
      </c>
      <c r="AK1260" s="14" t="n">
        <v>50</v>
      </c>
      <c r="AL1260" s="14" t="n">
        <v>0</v>
      </c>
      <c r="AM1260" s="14">
        <f>AJ1260+AK1260+AL1260</f>
        <v/>
      </c>
      <c r="AN1260" s="14">
        <f>AN1259+AM1260</f>
        <v/>
      </c>
    </row>
    <row r="1261">
      <c r="A1261" s="8" t="n">
        <v>49</v>
      </c>
      <c r="B1261" s="8" t="n">
        <v>6</v>
      </c>
      <c r="C1261" s="8" t="n">
        <v>2</v>
      </c>
      <c r="D1261" s="8" t="inlineStr">
        <is>
          <t>月卡收益</t>
        </is>
      </c>
      <c r="E1261" s="9">
        <f>K1260</f>
        <v/>
      </c>
      <c r="F1261" s="9" t="n">
        <v>1540</v>
      </c>
      <c r="G1261" s="9" t="n">
        <v>0</v>
      </c>
      <c r="H1261" s="9" t="n">
        <v>0</v>
      </c>
      <c r="I1261" s="9" t="n">
        <v>0</v>
      </c>
      <c r="J1261" s="9" t="n">
        <v>9600</v>
      </c>
      <c r="K1261" s="9">
        <f>E1261+F1261+G1261+H1261+I1261-J1261</f>
        <v/>
      </c>
      <c r="L1261" s="10">
        <f>Q1260</f>
        <v/>
      </c>
      <c r="M1261" s="10" t="n">
        <v>0</v>
      </c>
      <c r="N1261" s="10" t="n">
        <v>11</v>
      </c>
      <c r="O1261" s="10">
        <f>J1261/160</f>
        <v/>
      </c>
      <c r="P1261" s="10" t="n">
        <v>90</v>
      </c>
      <c r="Q1261" s="10">
        <f>L1261+M1261+N1261+O1261-P1261</f>
        <v/>
      </c>
      <c r="R1261" s="11">
        <f>T1260</f>
        <v/>
      </c>
      <c r="S1261" s="11">
        <f>N(V1261) + N(X1261) + N(Z1261)</f>
        <v/>
      </c>
      <c r="T1261" s="11">
        <f>R1261+P1261-S1261</f>
        <v/>
      </c>
      <c r="U1261" s="11" t="inlineStr">
        <is>
          <t>是</t>
        </is>
      </c>
      <c r="V1261" s="11" t="n">
        <v>47</v>
      </c>
      <c r="W1261" s="11" t="inlineStr">
        <is>
          <t>是</t>
        </is>
      </c>
      <c r="X1261" s="11" t="n">
        <v>52</v>
      </c>
      <c r="Y1261" s="11" t="inlineStr">
        <is>
          <t>-</t>
        </is>
      </c>
      <c r="Z1261" s="11" t="n">
        <v>0</v>
      </c>
      <c r="AA1261" s="11" t="inlineStr">
        <is>
          <t>无</t>
        </is>
      </c>
      <c r="AB1261" s="12">
        <f>AE1260</f>
        <v/>
      </c>
      <c r="AC1261" s="12" t="n">
        <v>0</v>
      </c>
      <c r="AD1261" s="12" t="n">
        <v>0</v>
      </c>
      <c r="AE1261" s="12">
        <f>AB1261+AC1261+AD1261</f>
        <v/>
      </c>
      <c r="AF1261" s="13">
        <f>AI1260</f>
        <v/>
      </c>
      <c r="AG1261" s="13" t="n">
        <v>0</v>
      </c>
      <c r="AH1261" s="13" t="n">
        <v>0</v>
      </c>
      <c r="AI1261" s="13">
        <f>AF1261+AG1261+AH1261</f>
        <v/>
      </c>
      <c r="AJ1261" s="14" t="n">
        <v>0</v>
      </c>
      <c r="AK1261" s="14" t="n">
        <v>0</v>
      </c>
      <c r="AL1261" s="14" t="n">
        <v>0</v>
      </c>
      <c r="AM1261" s="14">
        <f>AJ1261+AK1261+AL1261</f>
        <v/>
      </c>
      <c r="AN1261" s="14">
        <f>AN1260+AM1261</f>
        <v/>
      </c>
    </row>
    <row r="1262">
      <c r="A1262" s="8" t="n">
        <v>49</v>
      </c>
      <c r="B1262" s="8" t="n">
        <v>7</v>
      </c>
      <c r="C1262" s="8" t="n">
        <v>1</v>
      </c>
      <c r="D1262" s="8" t="inlineStr">
        <is>
          <t>版本免费+义相逢 + 月卡收益</t>
        </is>
      </c>
      <c r="E1262" s="9">
        <f>K1261</f>
        <v/>
      </c>
      <c r="F1262" s="9" t="n">
        <v>1540</v>
      </c>
      <c r="G1262" s="9" t="n">
        <v>4800</v>
      </c>
      <c r="H1262" s="9" t="n">
        <v>0</v>
      </c>
      <c r="I1262" s="9" t="n">
        <v>0</v>
      </c>
      <c r="J1262" s="9" t="n">
        <v>14240</v>
      </c>
      <c r="K1262" s="9">
        <f>E1262+F1262+G1262+H1262+I1262-J1262</f>
        <v/>
      </c>
      <c r="L1262" s="10">
        <f>Q1261</f>
        <v/>
      </c>
      <c r="M1262" s="10" t="n">
        <v>85</v>
      </c>
      <c r="N1262" s="10" t="n">
        <v>21</v>
      </c>
      <c r="O1262" s="10">
        <f>J1262/160</f>
        <v/>
      </c>
      <c r="P1262" s="10" t="n">
        <v>200</v>
      </c>
      <c r="Q1262" s="10">
        <f>L1262+M1262+N1262+O1262-P1262</f>
        <v/>
      </c>
      <c r="R1262" s="11">
        <f>T1261</f>
        <v/>
      </c>
      <c r="S1262" s="11">
        <f>N(V1262) + N(X1262) + N(Z1262)</f>
        <v/>
      </c>
      <c r="T1262" s="11">
        <f>R1262+P1262-S1262</f>
        <v/>
      </c>
      <c r="U1262" s="11" t="inlineStr">
        <is>
          <t>是</t>
        </is>
      </c>
      <c r="V1262" s="11" t="n">
        <v>46</v>
      </c>
      <c r="W1262" s="11" t="inlineStr">
        <is>
          <t>是</t>
        </is>
      </c>
      <c r="X1262" s="11" t="n">
        <v>39</v>
      </c>
      <c r="Y1262" s="11" t="inlineStr">
        <is>
          <t>歪(47), UP(49)</t>
        </is>
      </c>
      <c r="Z1262" s="11" t="n">
        <v>96</v>
      </c>
      <c r="AA1262" s="11" t="inlineStr">
        <is>
          <t>冲刺200(动态90)</t>
        </is>
      </c>
      <c r="AB1262" s="12">
        <f>AE1261</f>
        <v/>
      </c>
      <c r="AC1262" s="12" t="n">
        <v>4</v>
      </c>
      <c r="AD1262" s="12" t="n">
        <v>1</v>
      </c>
      <c r="AE1262" s="12">
        <f>AB1262+AC1262+AD1262</f>
        <v/>
      </c>
      <c r="AF1262" s="13">
        <f>AI1261</f>
        <v/>
      </c>
      <c r="AG1262" s="13" t="n">
        <v>0</v>
      </c>
      <c r="AH1262" s="13" t="n">
        <v>5000</v>
      </c>
      <c r="AI1262" s="13">
        <f>AF1262+AG1262+AH1262</f>
        <v/>
      </c>
      <c r="AJ1262" s="14" t="n">
        <v>0</v>
      </c>
      <c r="AK1262" s="14" t="n">
        <v>50</v>
      </c>
      <c r="AL1262" s="14" t="n">
        <v>0</v>
      </c>
      <c r="AM1262" s="14">
        <f>AJ1262+AK1262+AL1262</f>
        <v/>
      </c>
      <c r="AN1262" s="14">
        <f>AN1261+AM1262</f>
        <v/>
      </c>
    </row>
    <row r="1263">
      <c r="A1263" s="8" t="n">
        <v>49</v>
      </c>
      <c r="B1263" s="8" t="n">
        <v>7</v>
      </c>
      <c r="C1263" s="8" t="n">
        <v>2</v>
      </c>
      <c r="D1263" s="8" t="inlineStr">
        <is>
          <t>月卡收益 [月卡续费-30元]</t>
        </is>
      </c>
      <c r="E1263" s="9">
        <f>K1262</f>
        <v/>
      </c>
      <c r="F1263" s="9" t="n">
        <v>1540</v>
      </c>
      <c r="G1263" s="9" t="n">
        <v>0</v>
      </c>
      <c r="H1263" s="9" t="n">
        <v>0</v>
      </c>
      <c r="I1263" s="9" t="n">
        <v>0</v>
      </c>
      <c r="J1263" s="9" t="n">
        <v>13440</v>
      </c>
      <c r="K1263" s="9">
        <f>E1263+F1263+G1263+H1263+I1263-J1263</f>
        <v/>
      </c>
      <c r="L1263" s="10">
        <f>Q1262</f>
        <v/>
      </c>
      <c r="M1263" s="10" t="n">
        <v>0</v>
      </c>
      <c r="N1263" s="10" t="n">
        <v>11</v>
      </c>
      <c r="O1263" s="10">
        <f>J1263/160</f>
        <v/>
      </c>
      <c r="P1263" s="10" t="n">
        <v>90</v>
      </c>
      <c r="Q1263" s="10">
        <f>L1263+M1263+N1263+O1263-P1263</f>
        <v/>
      </c>
      <c r="R1263" s="11">
        <f>T1262</f>
        <v/>
      </c>
      <c r="S1263" s="11">
        <f>N(V1263) + N(X1263) + N(Z1263)</f>
        <v/>
      </c>
      <c r="T1263" s="11">
        <f>R1263+P1263-S1263</f>
        <v/>
      </c>
      <c r="U1263" s="11" t="inlineStr">
        <is>
          <t>是</t>
        </is>
      </c>
      <c r="V1263" s="11" t="n">
        <v>53</v>
      </c>
      <c r="W1263" s="11" t="inlineStr">
        <is>
          <t>是</t>
        </is>
      </c>
      <c r="X1263" s="11" t="n">
        <v>47</v>
      </c>
      <c r="Y1263" s="11" t="inlineStr">
        <is>
          <t>-</t>
        </is>
      </c>
      <c r="Z1263" s="11" t="n">
        <v>0</v>
      </c>
      <c r="AA1263" s="11" t="inlineStr">
        <is>
          <t>无</t>
        </is>
      </c>
      <c r="AB1263" s="12">
        <f>AE1262</f>
        <v/>
      </c>
      <c r="AC1263" s="12" t="n">
        <v>0</v>
      </c>
      <c r="AD1263" s="12" t="n">
        <v>0</v>
      </c>
      <c r="AE1263" s="12">
        <f>AB1263+AC1263+AD1263</f>
        <v/>
      </c>
      <c r="AF1263" s="13">
        <f>AI1262</f>
        <v/>
      </c>
      <c r="AG1263" s="13" t="n">
        <v>0</v>
      </c>
      <c r="AH1263" s="13" t="n">
        <v>0</v>
      </c>
      <c r="AI1263" s="13">
        <f>AF1263+AG1263+AH1263</f>
        <v/>
      </c>
      <c r="AJ1263" s="14" t="n">
        <v>30</v>
      </c>
      <c r="AK1263" s="14" t="n">
        <v>0</v>
      </c>
      <c r="AL1263" s="14" t="n">
        <v>0</v>
      </c>
      <c r="AM1263" s="14">
        <f>AJ1263+AK1263+AL1263</f>
        <v/>
      </c>
      <c r="AN1263" s="14">
        <f>AN1262+AM1263</f>
        <v/>
      </c>
    </row>
    <row r="1264">
      <c r="A1264" s="8" t="n">
        <v>49</v>
      </c>
      <c r="B1264" s="8" t="n">
        <v>8</v>
      </c>
      <c r="C1264" s="8" t="n">
        <v>1</v>
      </c>
      <c r="D1264" s="8" t="inlineStr">
        <is>
          <t>版本免费+义相逢 + 月卡收益</t>
        </is>
      </c>
      <c r="E1264" s="9">
        <f>K1263</f>
        <v/>
      </c>
      <c r="F1264" s="9" t="n">
        <v>1540</v>
      </c>
      <c r="G1264" s="9" t="n">
        <v>4800</v>
      </c>
      <c r="H1264" s="9" t="n">
        <v>0</v>
      </c>
      <c r="I1264" s="9" t="n">
        <v>0</v>
      </c>
      <c r="J1264" s="9" t="n">
        <v>0</v>
      </c>
      <c r="K1264" s="9">
        <f>E1264+F1264+G1264+H1264+I1264-J1264</f>
        <v/>
      </c>
      <c r="L1264" s="10">
        <f>Q1263</f>
        <v/>
      </c>
      <c r="M1264" s="10" t="n">
        <v>85</v>
      </c>
      <c r="N1264" s="10" t="n">
        <v>3</v>
      </c>
      <c r="O1264" s="10">
        <f>J1264/160</f>
        <v/>
      </c>
      <c r="P1264" s="10" t="n">
        <v>40</v>
      </c>
      <c r="Q1264" s="10">
        <f>L1264+M1264+N1264+O1264-P1264</f>
        <v/>
      </c>
      <c r="R1264" s="11">
        <f>T1263</f>
        <v/>
      </c>
      <c r="S1264" s="11">
        <f>N(V1264) + N(X1264) + N(Z1264)</f>
        <v/>
      </c>
      <c r="T1264" s="11">
        <f>R1264+P1264-S1264</f>
        <v/>
      </c>
      <c r="U1264" s="11" t="inlineStr">
        <is>
          <t>是</t>
        </is>
      </c>
      <c r="V1264" s="11" t="n">
        <v>49</v>
      </c>
      <c r="W1264" s="11" t="inlineStr">
        <is>
          <t>否</t>
        </is>
      </c>
      <c r="X1264" s="11" t="inlineStr">
        <is>
          <t>-</t>
        </is>
      </c>
      <c r="Y1264" s="11" t="inlineStr">
        <is>
          <t>-</t>
        </is>
      </c>
      <c r="Z1264" s="11" t="n">
        <v>0</v>
      </c>
      <c r="AA1264" s="11" t="inlineStr">
        <is>
          <t>无</t>
        </is>
      </c>
      <c r="AB1264" s="12">
        <f>AE1263</f>
        <v/>
      </c>
      <c r="AC1264" s="12" t="n">
        <v>4</v>
      </c>
      <c r="AD1264" s="12" t="n">
        <v>0</v>
      </c>
      <c r="AE1264" s="12">
        <f>AB1264+AC1264+AD1264</f>
        <v/>
      </c>
      <c r="AF1264" s="13">
        <f>AI1263</f>
        <v/>
      </c>
      <c r="AG1264" s="13" t="n">
        <v>0</v>
      </c>
      <c r="AH1264" s="13" t="n">
        <v>0</v>
      </c>
      <c r="AI1264" s="13">
        <f>AF1264+AG1264+AH1264</f>
        <v/>
      </c>
      <c r="AJ1264" s="14" t="n">
        <v>0</v>
      </c>
      <c r="AK1264" s="14" t="n">
        <v>50</v>
      </c>
      <c r="AL1264" s="14" t="n">
        <v>0</v>
      </c>
      <c r="AM1264" s="14">
        <f>AJ1264+AK1264+AL1264</f>
        <v/>
      </c>
      <c r="AN1264" s="14">
        <f>AN1263+AM1264</f>
        <v/>
      </c>
    </row>
    <row r="1265">
      <c r="A1265" s="8" t="n">
        <v>49</v>
      </c>
      <c r="B1265" s="8" t="n">
        <v>8</v>
      </c>
      <c r="C1265" s="8" t="n">
        <v>2</v>
      </c>
      <c r="D1265" s="8" t="inlineStr">
        <is>
          <t>月卡收益 [月卡续费-30元]</t>
        </is>
      </c>
      <c r="E1265" s="9">
        <f>K1264</f>
        <v/>
      </c>
      <c r="F1265" s="9" t="n">
        <v>1540</v>
      </c>
      <c r="G1265" s="9" t="n">
        <v>0</v>
      </c>
      <c r="H1265" s="9" t="n">
        <v>0</v>
      </c>
      <c r="I1265" s="9" t="n">
        <v>0</v>
      </c>
      <c r="J1265" s="9" t="n">
        <v>640</v>
      </c>
      <c r="K1265" s="9">
        <f>E1265+F1265+G1265+H1265+I1265-J1265</f>
        <v/>
      </c>
      <c r="L1265" s="10">
        <f>Q1264</f>
        <v/>
      </c>
      <c r="M1265" s="10" t="n">
        <v>0</v>
      </c>
      <c r="N1265" s="10" t="n">
        <v>6</v>
      </c>
      <c r="O1265" s="10">
        <f>J1265/160</f>
        <v/>
      </c>
      <c r="P1265" s="10" t="n">
        <v>60</v>
      </c>
      <c r="Q1265" s="10">
        <f>L1265+M1265+N1265+O1265-P1265</f>
        <v/>
      </c>
      <c r="R1265" s="11">
        <f>T1264</f>
        <v/>
      </c>
      <c r="S1265" s="11">
        <f>N(V1265) + N(X1265) + N(Z1265)</f>
        <v/>
      </c>
      <c r="T1265" s="11">
        <f>R1265+P1265-S1265</f>
        <v/>
      </c>
      <c r="U1265" s="11" t="inlineStr">
        <is>
          <t>是</t>
        </is>
      </c>
      <c r="V1265" s="11" t="n">
        <v>51</v>
      </c>
      <c r="W1265" s="11" t="inlineStr">
        <is>
          <t>否</t>
        </is>
      </c>
      <c r="X1265" s="11" t="inlineStr">
        <is>
          <t>-</t>
        </is>
      </c>
      <c r="Y1265" s="11" t="inlineStr">
        <is>
          <t>-</t>
        </is>
      </c>
      <c r="Z1265" s="11" t="n">
        <v>0</v>
      </c>
      <c r="AA1265" s="11" t="inlineStr">
        <is>
          <t>无</t>
        </is>
      </c>
      <c r="AB1265" s="12">
        <f>AE1264</f>
        <v/>
      </c>
      <c r="AC1265" s="12" t="n">
        <v>0</v>
      </c>
      <c r="AD1265" s="12" t="n">
        <v>0</v>
      </c>
      <c r="AE1265" s="12">
        <f>AB1265+AC1265+AD1265</f>
        <v/>
      </c>
      <c r="AF1265" s="13">
        <f>AI1264</f>
        <v/>
      </c>
      <c r="AG1265" s="13" t="n">
        <v>0</v>
      </c>
      <c r="AH1265" s="13" t="n">
        <v>0</v>
      </c>
      <c r="AI1265" s="13">
        <f>AF1265+AG1265+AH1265</f>
        <v/>
      </c>
      <c r="AJ1265" s="14" t="n">
        <v>30</v>
      </c>
      <c r="AK1265" s="14" t="n">
        <v>0</v>
      </c>
      <c r="AL1265" s="14" t="n">
        <v>0</v>
      </c>
      <c r="AM1265" s="14">
        <f>AJ1265+AK1265+AL1265</f>
        <v/>
      </c>
      <c r="AN1265" s="14">
        <f>AN1264+AM1265</f>
        <v/>
      </c>
    </row>
    <row r="1266">
      <c r="A1266" s="8" t="n">
        <v>49</v>
      </c>
      <c r="B1266" s="8" t="n">
        <v>9</v>
      </c>
      <c r="C1266" s="8" t="n">
        <v>1</v>
      </c>
      <c r="D1266" s="8" t="inlineStr">
        <is>
          <t>版本免费+义相逢 + 月卡收益</t>
        </is>
      </c>
      <c r="E1266" s="9">
        <f>K1265</f>
        <v/>
      </c>
      <c r="F1266" s="9" t="n">
        <v>1540</v>
      </c>
      <c r="G1266" s="9" t="n">
        <v>4800</v>
      </c>
      <c r="H1266" s="9" t="n">
        <v>0</v>
      </c>
      <c r="I1266" s="9" t="n">
        <v>0</v>
      </c>
      <c r="J1266" s="9" t="n">
        <v>0</v>
      </c>
      <c r="K1266" s="9">
        <f>E1266+F1266+G1266+H1266+I1266-J1266</f>
        <v/>
      </c>
      <c r="L1266" s="10">
        <f>Q1265</f>
        <v/>
      </c>
      <c r="M1266" s="10" t="n">
        <v>85</v>
      </c>
      <c r="N1266" s="10" t="n">
        <v>11</v>
      </c>
      <c r="O1266" s="10">
        <f>J1266/160</f>
        <v/>
      </c>
      <c r="P1266" s="10" t="n">
        <v>90</v>
      </c>
      <c r="Q1266" s="10">
        <f>L1266+M1266+N1266+O1266-P1266</f>
        <v/>
      </c>
      <c r="R1266" s="11">
        <f>T1265</f>
        <v/>
      </c>
      <c r="S1266" s="11">
        <f>N(V1266) + N(X1266) + N(Z1266)</f>
        <v/>
      </c>
      <c r="T1266" s="11">
        <f>R1266+P1266-S1266</f>
        <v/>
      </c>
      <c r="U1266" s="11" t="inlineStr">
        <is>
          <t>是</t>
        </is>
      </c>
      <c r="V1266" s="11" t="n">
        <v>52</v>
      </c>
      <c r="W1266" s="11" t="inlineStr">
        <is>
          <t>是</t>
        </is>
      </c>
      <c r="X1266" s="11" t="n">
        <v>42</v>
      </c>
      <c r="Y1266" s="11" t="inlineStr">
        <is>
          <t>-</t>
        </is>
      </c>
      <c r="Z1266" s="11" t="n">
        <v>0</v>
      </c>
      <c r="AA1266" s="11" t="inlineStr">
        <is>
          <t>无</t>
        </is>
      </c>
      <c r="AB1266" s="12">
        <f>AE1265</f>
        <v/>
      </c>
      <c r="AC1266" s="12" t="n">
        <v>4</v>
      </c>
      <c r="AD1266" s="12" t="n">
        <v>0</v>
      </c>
      <c r="AE1266" s="12">
        <f>AB1266+AC1266+AD1266</f>
        <v/>
      </c>
      <c r="AF1266" s="13">
        <f>AI1265</f>
        <v/>
      </c>
      <c r="AG1266" s="13" t="n">
        <v>0</v>
      </c>
      <c r="AH1266" s="13" t="n">
        <v>0</v>
      </c>
      <c r="AI1266" s="13">
        <f>AF1266+AG1266+AH1266</f>
        <v/>
      </c>
      <c r="AJ1266" s="14" t="n">
        <v>0</v>
      </c>
      <c r="AK1266" s="14" t="n">
        <v>50</v>
      </c>
      <c r="AL1266" s="14" t="n">
        <v>0</v>
      </c>
      <c r="AM1266" s="14">
        <f>AJ1266+AK1266+AL1266</f>
        <v/>
      </c>
      <c r="AN1266" s="14">
        <f>AN1265+AM1266</f>
        <v/>
      </c>
    </row>
    <row r="1267">
      <c r="A1267" s="8" t="n">
        <v>49</v>
      </c>
      <c r="B1267" s="8" t="n">
        <v>9</v>
      </c>
      <c r="C1267" s="8" t="n">
        <v>2</v>
      </c>
      <c r="D1267" s="8" t="inlineStr">
        <is>
          <t>月卡收益 [月卡续费-30元]</t>
        </is>
      </c>
      <c r="E1267" s="9">
        <f>K1266</f>
        <v/>
      </c>
      <c r="F1267" s="9" t="n">
        <v>1540</v>
      </c>
      <c r="G1267" s="9" t="n">
        <v>0</v>
      </c>
      <c r="H1267" s="9" t="n">
        <v>0</v>
      </c>
      <c r="I1267" s="9" t="n">
        <v>0</v>
      </c>
      <c r="J1267" s="9" t="n">
        <v>12800</v>
      </c>
      <c r="K1267" s="9">
        <f>E1267+F1267+G1267+H1267+I1267-J1267</f>
        <v/>
      </c>
      <c r="L1267" s="10">
        <f>Q1266</f>
        <v/>
      </c>
      <c r="M1267" s="10" t="n">
        <v>0</v>
      </c>
      <c r="N1267" s="10" t="n">
        <v>11</v>
      </c>
      <c r="O1267" s="10">
        <f>J1267/160</f>
        <v/>
      </c>
      <c r="P1267" s="10" t="n">
        <v>100</v>
      </c>
      <c r="Q1267" s="10">
        <f>L1267+M1267+N1267+O1267-P1267</f>
        <v/>
      </c>
      <c r="R1267" s="11">
        <f>T1266</f>
        <v/>
      </c>
      <c r="S1267" s="11">
        <f>N(V1267) + N(X1267) + N(Z1267)</f>
        <v/>
      </c>
      <c r="T1267" s="11">
        <f>R1267+P1267-S1267</f>
        <v/>
      </c>
      <c r="U1267" s="11" t="inlineStr">
        <is>
          <t>是</t>
        </is>
      </c>
      <c r="V1267" s="11" t="n">
        <v>47</v>
      </c>
      <c r="W1267" s="11" t="inlineStr">
        <is>
          <t>是</t>
        </is>
      </c>
      <c r="X1267" s="11" t="n">
        <v>50</v>
      </c>
      <c r="Y1267" s="11" t="inlineStr">
        <is>
          <t>-</t>
        </is>
      </c>
      <c r="Z1267" s="11" t="n">
        <v>0</v>
      </c>
      <c r="AA1267" s="11" t="inlineStr">
        <is>
          <t>无</t>
        </is>
      </c>
      <c r="AB1267" s="12">
        <f>AE1266</f>
        <v/>
      </c>
      <c r="AC1267" s="12" t="n">
        <v>0</v>
      </c>
      <c r="AD1267" s="12" t="n">
        <v>0</v>
      </c>
      <c r="AE1267" s="12">
        <f>AB1267+AC1267+AD1267</f>
        <v/>
      </c>
      <c r="AF1267" s="13">
        <f>AI1266</f>
        <v/>
      </c>
      <c r="AG1267" s="13" t="n">
        <v>0</v>
      </c>
      <c r="AH1267" s="13" t="n">
        <v>0</v>
      </c>
      <c r="AI1267" s="13">
        <f>AF1267+AG1267+AH1267</f>
        <v/>
      </c>
      <c r="AJ1267" s="14" t="n">
        <v>30</v>
      </c>
      <c r="AK1267" s="14" t="n">
        <v>0</v>
      </c>
      <c r="AL1267" s="14" t="n">
        <v>0</v>
      </c>
      <c r="AM1267" s="14">
        <f>AJ1267+AK1267+AL1267</f>
        <v/>
      </c>
      <c r="AN1267" s="14">
        <f>AN1266+AM1267</f>
        <v/>
      </c>
    </row>
    <row r="1268">
      <c r="A1268" s="8" t="n">
        <v>49</v>
      </c>
      <c r="B1268" s="8" t="n">
        <v>10</v>
      </c>
      <c r="C1268" s="8" t="n">
        <v>1</v>
      </c>
      <c r="D1268" s="8" t="inlineStr">
        <is>
          <t>版本免费+义相逢 + 月卡收益</t>
        </is>
      </c>
      <c r="E1268" s="9">
        <f>K1267</f>
        <v/>
      </c>
      <c r="F1268" s="9" t="n">
        <v>1540</v>
      </c>
      <c r="G1268" s="9" t="n">
        <v>4800</v>
      </c>
      <c r="H1268" s="9" t="n">
        <v>0</v>
      </c>
      <c r="I1268" s="9" t="n">
        <v>0</v>
      </c>
      <c r="J1268" s="9" t="n">
        <v>0</v>
      </c>
      <c r="K1268" s="9">
        <f>E1268+F1268+G1268+H1268+I1268-J1268</f>
        <v/>
      </c>
      <c r="L1268" s="10">
        <f>Q1267</f>
        <v/>
      </c>
      <c r="M1268" s="10" t="n">
        <v>85</v>
      </c>
      <c r="N1268" s="10" t="n">
        <v>6</v>
      </c>
      <c r="O1268" s="10">
        <f>J1268/160</f>
        <v/>
      </c>
      <c r="P1268" s="10" t="n">
        <v>60</v>
      </c>
      <c r="Q1268" s="10">
        <f>L1268+M1268+N1268+O1268-P1268</f>
        <v/>
      </c>
      <c r="R1268" s="11">
        <f>T1267</f>
        <v/>
      </c>
      <c r="S1268" s="11">
        <f>N(V1268) + N(X1268) + N(Z1268)</f>
        <v/>
      </c>
      <c r="T1268" s="11">
        <f>R1268+P1268-S1268</f>
        <v/>
      </c>
      <c r="U1268" s="11" t="inlineStr">
        <is>
          <t>是</t>
        </is>
      </c>
      <c r="V1268" s="11" t="n">
        <v>49</v>
      </c>
      <c r="W1268" s="11" t="inlineStr">
        <is>
          <t>否</t>
        </is>
      </c>
      <c r="X1268" s="11" t="inlineStr">
        <is>
          <t>-</t>
        </is>
      </c>
      <c r="Y1268" s="11" t="inlineStr">
        <is>
          <t>-</t>
        </is>
      </c>
      <c r="Z1268" s="11" t="n">
        <v>0</v>
      </c>
      <c r="AA1268" s="11" t="inlineStr">
        <is>
          <t>垫到60抽</t>
        </is>
      </c>
      <c r="AB1268" s="12">
        <f>AE1267</f>
        <v/>
      </c>
      <c r="AC1268" s="12" t="n">
        <v>4</v>
      </c>
      <c r="AD1268" s="12" t="n">
        <v>0</v>
      </c>
      <c r="AE1268" s="12">
        <f>AB1268+AC1268+AD1268</f>
        <v/>
      </c>
      <c r="AF1268" s="13">
        <f>AI1267</f>
        <v/>
      </c>
      <c r="AG1268" s="13" t="n">
        <v>0</v>
      </c>
      <c r="AH1268" s="13" t="n">
        <v>0</v>
      </c>
      <c r="AI1268" s="13">
        <f>AF1268+AG1268+AH1268</f>
        <v/>
      </c>
      <c r="AJ1268" s="14" t="n">
        <v>0</v>
      </c>
      <c r="AK1268" s="14" t="n">
        <v>50</v>
      </c>
      <c r="AL1268" s="14" t="n">
        <v>0</v>
      </c>
      <c r="AM1268" s="14">
        <f>AJ1268+AK1268+AL1268</f>
        <v/>
      </c>
      <c r="AN1268" s="14">
        <f>AN1267+AM1268</f>
        <v/>
      </c>
    </row>
    <row r="1269">
      <c r="A1269" s="8" t="n">
        <v>49</v>
      </c>
      <c r="B1269" s="8" t="n">
        <v>10</v>
      </c>
      <c r="C1269" s="8" t="n">
        <v>2</v>
      </c>
      <c r="D1269" s="8" t="inlineStr">
        <is>
          <t>月卡收益 [月卡续费-30元]</t>
        </is>
      </c>
      <c r="E1269" s="9">
        <f>K1268</f>
        <v/>
      </c>
      <c r="F1269" s="9" t="n">
        <v>1540</v>
      </c>
      <c r="G1269" s="9" t="n">
        <v>0</v>
      </c>
      <c r="H1269" s="9" t="n">
        <v>0</v>
      </c>
      <c r="I1269" s="9" t="n">
        <v>0</v>
      </c>
      <c r="J1269" s="9" t="n">
        <v>8480</v>
      </c>
      <c r="K1269" s="9">
        <f>E1269+F1269+G1269+H1269+I1269-J1269</f>
        <v/>
      </c>
      <c r="L1269" s="10">
        <f>Q1268</f>
        <v/>
      </c>
      <c r="M1269" s="10" t="n">
        <v>0</v>
      </c>
      <c r="N1269" s="10" t="n">
        <v>11</v>
      </c>
      <c r="O1269" s="10">
        <f>J1269/160</f>
        <v/>
      </c>
      <c r="P1269" s="10" t="n">
        <v>90</v>
      </c>
      <c r="Q1269" s="10">
        <f>L1269+M1269+N1269+O1269-P1269</f>
        <v/>
      </c>
      <c r="R1269" s="11">
        <f>T1268</f>
        <v/>
      </c>
      <c r="S1269" s="11">
        <f>N(V1269) + N(X1269) + N(Z1269)</f>
        <v/>
      </c>
      <c r="T1269" s="11">
        <f>R1269+P1269-S1269</f>
        <v/>
      </c>
      <c r="U1269" s="11" t="inlineStr">
        <is>
          <t>是</t>
        </is>
      </c>
      <c r="V1269" s="11" t="n">
        <v>46</v>
      </c>
      <c r="W1269" s="11" t="inlineStr">
        <is>
          <t>是</t>
        </is>
      </c>
      <c r="X1269" s="11" t="n">
        <v>50</v>
      </c>
      <c r="Y1269" s="11" t="inlineStr">
        <is>
          <t>-</t>
        </is>
      </c>
      <c r="Z1269" s="11" t="n">
        <v>0</v>
      </c>
      <c r="AA1269" s="11" t="inlineStr">
        <is>
          <t>垫到90抽</t>
        </is>
      </c>
      <c r="AB1269" s="12">
        <f>AE1268</f>
        <v/>
      </c>
      <c r="AC1269" s="12" t="n">
        <v>0</v>
      </c>
      <c r="AD1269" s="12" t="n">
        <v>0</v>
      </c>
      <c r="AE1269" s="12">
        <f>AB1269+AC1269+AD1269</f>
        <v/>
      </c>
      <c r="AF1269" s="13">
        <f>AI1268</f>
        <v/>
      </c>
      <c r="AG1269" s="13" t="n">
        <v>0</v>
      </c>
      <c r="AH1269" s="13" t="n">
        <v>0</v>
      </c>
      <c r="AI1269" s="13">
        <f>AF1269+AG1269+AH1269</f>
        <v/>
      </c>
      <c r="AJ1269" s="14" t="n">
        <v>30</v>
      </c>
      <c r="AK1269" s="14" t="n">
        <v>0</v>
      </c>
      <c r="AL1269" s="14" t="n">
        <v>0</v>
      </c>
      <c r="AM1269" s="14">
        <f>AJ1269+AK1269+AL1269</f>
        <v/>
      </c>
      <c r="AN1269" s="14">
        <f>AN1268+AM1269</f>
        <v/>
      </c>
    </row>
    <row r="1270">
      <c r="A1270" s="8" t="n">
        <v>49</v>
      </c>
      <c r="B1270" s="8" t="n">
        <v>11</v>
      </c>
      <c r="C1270" s="8" t="n">
        <v>1</v>
      </c>
      <c r="D1270" s="8" t="inlineStr">
        <is>
          <t>版本免费+义相逢 + 月卡收益</t>
        </is>
      </c>
      <c r="E1270" s="9">
        <f>K1269</f>
        <v/>
      </c>
      <c r="F1270" s="9" t="n">
        <v>1540</v>
      </c>
      <c r="G1270" s="9" t="n">
        <v>4800</v>
      </c>
      <c r="H1270" s="9" t="n">
        <v>0</v>
      </c>
      <c r="I1270" s="9" t="n">
        <v>0</v>
      </c>
      <c r="J1270" s="9" t="n">
        <v>0</v>
      </c>
      <c r="K1270" s="9">
        <f>E1270+F1270+G1270+H1270+I1270-J1270</f>
        <v/>
      </c>
      <c r="L1270" s="10">
        <f>Q1269</f>
        <v/>
      </c>
      <c r="M1270" s="10" t="n">
        <v>85</v>
      </c>
      <c r="N1270" s="10" t="n">
        <v>11</v>
      </c>
      <c r="O1270" s="10">
        <f>J1270/160</f>
        <v/>
      </c>
      <c r="P1270" s="10" t="n">
        <v>90</v>
      </c>
      <c r="Q1270" s="10">
        <f>L1270+M1270+N1270+O1270-P1270</f>
        <v/>
      </c>
      <c r="R1270" s="11">
        <f>T1269</f>
        <v/>
      </c>
      <c r="S1270" s="11">
        <f>N(V1270) + N(X1270) + N(Z1270)</f>
        <v/>
      </c>
      <c r="T1270" s="11">
        <f>R1270+P1270-S1270</f>
        <v/>
      </c>
      <c r="U1270" s="11" t="inlineStr">
        <is>
          <t>是</t>
        </is>
      </c>
      <c r="V1270" s="11" t="n">
        <v>41</v>
      </c>
      <c r="W1270" s="11" t="inlineStr">
        <is>
          <t>是</t>
        </is>
      </c>
      <c r="X1270" s="11" t="n">
        <v>53</v>
      </c>
      <c r="Y1270" s="11" t="inlineStr">
        <is>
          <t>-</t>
        </is>
      </c>
      <c r="Z1270" s="11" t="n">
        <v>0</v>
      </c>
      <c r="AA1270" s="11" t="inlineStr">
        <is>
          <t>无</t>
        </is>
      </c>
      <c r="AB1270" s="12">
        <f>AE1269</f>
        <v/>
      </c>
      <c r="AC1270" s="12" t="n">
        <v>4</v>
      </c>
      <c r="AD1270" s="12" t="n">
        <v>0</v>
      </c>
      <c r="AE1270" s="12">
        <f>AB1270+AC1270+AD1270</f>
        <v/>
      </c>
      <c r="AF1270" s="13">
        <f>AI1269</f>
        <v/>
      </c>
      <c r="AG1270" s="13" t="n">
        <v>0</v>
      </c>
      <c r="AH1270" s="13" t="n">
        <v>0</v>
      </c>
      <c r="AI1270" s="13">
        <f>AF1270+AG1270+AH1270</f>
        <v/>
      </c>
      <c r="AJ1270" s="14" t="n">
        <v>0</v>
      </c>
      <c r="AK1270" s="14" t="n">
        <v>50</v>
      </c>
      <c r="AL1270" s="14" t="n">
        <v>0</v>
      </c>
      <c r="AM1270" s="14">
        <f>AJ1270+AK1270+AL1270</f>
        <v/>
      </c>
      <c r="AN1270" s="14">
        <f>AN1269+AM1270</f>
        <v/>
      </c>
    </row>
    <row r="1271">
      <c r="A1271" s="8" t="n">
        <v>49</v>
      </c>
      <c r="B1271" s="8" t="n">
        <v>11</v>
      </c>
      <c r="C1271" s="8" t="n">
        <v>2</v>
      </c>
      <c r="D1271" s="8" t="inlineStr">
        <is>
          <t>月卡收益 [月卡续费-30元]</t>
        </is>
      </c>
      <c r="E1271" s="9">
        <f>K1270</f>
        <v/>
      </c>
      <c r="F1271" s="9" t="n">
        <v>1540</v>
      </c>
      <c r="G1271" s="9" t="n">
        <v>0</v>
      </c>
      <c r="H1271" s="9" t="n">
        <v>0</v>
      </c>
      <c r="I1271" s="9" t="n">
        <v>0</v>
      </c>
      <c r="J1271" s="9" t="n">
        <v>11680</v>
      </c>
      <c r="K1271" s="9">
        <f>E1271+F1271+G1271+H1271+I1271-J1271</f>
        <v/>
      </c>
      <c r="L1271" s="10">
        <f>Q1270</f>
        <v/>
      </c>
      <c r="M1271" s="10" t="n">
        <v>0</v>
      </c>
      <c r="N1271" s="10" t="n">
        <v>11</v>
      </c>
      <c r="O1271" s="10">
        <f>J1271/160</f>
        <v/>
      </c>
      <c r="P1271" s="10" t="n">
        <v>90</v>
      </c>
      <c r="Q1271" s="10">
        <f>L1271+M1271+N1271+O1271-P1271</f>
        <v/>
      </c>
      <c r="R1271" s="11">
        <f>T1270</f>
        <v/>
      </c>
      <c r="S1271" s="11">
        <f>N(V1271) + N(X1271) + N(Z1271)</f>
        <v/>
      </c>
      <c r="T1271" s="11">
        <f>R1271+P1271-S1271</f>
        <v/>
      </c>
      <c r="U1271" s="11" t="inlineStr">
        <is>
          <t>是</t>
        </is>
      </c>
      <c r="V1271" s="11" t="n">
        <v>49</v>
      </c>
      <c r="W1271" s="11" t="inlineStr">
        <is>
          <t>是</t>
        </is>
      </c>
      <c r="X1271" s="11" t="n">
        <v>49</v>
      </c>
      <c r="Y1271" s="11" t="inlineStr">
        <is>
          <t>-</t>
        </is>
      </c>
      <c r="Z1271" s="11" t="n">
        <v>0</v>
      </c>
      <c r="AA1271" s="11" t="inlineStr">
        <is>
          <t>无</t>
        </is>
      </c>
      <c r="AB1271" s="12">
        <f>AE1270</f>
        <v/>
      </c>
      <c r="AC1271" s="12" t="n">
        <v>0</v>
      </c>
      <c r="AD1271" s="12" t="n">
        <v>0</v>
      </c>
      <c r="AE1271" s="12">
        <f>AB1271+AC1271+AD1271</f>
        <v/>
      </c>
      <c r="AF1271" s="13">
        <f>AI1270</f>
        <v/>
      </c>
      <c r="AG1271" s="13" t="n">
        <v>0</v>
      </c>
      <c r="AH1271" s="13" t="n">
        <v>0</v>
      </c>
      <c r="AI1271" s="13">
        <f>AF1271+AG1271+AH1271</f>
        <v/>
      </c>
      <c r="AJ1271" s="14" t="n">
        <v>30</v>
      </c>
      <c r="AK1271" s="14" t="n">
        <v>0</v>
      </c>
      <c r="AL1271" s="14" t="n">
        <v>0</v>
      </c>
      <c r="AM1271" s="14">
        <f>AJ1271+AK1271+AL1271</f>
        <v/>
      </c>
      <c r="AN1271" s="14">
        <f>AN1270+AM1271</f>
        <v/>
      </c>
    </row>
    <row r="1272">
      <c r="A1272" s="8" t="n">
        <v>49</v>
      </c>
      <c r="B1272" s="8" t="n">
        <v>12</v>
      </c>
      <c r="C1272" s="8" t="n">
        <v>1</v>
      </c>
      <c r="D1272" s="8" t="inlineStr">
        <is>
          <t>版本免费+义相逢 + 月卡收益</t>
        </is>
      </c>
      <c r="E1272" s="9">
        <f>K1271</f>
        <v/>
      </c>
      <c r="F1272" s="9" t="n">
        <v>1540</v>
      </c>
      <c r="G1272" s="9" t="n">
        <v>4800</v>
      </c>
      <c r="H1272" s="9" t="n">
        <v>0</v>
      </c>
      <c r="I1272" s="9" t="n">
        <v>0</v>
      </c>
      <c r="J1272" s="9" t="n">
        <v>0</v>
      </c>
      <c r="K1272" s="9">
        <f>E1272+F1272+G1272+H1272+I1272-J1272</f>
        <v/>
      </c>
      <c r="L1272" s="10">
        <f>Q1271</f>
        <v/>
      </c>
      <c r="M1272" s="10" t="n">
        <v>85</v>
      </c>
      <c r="N1272" s="10" t="n">
        <v>6</v>
      </c>
      <c r="O1272" s="10">
        <f>J1272/160</f>
        <v/>
      </c>
      <c r="P1272" s="10" t="n">
        <v>60</v>
      </c>
      <c r="Q1272" s="10">
        <f>L1272+M1272+N1272+O1272-P1272</f>
        <v/>
      </c>
      <c r="R1272" s="11">
        <f>T1271</f>
        <v/>
      </c>
      <c r="S1272" s="11">
        <f>N(V1272) + N(X1272) + N(Z1272)</f>
        <v/>
      </c>
      <c r="T1272" s="11">
        <f>R1272+P1272-S1272</f>
        <v/>
      </c>
      <c r="U1272" s="11" t="inlineStr">
        <is>
          <t>是</t>
        </is>
      </c>
      <c r="V1272" s="11" t="n">
        <v>54</v>
      </c>
      <c r="W1272" s="11" t="inlineStr">
        <is>
          <t>否</t>
        </is>
      </c>
      <c r="X1272" s="11" t="inlineStr">
        <is>
          <t>-</t>
        </is>
      </c>
      <c r="Y1272" s="11" t="inlineStr">
        <is>
          <t>-</t>
        </is>
      </c>
      <c r="Z1272" s="11" t="n">
        <v>0</v>
      </c>
      <c r="AA1272" s="11" t="inlineStr">
        <is>
          <t>无</t>
        </is>
      </c>
      <c r="AB1272" s="12">
        <f>AE1271</f>
        <v/>
      </c>
      <c r="AC1272" s="12" t="n">
        <v>4</v>
      </c>
      <c r="AD1272" s="12" t="n">
        <v>0</v>
      </c>
      <c r="AE1272" s="12">
        <f>AB1272+AC1272+AD1272</f>
        <v/>
      </c>
      <c r="AF1272" s="13">
        <f>AI1271</f>
        <v/>
      </c>
      <c r="AG1272" s="13" t="n">
        <v>0</v>
      </c>
      <c r="AH1272" s="13" t="n">
        <v>0</v>
      </c>
      <c r="AI1272" s="13">
        <f>AF1272+AG1272+AH1272</f>
        <v/>
      </c>
      <c r="AJ1272" s="14" t="n">
        <v>0</v>
      </c>
      <c r="AK1272" s="14" t="n">
        <v>50</v>
      </c>
      <c r="AL1272" s="14" t="n">
        <v>0</v>
      </c>
      <c r="AM1272" s="14">
        <f>AJ1272+AK1272+AL1272</f>
        <v/>
      </c>
      <c r="AN1272" s="14">
        <f>AN1271+AM1272</f>
        <v/>
      </c>
    </row>
    <row r="1273">
      <c r="A1273" s="8" t="n">
        <v>49</v>
      </c>
      <c r="B1273" s="8" t="n">
        <v>12</v>
      </c>
      <c r="C1273" s="8" t="n">
        <v>2</v>
      </c>
      <c r="D1273" s="8" t="inlineStr">
        <is>
          <t>月卡收益 [月卡续费-30元]</t>
        </is>
      </c>
      <c r="E1273" s="9">
        <f>K1272</f>
        <v/>
      </c>
      <c r="F1273" s="9" t="n">
        <v>1540</v>
      </c>
      <c r="G1273" s="9" t="n">
        <v>0</v>
      </c>
      <c r="H1273" s="9" t="n">
        <v>0</v>
      </c>
      <c r="I1273" s="9" t="n">
        <v>0</v>
      </c>
      <c r="J1273" s="9" t="n">
        <v>3360</v>
      </c>
      <c r="K1273" s="9">
        <f>E1273+F1273+G1273+H1273+I1273-J1273</f>
        <v/>
      </c>
      <c r="L1273" s="10">
        <f>Q1272</f>
        <v/>
      </c>
      <c r="M1273" s="10" t="n">
        <v>0</v>
      </c>
      <c r="N1273" s="10" t="n">
        <v>6</v>
      </c>
      <c r="O1273" s="10">
        <f>J1273/160</f>
        <v/>
      </c>
      <c r="P1273" s="10" t="n">
        <v>60</v>
      </c>
      <c r="Q1273" s="10">
        <f>L1273+M1273+N1273+O1273-P1273</f>
        <v/>
      </c>
      <c r="R1273" s="11">
        <f>T1272</f>
        <v/>
      </c>
      <c r="S1273" s="11">
        <f>N(V1273) + N(X1273) + N(Z1273)</f>
        <v/>
      </c>
      <c r="T1273" s="11">
        <f>R1273+P1273-S1273</f>
        <v/>
      </c>
      <c r="U1273" s="11" t="inlineStr">
        <is>
          <t>是</t>
        </is>
      </c>
      <c r="V1273" s="11" t="n">
        <v>52</v>
      </c>
      <c r="W1273" s="11" t="inlineStr">
        <is>
          <t>否</t>
        </is>
      </c>
      <c r="X1273" s="11" t="inlineStr">
        <is>
          <t>-</t>
        </is>
      </c>
      <c r="Y1273" s="11" t="inlineStr">
        <is>
          <t>-</t>
        </is>
      </c>
      <c r="Z1273" s="11" t="n">
        <v>0</v>
      </c>
      <c r="AA1273" s="11" t="inlineStr">
        <is>
          <t>垫到60抽</t>
        </is>
      </c>
      <c r="AB1273" s="12">
        <f>AE1272</f>
        <v/>
      </c>
      <c r="AC1273" s="12" t="n">
        <v>0</v>
      </c>
      <c r="AD1273" s="12" t="n">
        <v>0</v>
      </c>
      <c r="AE1273" s="12">
        <f>AB1273+AC1273+AD1273</f>
        <v/>
      </c>
      <c r="AF1273" s="13">
        <f>AI1272</f>
        <v/>
      </c>
      <c r="AG1273" s="13" t="n">
        <v>0</v>
      </c>
      <c r="AH1273" s="13" t="n">
        <v>0</v>
      </c>
      <c r="AI1273" s="13">
        <f>AF1273+AG1273+AH1273</f>
        <v/>
      </c>
      <c r="AJ1273" s="14" t="n">
        <v>30</v>
      </c>
      <c r="AK1273" s="14" t="n">
        <v>0</v>
      </c>
      <c r="AL1273" s="14" t="n">
        <v>0</v>
      </c>
      <c r="AM1273" s="14">
        <f>AJ1273+AK1273+AL1273</f>
        <v/>
      </c>
      <c r="AN1273" s="14">
        <f>AN1272+AM1273</f>
        <v/>
      </c>
    </row>
    <row r="1274">
      <c r="A1274" s="8" t="n">
        <v>49</v>
      </c>
      <c r="B1274" s="8" t="n">
        <v>13</v>
      </c>
      <c r="C1274" s="8" t="n">
        <v>1</v>
      </c>
      <c r="D1274" s="8" t="inlineStr">
        <is>
          <t>版本免费+义相逢 + 月卡收益</t>
        </is>
      </c>
      <c r="E1274" s="9">
        <f>K1273</f>
        <v/>
      </c>
      <c r="F1274" s="9" t="n">
        <v>1540</v>
      </c>
      <c r="G1274" s="9" t="n">
        <v>4800</v>
      </c>
      <c r="H1274" s="9" t="n">
        <v>0</v>
      </c>
      <c r="I1274" s="9" t="n">
        <v>0</v>
      </c>
      <c r="J1274" s="9" t="n">
        <v>0</v>
      </c>
      <c r="K1274" s="9">
        <f>E1274+F1274+G1274+H1274+I1274-J1274</f>
        <v/>
      </c>
      <c r="L1274" s="10">
        <f>Q1273</f>
        <v/>
      </c>
      <c r="M1274" s="10" t="n">
        <v>85</v>
      </c>
      <c r="N1274" s="10" t="n">
        <v>11</v>
      </c>
      <c r="O1274" s="10">
        <f>J1274/160</f>
        <v/>
      </c>
      <c r="P1274" s="10" t="n">
        <v>90</v>
      </c>
      <c r="Q1274" s="10">
        <f>L1274+M1274+N1274+O1274-P1274</f>
        <v/>
      </c>
      <c r="R1274" s="11">
        <f>T1273</f>
        <v/>
      </c>
      <c r="S1274" s="11">
        <f>N(V1274) + N(X1274) + N(Z1274)</f>
        <v/>
      </c>
      <c r="T1274" s="11">
        <f>R1274+P1274-S1274</f>
        <v/>
      </c>
      <c r="U1274" s="11" t="inlineStr">
        <is>
          <t>是</t>
        </is>
      </c>
      <c r="V1274" s="11" t="n">
        <v>50</v>
      </c>
      <c r="W1274" s="11" t="inlineStr">
        <is>
          <t>是</t>
        </is>
      </c>
      <c r="X1274" s="11" t="n">
        <v>49</v>
      </c>
      <c r="Y1274" s="11" t="inlineStr">
        <is>
          <t>-</t>
        </is>
      </c>
      <c r="Z1274" s="11" t="n">
        <v>0</v>
      </c>
      <c r="AA1274" s="11" t="inlineStr">
        <is>
          <t>无</t>
        </is>
      </c>
      <c r="AB1274" s="12">
        <f>AE1273</f>
        <v/>
      </c>
      <c r="AC1274" s="12" t="n">
        <v>4</v>
      </c>
      <c r="AD1274" s="12" t="n">
        <v>0</v>
      </c>
      <c r="AE1274" s="12">
        <f>AB1274+AC1274+AD1274</f>
        <v/>
      </c>
      <c r="AF1274" s="13">
        <f>AI1273</f>
        <v/>
      </c>
      <c r="AG1274" s="13" t="n">
        <v>0</v>
      </c>
      <c r="AH1274" s="13" t="n">
        <v>0</v>
      </c>
      <c r="AI1274" s="13">
        <f>AF1274+AG1274+AH1274</f>
        <v/>
      </c>
      <c r="AJ1274" s="14" t="n">
        <v>0</v>
      </c>
      <c r="AK1274" s="14" t="n">
        <v>50</v>
      </c>
      <c r="AL1274" s="14" t="n">
        <v>0</v>
      </c>
      <c r="AM1274" s="14">
        <f>AJ1274+AK1274+AL1274</f>
        <v/>
      </c>
      <c r="AN1274" s="14">
        <f>AN1273+AM1274</f>
        <v/>
      </c>
    </row>
    <row r="1275">
      <c r="A1275" s="8" t="n">
        <v>49</v>
      </c>
      <c r="B1275" s="8" t="n">
        <v>13</v>
      </c>
      <c r="C1275" s="8" t="n">
        <v>2</v>
      </c>
      <c r="D1275" s="8" t="inlineStr">
        <is>
          <t>月卡收益 [月卡续费-30元]</t>
        </is>
      </c>
      <c r="E1275" s="9">
        <f>K1274</f>
        <v/>
      </c>
      <c r="F1275" s="9" t="n">
        <v>1540</v>
      </c>
      <c r="G1275" s="9" t="n">
        <v>0</v>
      </c>
      <c r="H1275" s="9" t="n">
        <v>0</v>
      </c>
      <c r="I1275" s="9" t="n">
        <v>0</v>
      </c>
      <c r="J1275" s="9" t="n">
        <v>7680</v>
      </c>
      <c r="K1275" s="9">
        <f>E1275+F1275+G1275+H1275+I1275-J1275</f>
        <v/>
      </c>
      <c r="L1275" s="10">
        <f>Q1274</f>
        <v/>
      </c>
      <c r="M1275" s="10" t="n">
        <v>0</v>
      </c>
      <c r="N1275" s="10" t="n">
        <v>6</v>
      </c>
      <c r="O1275" s="10">
        <f>J1275/160</f>
        <v/>
      </c>
      <c r="P1275" s="10" t="n">
        <v>60</v>
      </c>
      <c r="Q1275" s="10">
        <f>L1275+M1275+N1275+O1275-P1275</f>
        <v/>
      </c>
      <c r="R1275" s="11">
        <f>T1274</f>
        <v/>
      </c>
      <c r="S1275" s="11">
        <f>N(V1275) + N(X1275) + N(Z1275)</f>
        <v/>
      </c>
      <c r="T1275" s="11">
        <f>R1275+P1275-S1275</f>
        <v/>
      </c>
      <c r="U1275" s="11" t="inlineStr">
        <is>
          <t>是</t>
        </is>
      </c>
      <c r="V1275" s="11" t="n">
        <v>51</v>
      </c>
      <c r="W1275" s="11" t="inlineStr">
        <is>
          <t>否</t>
        </is>
      </c>
      <c r="X1275" s="11" t="inlineStr">
        <is>
          <t>-</t>
        </is>
      </c>
      <c r="Y1275" s="11" t="inlineStr">
        <is>
          <t>-</t>
        </is>
      </c>
      <c r="Z1275" s="11" t="n">
        <v>0</v>
      </c>
      <c r="AA1275" s="11" t="inlineStr">
        <is>
          <t>垫到60抽</t>
        </is>
      </c>
      <c r="AB1275" s="12">
        <f>AE1274</f>
        <v/>
      </c>
      <c r="AC1275" s="12" t="n">
        <v>0</v>
      </c>
      <c r="AD1275" s="12" t="n">
        <v>0</v>
      </c>
      <c r="AE1275" s="12">
        <f>AB1275+AC1275+AD1275</f>
        <v/>
      </c>
      <c r="AF1275" s="13">
        <f>AI1274</f>
        <v/>
      </c>
      <c r="AG1275" s="13" t="n">
        <v>0</v>
      </c>
      <c r="AH1275" s="13" t="n">
        <v>0</v>
      </c>
      <c r="AI1275" s="13">
        <f>AF1275+AG1275+AH1275</f>
        <v/>
      </c>
      <c r="AJ1275" s="14" t="n">
        <v>30</v>
      </c>
      <c r="AK1275" s="14" t="n">
        <v>0</v>
      </c>
      <c r="AL1275" s="14" t="n">
        <v>0</v>
      </c>
      <c r="AM1275" s="14">
        <f>AJ1275+AK1275+AL1275</f>
        <v/>
      </c>
      <c r="AN1275" s="14">
        <f>AN1274+AM1275</f>
        <v/>
      </c>
    </row>
    <row r="1276">
      <c r="A1276" s="8" t="n">
        <v>50</v>
      </c>
      <c r="B1276" s="8" t="n">
        <v>1</v>
      </c>
      <c r="C1276" s="8" t="n">
        <v>1</v>
      </c>
      <c r="D1276" s="8" t="inlineStr">
        <is>
          <t>版本免费+义相逢 + 月卡收益</t>
        </is>
      </c>
      <c r="E1276" s="9" t="n">
        <v>16040</v>
      </c>
      <c r="F1276" s="9" t="n">
        <v>1540</v>
      </c>
      <c r="G1276" s="9" t="n">
        <v>4800</v>
      </c>
      <c r="H1276" s="9" t="n">
        <v>0</v>
      </c>
      <c r="I1276" s="9" t="n">
        <v>0</v>
      </c>
      <c r="J1276" s="9" t="n">
        <v>0</v>
      </c>
      <c r="K1276" s="9">
        <f>E1276+F1276+G1276+H1276+I1276-J1276</f>
        <v/>
      </c>
      <c r="L1276" s="10" t="n">
        <v>3</v>
      </c>
      <c r="M1276" s="10" t="n">
        <v>85</v>
      </c>
      <c r="N1276" s="10" t="n">
        <v>3</v>
      </c>
      <c r="O1276" s="10">
        <f>J1276/160</f>
        <v/>
      </c>
      <c r="P1276" s="10" t="n">
        <v>40</v>
      </c>
      <c r="Q1276" s="10">
        <f>L1276+M1276+N1276+O1276-P1276</f>
        <v/>
      </c>
      <c r="R1276" s="11" t="n">
        <v>15</v>
      </c>
      <c r="S1276" s="11">
        <f>N(V1276) + N(X1276) + N(Z1276)</f>
        <v/>
      </c>
      <c r="T1276" s="11">
        <f>R1276+P1276-S1276</f>
        <v/>
      </c>
      <c r="U1276" s="11" t="inlineStr">
        <is>
          <t>是</t>
        </is>
      </c>
      <c r="V1276" s="11" t="n">
        <v>49</v>
      </c>
      <c r="W1276" s="11" t="inlineStr">
        <is>
          <t>否</t>
        </is>
      </c>
      <c r="X1276" s="11" t="inlineStr">
        <is>
          <t>-</t>
        </is>
      </c>
      <c r="Y1276" s="11" t="inlineStr">
        <is>
          <t>-</t>
        </is>
      </c>
      <c r="Z1276" s="11" t="n">
        <v>0</v>
      </c>
      <c r="AA1276" s="11" t="inlineStr">
        <is>
          <t>无</t>
        </is>
      </c>
      <c r="AB1276" s="12" t="n">
        <v>2617</v>
      </c>
      <c r="AC1276" s="12" t="n">
        <v>4</v>
      </c>
      <c r="AD1276" s="12" t="n">
        <v>0</v>
      </c>
      <c r="AE1276" s="12">
        <f>AB1276+AC1276+AD1276</f>
        <v/>
      </c>
      <c r="AF1276" s="13" t="n">
        <v>345000</v>
      </c>
      <c r="AG1276" s="13" t="n">
        <v>0</v>
      </c>
      <c r="AH1276" s="13" t="n">
        <v>0</v>
      </c>
      <c r="AI1276" s="13">
        <f>AF1276+AG1276+AH1276</f>
        <v/>
      </c>
      <c r="AJ1276" s="14" t="n">
        <v>0</v>
      </c>
      <c r="AK1276" s="14" t="n">
        <v>50</v>
      </c>
      <c r="AL1276" s="14" t="n">
        <v>0</v>
      </c>
      <c r="AM1276" s="14">
        <f>AJ1276+AK1276+AL1276</f>
        <v/>
      </c>
      <c r="AN1276" s="14">
        <f>AM1276</f>
        <v/>
      </c>
    </row>
    <row r="1277">
      <c r="A1277" s="8" t="n">
        <v>50</v>
      </c>
      <c r="B1277" s="8" t="n">
        <v>1</v>
      </c>
      <c r="C1277" s="8" t="n">
        <v>2</v>
      </c>
      <c r="D1277" s="8" t="inlineStr">
        <is>
          <t>月卡收益</t>
        </is>
      </c>
      <c r="E1277" s="9">
        <f>K1276</f>
        <v/>
      </c>
      <c r="F1277" s="9" t="n">
        <v>1540</v>
      </c>
      <c r="G1277" s="9" t="n">
        <v>0</v>
      </c>
      <c r="H1277" s="9" t="n">
        <v>0</v>
      </c>
      <c r="I1277" s="9" t="n">
        <v>0</v>
      </c>
      <c r="J1277" s="9" t="n">
        <v>960</v>
      </c>
      <c r="K1277" s="9">
        <f>E1277+F1277+G1277+H1277+I1277-J1277</f>
        <v/>
      </c>
      <c r="L1277" s="10">
        <f>Q1276</f>
        <v/>
      </c>
      <c r="M1277" s="10" t="n">
        <v>0</v>
      </c>
      <c r="N1277" s="10" t="n">
        <v>6</v>
      </c>
      <c r="O1277" s="10">
        <f>J1277/160</f>
        <v/>
      </c>
      <c r="P1277" s="10" t="n">
        <v>60</v>
      </c>
      <c r="Q1277" s="10">
        <f>L1277+M1277+N1277+O1277-P1277</f>
        <v/>
      </c>
      <c r="R1277" s="11">
        <f>T1276</f>
        <v/>
      </c>
      <c r="S1277" s="11">
        <f>N(V1277) + N(X1277) + N(Z1277)</f>
        <v/>
      </c>
      <c r="T1277" s="11">
        <f>R1277+P1277-S1277</f>
        <v/>
      </c>
      <c r="U1277" s="11" t="inlineStr">
        <is>
          <t>是</t>
        </is>
      </c>
      <c r="V1277" s="11" t="n">
        <v>48</v>
      </c>
      <c r="W1277" s="11" t="inlineStr">
        <is>
          <t>否</t>
        </is>
      </c>
      <c r="X1277" s="11" t="inlineStr">
        <is>
          <t>-</t>
        </is>
      </c>
      <c r="Y1277" s="11" t="inlineStr">
        <is>
          <t>-</t>
        </is>
      </c>
      <c r="Z1277" s="11" t="n">
        <v>0</v>
      </c>
      <c r="AA1277" s="11" t="inlineStr">
        <is>
          <t>垫到60抽</t>
        </is>
      </c>
      <c r="AB1277" s="12">
        <f>AE1276</f>
        <v/>
      </c>
      <c r="AC1277" s="12" t="n">
        <v>0</v>
      </c>
      <c r="AD1277" s="12" t="n">
        <v>0</v>
      </c>
      <c r="AE1277" s="12">
        <f>AB1277+AC1277+AD1277</f>
        <v/>
      </c>
      <c r="AF1277" s="13">
        <f>AI1276</f>
        <v/>
      </c>
      <c r="AG1277" s="13" t="n">
        <v>0</v>
      </c>
      <c r="AH1277" s="13" t="n">
        <v>0</v>
      </c>
      <c r="AI1277" s="13">
        <f>AF1277+AG1277+AH1277</f>
        <v/>
      </c>
      <c r="AJ1277" s="14" t="n">
        <v>0</v>
      </c>
      <c r="AK1277" s="14" t="n">
        <v>0</v>
      </c>
      <c r="AL1277" s="14" t="n">
        <v>0</v>
      </c>
      <c r="AM1277" s="14">
        <f>AJ1277+AK1277+AL1277</f>
        <v/>
      </c>
      <c r="AN1277" s="14">
        <f>AN1276+AM1277</f>
        <v/>
      </c>
    </row>
    <row r="1278">
      <c r="A1278" s="8" t="n">
        <v>50</v>
      </c>
      <c r="B1278" s="8" t="n">
        <v>2</v>
      </c>
      <c r="C1278" s="8" t="n">
        <v>1</v>
      </c>
      <c r="D1278" s="8" t="inlineStr">
        <is>
          <t>版本免费+义相逢 + 月卡收益 [月卡续费-30元]</t>
        </is>
      </c>
      <c r="E1278" s="9">
        <f>K1277</f>
        <v/>
      </c>
      <c r="F1278" s="9" t="n">
        <v>1540</v>
      </c>
      <c r="G1278" s="9" t="n">
        <v>4800</v>
      </c>
      <c r="H1278" s="9" t="n">
        <v>0</v>
      </c>
      <c r="I1278" s="9" t="n">
        <v>0</v>
      </c>
      <c r="J1278" s="9" t="n">
        <v>0</v>
      </c>
      <c r="K1278" s="9">
        <f>E1278+F1278+G1278+H1278+I1278-J1278</f>
        <v/>
      </c>
      <c r="L1278" s="10">
        <f>Q1277</f>
        <v/>
      </c>
      <c r="M1278" s="10" t="n">
        <v>85</v>
      </c>
      <c r="N1278" s="10" t="n">
        <v>3</v>
      </c>
      <c r="O1278" s="10">
        <f>J1278/160</f>
        <v/>
      </c>
      <c r="P1278" s="10" t="n">
        <v>40</v>
      </c>
      <c r="Q1278" s="10">
        <f>L1278+M1278+N1278+O1278-P1278</f>
        <v/>
      </c>
      <c r="R1278" s="11">
        <f>T1277</f>
        <v/>
      </c>
      <c r="S1278" s="11">
        <f>N(V1278) + N(X1278) + N(Z1278)</f>
        <v/>
      </c>
      <c r="T1278" s="11">
        <f>R1278+P1278-S1278</f>
        <v/>
      </c>
      <c r="U1278" s="11" t="inlineStr">
        <is>
          <t>是</t>
        </is>
      </c>
      <c r="V1278" s="11" t="n">
        <v>49</v>
      </c>
      <c r="W1278" s="11" t="inlineStr">
        <is>
          <t>否</t>
        </is>
      </c>
      <c r="X1278" s="11" t="inlineStr">
        <is>
          <t>-</t>
        </is>
      </c>
      <c r="Y1278" s="11" t="inlineStr">
        <is>
          <t>-</t>
        </is>
      </c>
      <c r="Z1278" s="11" t="n">
        <v>0</v>
      </c>
      <c r="AA1278" s="11" t="inlineStr">
        <is>
          <t>无</t>
        </is>
      </c>
      <c r="AB1278" s="12">
        <f>AE1277</f>
        <v/>
      </c>
      <c r="AC1278" s="12" t="n">
        <v>4</v>
      </c>
      <c r="AD1278" s="12" t="n">
        <v>0</v>
      </c>
      <c r="AE1278" s="12">
        <f>AB1278+AC1278+AD1278</f>
        <v/>
      </c>
      <c r="AF1278" s="13">
        <f>AI1277</f>
        <v/>
      </c>
      <c r="AG1278" s="13" t="n">
        <v>0</v>
      </c>
      <c r="AH1278" s="13" t="n">
        <v>0</v>
      </c>
      <c r="AI1278" s="13">
        <f>AF1278+AG1278+AH1278</f>
        <v/>
      </c>
      <c r="AJ1278" s="14" t="n">
        <v>30</v>
      </c>
      <c r="AK1278" s="14" t="n">
        <v>50</v>
      </c>
      <c r="AL1278" s="14" t="n">
        <v>0</v>
      </c>
      <c r="AM1278" s="14">
        <f>AJ1278+AK1278+AL1278</f>
        <v/>
      </c>
      <c r="AN1278" s="14">
        <f>AN1277+AM1278</f>
        <v/>
      </c>
    </row>
    <row r="1279">
      <c r="A1279" s="8" t="n">
        <v>50</v>
      </c>
      <c r="B1279" s="8" t="n">
        <v>2</v>
      </c>
      <c r="C1279" s="8" t="n">
        <v>2</v>
      </c>
      <c r="D1279" s="8" t="inlineStr">
        <is>
          <t>月卡收益</t>
        </is>
      </c>
      <c r="E1279" s="9">
        <f>K1278</f>
        <v/>
      </c>
      <c r="F1279" s="9" t="n">
        <v>1540</v>
      </c>
      <c r="G1279" s="9" t="n">
        <v>0</v>
      </c>
      <c r="H1279" s="9" t="n">
        <v>0</v>
      </c>
      <c r="I1279" s="9" t="n">
        <v>0</v>
      </c>
      <c r="J1279" s="9" t="n">
        <v>960</v>
      </c>
      <c r="K1279" s="9">
        <f>E1279+F1279+G1279+H1279+I1279-J1279</f>
        <v/>
      </c>
      <c r="L1279" s="10">
        <f>Q1278</f>
        <v/>
      </c>
      <c r="M1279" s="10" t="n">
        <v>0</v>
      </c>
      <c r="N1279" s="10" t="n">
        <v>6</v>
      </c>
      <c r="O1279" s="10">
        <f>J1279/160</f>
        <v/>
      </c>
      <c r="P1279" s="10" t="n">
        <v>60</v>
      </c>
      <c r="Q1279" s="10">
        <f>L1279+M1279+N1279+O1279-P1279</f>
        <v/>
      </c>
      <c r="R1279" s="11">
        <f>T1278</f>
        <v/>
      </c>
      <c r="S1279" s="11">
        <f>N(V1279) + N(X1279) + N(Z1279)</f>
        <v/>
      </c>
      <c r="T1279" s="11">
        <f>R1279+P1279-S1279</f>
        <v/>
      </c>
      <c r="U1279" s="11" t="inlineStr">
        <is>
          <t>是</t>
        </is>
      </c>
      <c r="V1279" s="11" t="n">
        <v>51</v>
      </c>
      <c r="W1279" s="11" t="inlineStr">
        <is>
          <t>否</t>
        </is>
      </c>
      <c r="X1279" s="11" t="inlineStr">
        <is>
          <t>-</t>
        </is>
      </c>
      <c r="Y1279" s="11" t="inlineStr">
        <is>
          <t>-</t>
        </is>
      </c>
      <c r="Z1279" s="11" t="n">
        <v>0</v>
      </c>
      <c r="AA1279" s="11" t="inlineStr">
        <is>
          <t>垫到60抽</t>
        </is>
      </c>
      <c r="AB1279" s="12">
        <f>AE1278</f>
        <v/>
      </c>
      <c r="AC1279" s="12" t="n">
        <v>0</v>
      </c>
      <c r="AD1279" s="12" t="n">
        <v>0</v>
      </c>
      <c r="AE1279" s="12">
        <f>AB1279+AC1279+AD1279</f>
        <v/>
      </c>
      <c r="AF1279" s="13">
        <f>AI1278</f>
        <v/>
      </c>
      <c r="AG1279" s="13" t="n">
        <v>0</v>
      </c>
      <c r="AH1279" s="13" t="n">
        <v>0</v>
      </c>
      <c r="AI1279" s="13">
        <f>AF1279+AG1279+AH1279</f>
        <v/>
      </c>
      <c r="AJ1279" s="14" t="n">
        <v>0</v>
      </c>
      <c r="AK1279" s="14" t="n">
        <v>0</v>
      </c>
      <c r="AL1279" s="14" t="n">
        <v>0</v>
      </c>
      <c r="AM1279" s="14">
        <f>AJ1279+AK1279+AL1279</f>
        <v/>
      </c>
      <c r="AN1279" s="14">
        <f>AN1278+AM1279</f>
        <v/>
      </c>
    </row>
    <row r="1280">
      <c r="A1280" s="8" t="n">
        <v>50</v>
      </c>
      <c r="B1280" s="8" t="n">
        <v>3</v>
      </c>
      <c r="C1280" s="8" t="n">
        <v>1</v>
      </c>
      <c r="D1280" s="8" t="inlineStr">
        <is>
          <t>版本免费+义相逢 + 月卡收益 [月卡续费-30元]</t>
        </is>
      </c>
      <c r="E1280" s="9">
        <f>K1279</f>
        <v/>
      </c>
      <c r="F1280" s="9" t="n">
        <v>1540</v>
      </c>
      <c r="G1280" s="9" t="n">
        <v>4800</v>
      </c>
      <c r="H1280" s="9" t="n">
        <v>0</v>
      </c>
      <c r="I1280" s="9" t="n">
        <v>0</v>
      </c>
      <c r="J1280" s="9" t="n">
        <v>0</v>
      </c>
      <c r="K1280" s="9">
        <f>E1280+F1280+G1280+H1280+I1280-J1280</f>
        <v/>
      </c>
      <c r="L1280" s="10">
        <f>Q1279</f>
        <v/>
      </c>
      <c r="M1280" s="10" t="n">
        <v>85</v>
      </c>
      <c r="N1280" s="10" t="n">
        <v>11</v>
      </c>
      <c r="O1280" s="10">
        <f>J1280/160</f>
        <v/>
      </c>
      <c r="P1280" s="10" t="n">
        <v>90</v>
      </c>
      <c r="Q1280" s="10">
        <f>L1280+M1280+N1280+O1280-P1280</f>
        <v/>
      </c>
      <c r="R1280" s="11">
        <f>T1279</f>
        <v/>
      </c>
      <c r="S1280" s="11">
        <f>N(V1280) + N(X1280) + N(Z1280)</f>
        <v/>
      </c>
      <c r="T1280" s="11">
        <f>R1280+P1280-S1280</f>
        <v/>
      </c>
      <c r="U1280" s="11" t="inlineStr">
        <is>
          <t>是</t>
        </is>
      </c>
      <c r="V1280" s="11" t="n">
        <v>51</v>
      </c>
      <c r="W1280" s="11" t="inlineStr">
        <is>
          <t>是</t>
        </is>
      </c>
      <c r="X1280" s="11" t="n">
        <v>47</v>
      </c>
      <c r="Y1280" s="11" t="inlineStr">
        <is>
          <t>-</t>
        </is>
      </c>
      <c r="Z1280" s="11" t="n">
        <v>0</v>
      </c>
      <c r="AA1280" s="11" t="inlineStr">
        <is>
          <t>垫到90抽</t>
        </is>
      </c>
      <c r="AB1280" s="12">
        <f>AE1279</f>
        <v/>
      </c>
      <c r="AC1280" s="12" t="n">
        <v>4</v>
      </c>
      <c r="AD1280" s="12" t="n">
        <v>0</v>
      </c>
      <c r="AE1280" s="12">
        <f>AB1280+AC1280+AD1280</f>
        <v/>
      </c>
      <c r="AF1280" s="13">
        <f>AI1279</f>
        <v/>
      </c>
      <c r="AG1280" s="13" t="n">
        <v>0</v>
      </c>
      <c r="AH1280" s="13" t="n">
        <v>0</v>
      </c>
      <c r="AI1280" s="13">
        <f>AF1280+AG1280+AH1280</f>
        <v/>
      </c>
      <c r="AJ1280" s="14" t="n">
        <v>30</v>
      </c>
      <c r="AK1280" s="14" t="n">
        <v>50</v>
      </c>
      <c r="AL1280" s="14" t="n">
        <v>0</v>
      </c>
      <c r="AM1280" s="14">
        <f>AJ1280+AK1280+AL1280</f>
        <v/>
      </c>
      <c r="AN1280" s="14">
        <f>AN1279+AM1280</f>
        <v/>
      </c>
    </row>
    <row r="1281">
      <c r="A1281" s="8" t="n">
        <v>50</v>
      </c>
      <c r="B1281" s="8" t="n">
        <v>3</v>
      </c>
      <c r="C1281" s="8" t="n">
        <v>2</v>
      </c>
      <c r="D1281" s="8" t="inlineStr">
        <is>
          <t>月卡收益</t>
        </is>
      </c>
      <c r="E1281" s="9">
        <f>K1280</f>
        <v/>
      </c>
      <c r="F1281" s="9" t="n">
        <v>1540</v>
      </c>
      <c r="G1281" s="9" t="n">
        <v>0</v>
      </c>
      <c r="H1281" s="9" t="n">
        <v>0</v>
      </c>
      <c r="I1281" s="9" t="n">
        <v>0</v>
      </c>
      <c r="J1281" s="9" t="n">
        <v>7680</v>
      </c>
      <c r="K1281" s="9">
        <f>E1281+F1281+G1281+H1281+I1281-J1281</f>
        <v/>
      </c>
      <c r="L1281" s="10">
        <f>Q1280</f>
        <v/>
      </c>
      <c r="M1281" s="10" t="n">
        <v>0</v>
      </c>
      <c r="N1281" s="10" t="n">
        <v>6</v>
      </c>
      <c r="O1281" s="10">
        <f>J1281/160</f>
        <v/>
      </c>
      <c r="P1281" s="10" t="n">
        <v>60</v>
      </c>
      <c r="Q1281" s="10">
        <f>L1281+M1281+N1281+O1281-P1281</f>
        <v/>
      </c>
      <c r="R1281" s="11">
        <f>T1280</f>
        <v/>
      </c>
      <c r="S1281" s="11">
        <f>N(V1281) + N(X1281) + N(Z1281)</f>
        <v/>
      </c>
      <c r="T1281" s="11">
        <f>R1281+P1281-S1281</f>
        <v/>
      </c>
      <c r="U1281" s="11" t="inlineStr">
        <is>
          <t>是</t>
        </is>
      </c>
      <c r="V1281" s="11" t="n">
        <v>54</v>
      </c>
      <c r="W1281" s="11" t="inlineStr">
        <is>
          <t>否</t>
        </is>
      </c>
      <c r="X1281" s="11" t="inlineStr">
        <is>
          <t>-</t>
        </is>
      </c>
      <c r="Y1281" s="11" t="inlineStr">
        <is>
          <t>-</t>
        </is>
      </c>
      <c r="Z1281" s="11" t="n">
        <v>0</v>
      </c>
      <c r="AA1281" s="11" t="inlineStr">
        <is>
          <t>垫到60抽</t>
        </is>
      </c>
      <c r="AB1281" s="12">
        <f>AE1280</f>
        <v/>
      </c>
      <c r="AC1281" s="12" t="n">
        <v>0</v>
      </c>
      <c r="AD1281" s="12" t="n">
        <v>0</v>
      </c>
      <c r="AE1281" s="12">
        <f>AB1281+AC1281+AD1281</f>
        <v/>
      </c>
      <c r="AF1281" s="13">
        <f>AI1280</f>
        <v/>
      </c>
      <c r="AG1281" s="13" t="n">
        <v>0</v>
      </c>
      <c r="AH1281" s="13" t="n">
        <v>0</v>
      </c>
      <c r="AI1281" s="13">
        <f>AF1281+AG1281+AH1281</f>
        <v/>
      </c>
      <c r="AJ1281" s="14" t="n">
        <v>0</v>
      </c>
      <c r="AK1281" s="14" t="n">
        <v>0</v>
      </c>
      <c r="AL1281" s="14" t="n">
        <v>0</v>
      </c>
      <c r="AM1281" s="14">
        <f>AJ1281+AK1281+AL1281</f>
        <v/>
      </c>
      <c r="AN1281" s="14">
        <f>AN1280+AM1281</f>
        <v/>
      </c>
    </row>
    <row r="1282">
      <c r="A1282" s="8" t="n">
        <v>50</v>
      </c>
      <c r="B1282" s="8" t="n">
        <v>4</v>
      </c>
      <c r="C1282" s="8" t="n">
        <v>1</v>
      </c>
      <c r="D1282" s="8" t="inlineStr">
        <is>
          <t>版本免费+义相逢 + 月卡收益 [月卡续费-30元]</t>
        </is>
      </c>
      <c r="E1282" s="9">
        <f>K1281</f>
        <v/>
      </c>
      <c r="F1282" s="9" t="n">
        <v>1540</v>
      </c>
      <c r="G1282" s="9" t="n">
        <v>4800</v>
      </c>
      <c r="H1282" s="9" t="n">
        <v>0</v>
      </c>
      <c r="I1282" s="9" t="n">
        <v>0</v>
      </c>
      <c r="J1282" s="9" t="n">
        <v>0</v>
      </c>
      <c r="K1282" s="9">
        <f>E1282+F1282+G1282+H1282+I1282-J1282</f>
        <v/>
      </c>
      <c r="L1282" s="10">
        <f>Q1281</f>
        <v/>
      </c>
      <c r="M1282" s="10" t="n">
        <v>85</v>
      </c>
      <c r="N1282" s="10" t="n">
        <v>3</v>
      </c>
      <c r="O1282" s="10">
        <f>J1282/160</f>
        <v/>
      </c>
      <c r="P1282" s="10" t="n">
        <v>40</v>
      </c>
      <c r="Q1282" s="10">
        <f>L1282+M1282+N1282+O1282-P1282</f>
        <v/>
      </c>
      <c r="R1282" s="11">
        <f>T1281</f>
        <v/>
      </c>
      <c r="S1282" s="11">
        <f>N(V1282) + N(X1282) + N(Z1282)</f>
        <v/>
      </c>
      <c r="T1282" s="11">
        <f>R1282+P1282-S1282</f>
        <v/>
      </c>
      <c r="U1282" s="11" t="inlineStr">
        <is>
          <t>是</t>
        </is>
      </c>
      <c r="V1282" s="11" t="n">
        <v>48</v>
      </c>
      <c r="W1282" s="11" t="inlineStr">
        <is>
          <t>否</t>
        </is>
      </c>
      <c r="X1282" s="11" t="inlineStr">
        <is>
          <t>-</t>
        </is>
      </c>
      <c r="Y1282" s="11" t="inlineStr">
        <is>
          <t>-</t>
        </is>
      </c>
      <c r="Z1282" s="11" t="n">
        <v>0</v>
      </c>
      <c r="AA1282" s="11" t="inlineStr">
        <is>
          <t>无</t>
        </is>
      </c>
      <c r="AB1282" s="12">
        <f>AE1281</f>
        <v/>
      </c>
      <c r="AC1282" s="12" t="n">
        <v>4</v>
      </c>
      <c r="AD1282" s="12" t="n">
        <v>0</v>
      </c>
      <c r="AE1282" s="12">
        <f>AB1282+AC1282+AD1282</f>
        <v/>
      </c>
      <c r="AF1282" s="13">
        <f>AI1281</f>
        <v/>
      </c>
      <c r="AG1282" s="13" t="n">
        <v>0</v>
      </c>
      <c r="AH1282" s="13" t="n">
        <v>0</v>
      </c>
      <c r="AI1282" s="13">
        <f>AF1282+AG1282+AH1282</f>
        <v/>
      </c>
      <c r="AJ1282" s="14" t="n">
        <v>30</v>
      </c>
      <c r="AK1282" s="14" t="n">
        <v>50</v>
      </c>
      <c r="AL1282" s="14" t="n">
        <v>0</v>
      </c>
      <c r="AM1282" s="14">
        <f>AJ1282+AK1282+AL1282</f>
        <v/>
      </c>
      <c r="AN1282" s="14">
        <f>AN1281+AM1282</f>
        <v/>
      </c>
    </row>
    <row r="1283">
      <c r="A1283" s="8" t="n">
        <v>50</v>
      </c>
      <c r="B1283" s="8" t="n">
        <v>4</v>
      </c>
      <c r="C1283" s="8" t="n">
        <v>2</v>
      </c>
      <c r="D1283" s="8" t="inlineStr">
        <is>
          <t>月卡收益</t>
        </is>
      </c>
      <c r="E1283" s="9">
        <f>K1282</f>
        <v/>
      </c>
      <c r="F1283" s="9" t="n">
        <v>1540</v>
      </c>
      <c r="G1283" s="9" t="n">
        <v>0</v>
      </c>
      <c r="H1283" s="9" t="n">
        <v>0</v>
      </c>
      <c r="I1283" s="9" t="n">
        <v>0</v>
      </c>
      <c r="J1283" s="9" t="n">
        <v>20480</v>
      </c>
      <c r="K1283" s="9">
        <f>E1283+F1283+G1283+H1283+I1283-J1283</f>
        <v/>
      </c>
      <c r="L1283" s="10">
        <f>Q1282</f>
        <v/>
      </c>
      <c r="M1283" s="10" t="n">
        <v>0</v>
      </c>
      <c r="N1283" s="10" t="n">
        <v>21</v>
      </c>
      <c r="O1283" s="10">
        <f>J1283/160</f>
        <v/>
      </c>
      <c r="P1283" s="10" t="n">
        <v>200</v>
      </c>
      <c r="Q1283" s="10">
        <f>L1283+M1283+N1283+O1283-P1283</f>
        <v/>
      </c>
      <c r="R1283" s="11">
        <f>T1282</f>
        <v/>
      </c>
      <c r="S1283" s="11">
        <f>N(V1283) + N(X1283) + N(Z1283)</f>
        <v/>
      </c>
      <c r="T1283" s="11">
        <f>R1283+P1283-S1283</f>
        <v/>
      </c>
      <c r="U1283" s="11" t="inlineStr">
        <is>
          <t>是</t>
        </is>
      </c>
      <c r="V1283" s="11" t="n">
        <v>48</v>
      </c>
      <c r="W1283" s="11" t="inlineStr">
        <is>
          <t>是</t>
        </is>
      </c>
      <c r="X1283" s="11" t="n">
        <v>55</v>
      </c>
      <c r="Y1283" s="11" t="inlineStr">
        <is>
          <t>歪(51), UP(48)</t>
        </is>
      </c>
      <c r="Z1283" s="11" t="n">
        <v>99</v>
      </c>
      <c r="AA1283" s="11" t="inlineStr">
        <is>
          <t>冲刺200(动态100)</t>
        </is>
      </c>
      <c r="AB1283" s="12">
        <f>AE1282</f>
        <v/>
      </c>
      <c r="AC1283" s="12" t="n">
        <v>0</v>
      </c>
      <c r="AD1283" s="12" t="n">
        <v>1</v>
      </c>
      <c r="AE1283" s="12">
        <f>AB1283+AC1283+AD1283</f>
        <v/>
      </c>
      <c r="AF1283" s="13">
        <f>AI1282</f>
        <v/>
      </c>
      <c r="AG1283" s="13" t="n">
        <v>0</v>
      </c>
      <c r="AH1283" s="13" t="n">
        <v>5000</v>
      </c>
      <c r="AI1283" s="13">
        <f>AF1283+AG1283+AH1283</f>
        <v/>
      </c>
      <c r="AJ1283" s="14" t="n">
        <v>0</v>
      </c>
      <c r="AK1283" s="14" t="n">
        <v>0</v>
      </c>
      <c r="AL1283" s="14" t="n">
        <v>0</v>
      </c>
      <c r="AM1283" s="14">
        <f>AJ1283+AK1283+AL1283</f>
        <v/>
      </c>
      <c r="AN1283" s="14">
        <f>AN1282+AM1283</f>
        <v/>
      </c>
    </row>
    <row r="1284">
      <c r="A1284" s="8" t="n">
        <v>50</v>
      </c>
      <c r="B1284" s="8" t="n">
        <v>5</v>
      </c>
      <c r="C1284" s="8" t="n">
        <v>1</v>
      </c>
      <c r="D1284" s="8" t="inlineStr">
        <is>
          <t>版本免费+义相逢 + 月卡收益 [月卡续费-30元]</t>
        </is>
      </c>
      <c r="E1284" s="9">
        <f>K1283</f>
        <v/>
      </c>
      <c r="F1284" s="9" t="n">
        <v>1540</v>
      </c>
      <c r="G1284" s="9" t="n">
        <v>4800</v>
      </c>
      <c r="H1284" s="9" t="n">
        <v>0</v>
      </c>
      <c r="I1284" s="9" t="n">
        <v>0</v>
      </c>
      <c r="J1284" s="9" t="n">
        <v>0</v>
      </c>
      <c r="K1284" s="9">
        <f>E1284+F1284+G1284+H1284+I1284-J1284</f>
        <v/>
      </c>
      <c r="L1284" s="10">
        <f>Q1283</f>
        <v/>
      </c>
      <c r="M1284" s="10" t="n">
        <v>85</v>
      </c>
      <c r="N1284" s="10" t="n">
        <v>3</v>
      </c>
      <c r="O1284" s="10">
        <f>J1284/160</f>
        <v/>
      </c>
      <c r="P1284" s="10" t="n">
        <v>40</v>
      </c>
      <c r="Q1284" s="10">
        <f>L1284+M1284+N1284+O1284-P1284</f>
        <v/>
      </c>
      <c r="R1284" s="11">
        <f>T1283</f>
        <v/>
      </c>
      <c r="S1284" s="11">
        <f>N(V1284) + N(X1284) + N(Z1284)</f>
        <v/>
      </c>
      <c r="T1284" s="11">
        <f>R1284+P1284-S1284</f>
        <v/>
      </c>
      <c r="U1284" s="11" t="inlineStr">
        <is>
          <t>是</t>
        </is>
      </c>
      <c r="V1284" s="11" t="n">
        <v>41</v>
      </c>
      <c r="W1284" s="11" t="inlineStr">
        <is>
          <t>否</t>
        </is>
      </c>
      <c r="X1284" s="11" t="inlineStr">
        <is>
          <t>-</t>
        </is>
      </c>
      <c r="Y1284" s="11" t="inlineStr">
        <is>
          <t>-</t>
        </is>
      </c>
      <c r="Z1284" s="11" t="n">
        <v>0</v>
      </c>
      <c r="AA1284" s="11" t="inlineStr">
        <is>
          <t>无</t>
        </is>
      </c>
      <c r="AB1284" s="12">
        <f>AE1283</f>
        <v/>
      </c>
      <c r="AC1284" s="12" t="n">
        <v>4</v>
      </c>
      <c r="AD1284" s="12" t="n">
        <v>0</v>
      </c>
      <c r="AE1284" s="12">
        <f>AB1284+AC1284+AD1284</f>
        <v/>
      </c>
      <c r="AF1284" s="13">
        <f>AI1283</f>
        <v/>
      </c>
      <c r="AG1284" s="13" t="n">
        <v>0</v>
      </c>
      <c r="AH1284" s="13" t="n">
        <v>0</v>
      </c>
      <c r="AI1284" s="13">
        <f>AF1284+AG1284+AH1284</f>
        <v/>
      </c>
      <c r="AJ1284" s="14" t="n">
        <v>30</v>
      </c>
      <c r="AK1284" s="14" t="n">
        <v>50</v>
      </c>
      <c r="AL1284" s="14" t="n">
        <v>0</v>
      </c>
      <c r="AM1284" s="14">
        <f>AJ1284+AK1284+AL1284</f>
        <v/>
      </c>
      <c r="AN1284" s="14">
        <f>AN1283+AM1284</f>
        <v/>
      </c>
    </row>
    <row r="1285">
      <c r="A1285" s="8" t="n">
        <v>50</v>
      </c>
      <c r="B1285" s="8" t="n">
        <v>5</v>
      </c>
      <c r="C1285" s="8" t="n">
        <v>2</v>
      </c>
      <c r="D1285" s="8" t="inlineStr">
        <is>
          <t>月卡收益</t>
        </is>
      </c>
      <c r="E1285" s="9">
        <f>K1284</f>
        <v/>
      </c>
      <c r="F1285" s="9" t="n">
        <v>1540</v>
      </c>
      <c r="G1285" s="9" t="n">
        <v>0</v>
      </c>
      <c r="H1285" s="9" t="n">
        <v>0</v>
      </c>
      <c r="I1285" s="9" t="n">
        <v>0</v>
      </c>
      <c r="J1285" s="9" t="n">
        <v>6560</v>
      </c>
      <c r="K1285" s="9">
        <f>E1285+F1285+G1285+H1285+I1285-J1285</f>
        <v/>
      </c>
      <c r="L1285" s="10">
        <f>Q1284</f>
        <v/>
      </c>
      <c r="M1285" s="10" t="n">
        <v>0</v>
      </c>
      <c r="N1285" s="10" t="n">
        <v>11</v>
      </c>
      <c r="O1285" s="10">
        <f>J1285/160</f>
        <v/>
      </c>
      <c r="P1285" s="10" t="n">
        <v>100</v>
      </c>
      <c r="Q1285" s="10">
        <f>L1285+M1285+N1285+O1285-P1285</f>
        <v/>
      </c>
      <c r="R1285" s="11">
        <f>T1284</f>
        <v/>
      </c>
      <c r="S1285" s="11">
        <f>N(V1285) + N(X1285) + N(Z1285)</f>
        <v/>
      </c>
      <c r="T1285" s="11">
        <f>R1285+P1285-S1285</f>
        <v/>
      </c>
      <c r="U1285" s="11" t="inlineStr">
        <is>
          <t>是</t>
        </is>
      </c>
      <c r="V1285" s="11" t="n">
        <v>49</v>
      </c>
      <c r="W1285" s="11" t="inlineStr">
        <is>
          <t>是</t>
        </is>
      </c>
      <c r="X1285" s="11" t="n">
        <v>51</v>
      </c>
      <c r="Y1285" s="11" t="inlineStr">
        <is>
          <t>-</t>
        </is>
      </c>
      <c r="Z1285" s="11" t="n">
        <v>0</v>
      </c>
      <c r="AA1285" s="11" t="inlineStr">
        <is>
          <t>无</t>
        </is>
      </c>
      <c r="AB1285" s="12">
        <f>AE1284</f>
        <v/>
      </c>
      <c r="AC1285" s="12" t="n">
        <v>0</v>
      </c>
      <c r="AD1285" s="12" t="n">
        <v>0</v>
      </c>
      <c r="AE1285" s="12">
        <f>AB1285+AC1285+AD1285</f>
        <v/>
      </c>
      <c r="AF1285" s="13">
        <f>AI1284</f>
        <v/>
      </c>
      <c r="AG1285" s="13" t="n">
        <v>0</v>
      </c>
      <c r="AH1285" s="13" t="n">
        <v>0</v>
      </c>
      <c r="AI1285" s="13">
        <f>AF1285+AG1285+AH1285</f>
        <v/>
      </c>
      <c r="AJ1285" s="14" t="n">
        <v>0</v>
      </c>
      <c r="AK1285" s="14" t="n">
        <v>0</v>
      </c>
      <c r="AL1285" s="14" t="n">
        <v>0</v>
      </c>
      <c r="AM1285" s="14">
        <f>AJ1285+AK1285+AL1285</f>
        <v/>
      </c>
      <c r="AN1285" s="14">
        <f>AN1284+AM1285</f>
        <v/>
      </c>
    </row>
    <row r="1286">
      <c r="A1286" s="8" t="n">
        <v>50</v>
      </c>
      <c r="B1286" s="8" t="n">
        <v>6</v>
      </c>
      <c r="C1286" s="8" t="n">
        <v>1</v>
      </c>
      <c r="D1286" s="8" t="inlineStr">
        <is>
          <t>版本免费+义相逢 + 月卡收益 [月卡续费-30元]</t>
        </is>
      </c>
      <c r="E1286" s="9">
        <f>K1285</f>
        <v/>
      </c>
      <c r="F1286" s="9" t="n">
        <v>1540</v>
      </c>
      <c r="G1286" s="9" t="n">
        <v>4800</v>
      </c>
      <c r="H1286" s="9" t="n">
        <v>0</v>
      </c>
      <c r="I1286" s="9" t="n">
        <v>0</v>
      </c>
      <c r="J1286" s="9" t="n">
        <v>640</v>
      </c>
      <c r="K1286" s="9">
        <f>E1286+F1286+G1286+H1286+I1286-J1286</f>
        <v/>
      </c>
      <c r="L1286" s="10">
        <f>Q1285</f>
        <v/>
      </c>
      <c r="M1286" s="10" t="n">
        <v>85</v>
      </c>
      <c r="N1286" s="10" t="n">
        <v>11</v>
      </c>
      <c r="O1286" s="10">
        <f>J1286/160</f>
        <v/>
      </c>
      <c r="P1286" s="10" t="n">
        <v>100</v>
      </c>
      <c r="Q1286" s="10">
        <f>L1286+M1286+N1286+O1286-P1286</f>
        <v/>
      </c>
      <c r="R1286" s="11">
        <f>T1285</f>
        <v/>
      </c>
      <c r="S1286" s="11">
        <f>N(V1286) + N(X1286) + N(Z1286)</f>
        <v/>
      </c>
      <c r="T1286" s="11">
        <f>R1286+P1286-S1286</f>
        <v/>
      </c>
      <c r="U1286" s="11" t="inlineStr">
        <is>
          <t>是</t>
        </is>
      </c>
      <c r="V1286" s="11" t="n">
        <v>47</v>
      </c>
      <c r="W1286" s="11" t="inlineStr">
        <is>
          <t>是</t>
        </is>
      </c>
      <c r="X1286" s="11" t="n">
        <v>53</v>
      </c>
      <c r="Y1286" s="11" t="inlineStr">
        <is>
          <t>-</t>
        </is>
      </c>
      <c r="Z1286" s="11" t="n">
        <v>0</v>
      </c>
      <c r="AA1286" s="11" t="inlineStr">
        <is>
          <t>无</t>
        </is>
      </c>
      <c r="AB1286" s="12">
        <f>AE1285</f>
        <v/>
      </c>
      <c r="AC1286" s="12" t="n">
        <v>4</v>
      </c>
      <c r="AD1286" s="12" t="n">
        <v>0</v>
      </c>
      <c r="AE1286" s="12">
        <f>AB1286+AC1286+AD1286</f>
        <v/>
      </c>
      <c r="AF1286" s="13">
        <f>AI1285</f>
        <v/>
      </c>
      <c r="AG1286" s="13" t="n">
        <v>0</v>
      </c>
      <c r="AH1286" s="13" t="n">
        <v>0</v>
      </c>
      <c r="AI1286" s="13">
        <f>AF1286+AG1286+AH1286</f>
        <v/>
      </c>
      <c r="AJ1286" s="14" t="n">
        <v>30</v>
      </c>
      <c r="AK1286" s="14" t="n">
        <v>50</v>
      </c>
      <c r="AL1286" s="14" t="n">
        <v>0</v>
      </c>
      <c r="AM1286" s="14">
        <f>AJ1286+AK1286+AL1286</f>
        <v/>
      </c>
      <c r="AN1286" s="14">
        <f>AN1285+AM1286</f>
        <v/>
      </c>
    </row>
    <row r="1287">
      <c r="A1287" s="8" t="n">
        <v>50</v>
      </c>
      <c r="B1287" s="8" t="n">
        <v>6</v>
      </c>
      <c r="C1287" s="8" t="n">
        <v>2</v>
      </c>
      <c r="D1287" s="8" t="inlineStr">
        <is>
          <t>月卡收益</t>
        </is>
      </c>
      <c r="E1287" s="9">
        <f>K1286</f>
        <v/>
      </c>
      <c r="F1287" s="9" t="n">
        <v>1540</v>
      </c>
      <c r="G1287" s="9" t="n">
        <v>0</v>
      </c>
      <c r="H1287" s="9" t="n">
        <v>0</v>
      </c>
      <c r="I1287" s="9" t="n">
        <v>0</v>
      </c>
      <c r="J1287" s="9" t="n">
        <v>9120</v>
      </c>
      <c r="K1287" s="9">
        <f>E1287+F1287+G1287+H1287+I1287-J1287</f>
        <v/>
      </c>
      <c r="L1287" s="10">
        <f>Q1286</f>
        <v/>
      </c>
      <c r="M1287" s="10" t="n">
        <v>0</v>
      </c>
      <c r="N1287" s="10" t="n">
        <v>6</v>
      </c>
      <c r="O1287" s="10">
        <f>J1287/160</f>
        <v/>
      </c>
      <c r="P1287" s="10" t="n">
        <v>60</v>
      </c>
      <c r="Q1287" s="10">
        <f>L1287+M1287+N1287+O1287-P1287</f>
        <v/>
      </c>
      <c r="R1287" s="11">
        <f>T1286</f>
        <v/>
      </c>
      <c r="S1287" s="11">
        <f>N(V1287) + N(X1287) + N(Z1287)</f>
        <v/>
      </c>
      <c r="T1287" s="11">
        <f>R1287+P1287-S1287</f>
        <v/>
      </c>
      <c r="U1287" s="11" t="inlineStr">
        <is>
          <t>是</t>
        </is>
      </c>
      <c r="V1287" s="11" t="n">
        <v>46</v>
      </c>
      <c r="W1287" s="11" t="inlineStr">
        <is>
          <t>否</t>
        </is>
      </c>
      <c r="X1287" s="11" t="inlineStr">
        <is>
          <t>-</t>
        </is>
      </c>
      <c r="Y1287" s="11" t="inlineStr">
        <is>
          <t>-</t>
        </is>
      </c>
      <c r="Z1287" s="11" t="n">
        <v>0</v>
      </c>
      <c r="AA1287" s="11" t="inlineStr">
        <is>
          <t>垫到60抽</t>
        </is>
      </c>
      <c r="AB1287" s="12">
        <f>AE1286</f>
        <v/>
      </c>
      <c r="AC1287" s="12" t="n">
        <v>0</v>
      </c>
      <c r="AD1287" s="12" t="n">
        <v>0</v>
      </c>
      <c r="AE1287" s="12">
        <f>AB1287+AC1287+AD1287</f>
        <v/>
      </c>
      <c r="AF1287" s="13">
        <f>AI1286</f>
        <v/>
      </c>
      <c r="AG1287" s="13" t="n">
        <v>0</v>
      </c>
      <c r="AH1287" s="13" t="n">
        <v>0</v>
      </c>
      <c r="AI1287" s="13">
        <f>AF1287+AG1287+AH1287</f>
        <v/>
      </c>
      <c r="AJ1287" s="14" t="n">
        <v>0</v>
      </c>
      <c r="AK1287" s="14" t="n">
        <v>0</v>
      </c>
      <c r="AL1287" s="14" t="n">
        <v>0</v>
      </c>
      <c r="AM1287" s="14">
        <f>AJ1287+AK1287+AL1287</f>
        <v/>
      </c>
      <c r="AN1287" s="14">
        <f>AN1286+AM1287</f>
        <v/>
      </c>
    </row>
    <row r="1288">
      <c r="A1288" s="8" t="n">
        <v>50</v>
      </c>
      <c r="B1288" s="8" t="n">
        <v>7</v>
      </c>
      <c r="C1288" s="8" t="n">
        <v>1</v>
      </c>
      <c r="D1288" s="8" t="inlineStr">
        <is>
          <t>版本免费+义相逢 + 月卡收益 [月卡续费-30元]</t>
        </is>
      </c>
      <c r="E1288" s="9">
        <f>K1287</f>
        <v/>
      </c>
      <c r="F1288" s="9" t="n">
        <v>1540</v>
      </c>
      <c r="G1288" s="9" t="n">
        <v>4800</v>
      </c>
      <c r="H1288" s="9" t="n">
        <v>0</v>
      </c>
      <c r="I1288" s="9" t="n">
        <v>0</v>
      </c>
      <c r="J1288" s="9" t="n">
        <v>0</v>
      </c>
      <c r="K1288" s="9">
        <f>E1288+F1288+G1288+H1288+I1288-J1288</f>
        <v/>
      </c>
      <c r="L1288" s="10">
        <f>Q1287</f>
        <v/>
      </c>
      <c r="M1288" s="10" t="n">
        <v>85</v>
      </c>
      <c r="N1288" s="10" t="n">
        <v>11</v>
      </c>
      <c r="O1288" s="10">
        <f>J1288/160</f>
        <v/>
      </c>
      <c r="P1288" s="10" t="n">
        <v>90</v>
      </c>
      <c r="Q1288" s="10">
        <f>L1288+M1288+N1288+O1288-P1288</f>
        <v/>
      </c>
      <c r="R1288" s="11">
        <f>T1287</f>
        <v/>
      </c>
      <c r="S1288" s="11">
        <f>N(V1288) + N(X1288) + N(Z1288)</f>
        <v/>
      </c>
      <c r="T1288" s="11">
        <f>R1288+P1288-S1288</f>
        <v/>
      </c>
      <c r="U1288" s="11" t="inlineStr">
        <is>
          <t>是</t>
        </is>
      </c>
      <c r="V1288" s="11" t="n">
        <v>48</v>
      </c>
      <c r="W1288" s="11" t="inlineStr">
        <is>
          <t>是</t>
        </is>
      </c>
      <c r="X1288" s="11" t="n">
        <v>50</v>
      </c>
      <c r="Y1288" s="11" t="inlineStr">
        <is>
          <t>-</t>
        </is>
      </c>
      <c r="Z1288" s="11" t="n">
        <v>0</v>
      </c>
      <c r="AA1288" s="11" t="inlineStr">
        <is>
          <t>垫到90抽</t>
        </is>
      </c>
      <c r="AB1288" s="12">
        <f>AE1287</f>
        <v/>
      </c>
      <c r="AC1288" s="12" t="n">
        <v>4</v>
      </c>
      <c r="AD1288" s="12" t="n">
        <v>0</v>
      </c>
      <c r="AE1288" s="12">
        <f>AB1288+AC1288+AD1288</f>
        <v/>
      </c>
      <c r="AF1288" s="13">
        <f>AI1287</f>
        <v/>
      </c>
      <c r="AG1288" s="13" t="n">
        <v>0</v>
      </c>
      <c r="AH1288" s="13" t="n">
        <v>0</v>
      </c>
      <c r="AI1288" s="13">
        <f>AF1288+AG1288+AH1288</f>
        <v/>
      </c>
      <c r="AJ1288" s="14" t="n">
        <v>30</v>
      </c>
      <c r="AK1288" s="14" t="n">
        <v>50</v>
      </c>
      <c r="AL1288" s="14" t="n">
        <v>0</v>
      </c>
      <c r="AM1288" s="14">
        <f>AJ1288+AK1288+AL1288</f>
        <v/>
      </c>
      <c r="AN1288" s="14">
        <f>AN1287+AM1288</f>
        <v/>
      </c>
    </row>
    <row r="1289">
      <c r="A1289" s="8" t="n">
        <v>50</v>
      </c>
      <c r="B1289" s="8" t="n">
        <v>7</v>
      </c>
      <c r="C1289" s="8" t="n">
        <v>2</v>
      </c>
      <c r="D1289" s="8" t="inlineStr">
        <is>
          <t>月卡收益</t>
        </is>
      </c>
      <c r="E1289" s="9">
        <f>K1288</f>
        <v/>
      </c>
      <c r="F1289" s="9" t="n">
        <v>1540</v>
      </c>
      <c r="G1289" s="9" t="n">
        <v>0</v>
      </c>
      <c r="H1289" s="9" t="n">
        <v>0</v>
      </c>
      <c r="I1289" s="9" t="n">
        <v>0</v>
      </c>
      <c r="J1289" s="9" t="n">
        <v>7680</v>
      </c>
      <c r="K1289" s="9">
        <f>E1289+F1289+G1289+H1289+I1289-J1289</f>
        <v/>
      </c>
      <c r="L1289" s="10">
        <f>Q1288</f>
        <v/>
      </c>
      <c r="M1289" s="10" t="n">
        <v>0</v>
      </c>
      <c r="N1289" s="10" t="n">
        <v>6</v>
      </c>
      <c r="O1289" s="10">
        <f>J1289/160</f>
        <v/>
      </c>
      <c r="P1289" s="10" t="n">
        <v>60</v>
      </c>
      <c r="Q1289" s="10">
        <f>L1289+M1289+N1289+O1289-P1289</f>
        <v/>
      </c>
      <c r="R1289" s="11">
        <f>T1288</f>
        <v/>
      </c>
      <c r="S1289" s="11">
        <f>N(V1289) + N(X1289) + N(Z1289)</f>
        <v/>
      </c>
      <c r="T1289" s="11">
        <f>R1289+P1289-S1289</f>
        <v/>
      </c>
      <c r="U1289" s="11" t="inlineStr">
        <is>
          <t>是</t>
        </is>
      </c>
      <c r="V1289" s="11" t="n">
        <v>53</v>
      </c>
      <c r="W1289" s="11" t="inlineStr">
        <is>
          <t>否</t>
        </is>
      </c>
      <c r="X1289" s="11" t="inlineStr">
        <is>
          <t>-</t>
        </is>
      </c>
      <c r="Y1289" s="11" t="inlineStr">
        <is>
          <t>-</t>
        </is>
      </c>
      <c r="Z1289" s="11" t="n">
        <v>0</v>
      </c>
      <c r="AA1289" s="11" t="inlineStr">
        <is>
          <t>垫到60抽</t>
        </is>
      </c>
      <c r="AB1289" s="12">
        <f>AE1288</f>
        <v/>
      </c>
      <c r="AC1289" s="12" t="n">
        <v>0</v>
      </c>
      <c r="AD1289" s="12" t="n">
        <v>0</v>
      </c>
      <c r="AE1289" s="12">
        <f>AB1289+AC1289+AD1289</f>
        <v/>
      </c>
      <c r="AF1289" s="13">
        <f>AI1288</f>
        <v/>
      </c>
      <c r="AG1289" s="13" t="n">
        <v>0</v>
      </c>
      <c r="AH1289" s="13" t="n">
        <v>0</v>
      </c>
      <c r="AI1289" s="13">
        <f>AF1289+AG1289+AH1289</f>
        <v/>
      </c>
      <c r="AJ1289" s="14" t="n">
        <v>0</v>
      </c>
      <c r="AK1289" s="14" t="n">
        <v>0</v>
      </c>
      <c r="AL1289" s="14" t="n">
        <v>0</v>
      </c>
      <c r="AM1289" s="14">
        <f>AJ1289+AK1289+AL1289</f>
        <v/>
      </c>
      <c r="AN1289" s="14">
        <f>AN1288+AM1289</f>
        <v/>
      </c>
    </row>
    <row r="1290">
      <c r="A1290" s="8" t="n">
        <v>50</v>
      </c>
      <c r="B1290" s="8" t="n">
        <v>8</v>
      </c>
      <c r="C1290" s="8" t="n">
        <v>1</v>
      </c>
      <c r="D1290" s="8" t="inlineStr">
        <is>
          <t>版本免费+义相逢 + 月卡收益 [月卡续费-30元]</t>
        </is>
      </c>
      <c r="E1290" s="9">
        <f>K1289</f>
        <v/>
      </c>
      <c r="F1290" s="9" t="n">
        <v>1540</v>
      </c>
      <c r="G1290" s="9" t="n">
        <v>4800</v>
      </c>
      <c r="H1290" s="9" t="n">
        <v>0</v>
      </c>
      <c r="I1290" s="9" t="n">
        <v>0</v>
      </c>
      <c r="J1290" s="9" t="n">
        <v>0</v>
      </c>
      <c r="K1290" s="9">
        <f>E1290+F1290+G1290+H1290+I1290-J1290</f>
        <v/>
      </c>
      <c r="L1290" s="10">
        <f>Q1289</f>
        <v/>
      </c>
      <c r="M1290" s="10" t="n">
        <v>85</v>
      </c>
      <c r="N1290" s="10" t="n">
        <v>11</v>
      </c>
      <c r="O1290" s="10">
        <f>J1290/160</f>
        <v/>
      </c>
      <c r="P1290" s="10" t="n">
        <v>90</v>
      </c>
      <c r="Q1290" s="10">
        <f>L1290+M1290+N1290+O1290-P1290</f>
        <v/>
      </c>
      <c r="R1290" s="11">
        <f>T1289</f>
        <v/>
      </c>
      <c r="S1290" s="11">
        <f>N(V1290) + N(X1290) + N(Z1290)</f>
        <v/>
      </c>
      <c r="T1290" s="11">
        <f>R1290+P1290-S1290</f>
        <v/>
      </c>
      <c r="U1290" s="11" t="inlineStr">
        <is>
          <t>是</t>
        </is>
      </c>
      <c r="V1290" s="11" t="n">
        <v>46</v>
      </c>
      <c r="W1290" s="11" t="inlineStr">
        <is>
          <t>是</t>
        </is>
      </c>
      <c r="X1290" s="11" t="n">
        <v>53</v>
      </c>
      <c r="Y1290" s="11" t="inlineStr">
        <is>
          <t>-</t>
        </is>
      </c>
      <c r="Z1290" s="11" t="n">
        <v>0</v>
      </c>
      <c r="AA1290" s="11" t="inlineStr">
        <is>
          <t>无</t>
        </is>
      </c>
      <c r="AB1290" s="12">
        <f>AE1289</f>
        <v/>
      </c>
      <c r="AC1290" s="12" t="n">
        <v>4</v>
      </c>
      <c r="AD1290" s="12" t="n">
        <v>0</v>
      </c>
      <c r="AE1290" s="12">
        <f>AB1290+AC1290+AD1290</f>
        <v/>
      </c>
      <c r="AF1290" s="13">
        <f>AI1289</f>
        <v/>
      </c>
      <c r="AG1290" s="13" t="n">
        <v>0</v>
      </c>
      <c r="AH1290" s="13" t="n">
        <v>0</v>
      </c>
      <c r="AI1290" s="13">
        <f>AF1290+AG1290+AH1290</f>
        <v/>
      </c>
      <c r="AJ1290" s="14" t="n">
        <v>30</v>
      </c>
      <c r="AK1290" s="14" t="n">
        <v>50</v>
      </c>
      <c r="AL1290" s="14" t="n">
        <v>0</v>
      </c>
      <c r="AM1290" s="14">
        <f>AJ1290+AK1290+AL1290</f>
        <v/>
      </c>
      <c r="AN1290" s="14">
        <f>AN1289+AM1290</f>
        <v/>
      </c>
    </row>
    <row r="1291">
      <c r="A1291" s="8" t="n">
        <v>50</v>
      </c>
      <c r="B1291" s="8" t="n">
        <v>8</v>
      </c>
      <c r="C1291" s="8" t="n">
        <v>2</v>
      </c>
      <c r="D1291" s="8" t="inlineStr">
        <is>
          <t>月卡收益</t>
        </is>
      </c>
      <c r="E1291" s="9">
        <f>K1290</f>
        <v/>
      </c>
      <c r="F1291" s="9" t="n">
        <v>1540</v>
      </c>
      <c r="G1291" s="9" t="n">
        <v>0</v>
      </c>
      <c r="H1291" s="9" t="n">
        <v>0</v>
      </c>
      <c r="I1291" s="9" t="n">
        <v>0</v>
      </c>
      <c r="J1291" s="9" t="n">
        <v>7680</v>
      </c>
      <c r="K1291" s="9">
        <f>E1291+F1291+G1291+H1291+I1291-J1291</f>
        <v/>
      </c>
      <c r="L1291" s="10">
        <f>Q1290</f>
        <v/>
      </c>
      <c r="M1291" s="10" t="n">
        <v>0</v>
      </c>
      <c r="N1291" s="10" t="n">
        <v>6</v>
      </c>
      <c r="O1291" s="10">
        <f>J1291/160</f>
        <v/>
      </c>
      <c r="P1291" s="10" t="n">
        <v>60</v>
      </c>
      <c r="Q1291" s="10">
        <f>L1291+M1291+N1291+O1291-P1291</f>
        <v/>
      </c>
      <c r="R1291" s="11">
        <f>T1290</f>
        <v/>
      </c>
      <c r="S1291" s="11">
        <f>N(V1291) + N(X1291) + N(Z1291)</f>
        <v/>
      </c>
      <c r="T1291" s="11">
        <f>R1291+P1291-S1291</f>
        <v/>
      </c>
      <c r="U1291" s="11" t="inlineStr">
        <is>
          <t>是</t>
        </is>
      </c>
      <c r="V1291" s="11" t="n">
        <v>51</v>
      </c>
      <c r="W1291" s="11" t="inlineStr">
        <is>
          <t>否</t>
        </is>
      </c>
      <c r="X1291" s="11" t="inlineStr">
        <is>
          <t>-</t>
        </is>
      </c>
      <c r="Y1291" s="11" t="inlineStr">
        <is>
          <t>-</t>
        </is>
      </c>
      <c r="Z1291" s="11" t="n">
        <v>0</v>
      </c>
      <c r="AA1291" s="11" t="inlineStr">
        <is>
          <t>垫到60抽</t>
        </is>
      </c>
      <c r="AB1291" s="12">
        <f>AE1290</f>
        <v/>
      </c>
      <c r="AC1291" s="12" t="n">
        <v>0</v>
      </c>
      <c r="AD1291" s="12" t="n">
        <v>0</v>
      </c>
      <c r="AE1291" s="12">
        <f>AB1291+AC1291+AD1291</f>
        <v/>
      </c>
      <c r="AF1291" s="13">
        <f>AI1290</f>
        <v/>
      </c>
      <c r="AG1291" s="13" t="n">
        <v>0</v>
      </c>
      <c r="AH1291" s="13" t="n">
        <v>0</v>
      </c>
      <c r="AI1291" s="13">
        <f>AF1291+AG1291+AH1291</f>
        <v/>
      </c>
      <c r="AJ1291" s="14" t="n">
        <v>0</v>
      </c>
      <c r="AK1291" s="14" t="n">
        <v>0</v>
      </c>
      <c r="AL1291" s="14" t="n">
        <v>0</v>
      </c>
      <c r="AM1291" s="14">
        <f>AJ1291+AK1291+AL1291</f>
        <v/>
      </c>
      <c r="AN1291" s="14">
        <f>AN1290+AM1291</f>
        <v/>
      </c>
    </row>
    <row r="1292">
      <c r="A1292" s="8" t="n">
        <v>50</v>
      </c>
      <c r="B1292" s="8" t="n">
        <v>9</v>
      </c>
      <c r="C1292" s="8" t="n">
        <v>1</v>
      </c>
      <c r="D1292" s="8" t="inlineStr">
        <is>
          <t>版本免费+义相逢 + 月卡收益</t>
        </is>
      </c>
      <c r="E1292" s="9">
        <f>K1291</f>
        <v/>
      </c>
      <c r="F1292" s="9" t="n">
        <v>1540</v>
      </c>
      <c r="G1292" s="9" t="n">
        <v>4800</v>
      </c>
      <c r="H1292" s="9" t="n">
        <v>0</v>
      </c>
      <c r="I1292" s="9" t="n">
        <v>0</v>
      </c>
      <c r="J1292" s="9" t="n">
        <v>0</v>
      </c>
      <c r="K1292" s="9">
        <f>E1292+F1292+G1292+H1292+I1292-J1292</f>
        <v/>
      </c>
      <c r="L1292" s="10">
        <f>Q1291</f>
        <v/>
      </c>
      <c r="M1292" s="10" t="n">
        <v>85</v>
      </c>
      <c r="N1292" s="10" t="n">
        <v>3</v>
      </c>
      <c r="O1292" s="10">
        <f>J1292/160</f>
        <v/>
      </c>
      <c r="P1292" s="10" t="n">
        <v>40</v>
      </c>
      <c r="Q1292" s="10">
        <f>L1292+M1292+N1292+O1292-P1292</f>
        <v/>
      </c>
      <c r="R1292" s="11">
        <f>T1291</f>
        <v/>
      </c>
      <c r="S1292" s="11">
        <f>N(V1292) + N(X1292) + N(Z1292)</f>
        <v/>
      </c>
      <c r="T1292" s="11">
        <f>R1292+P1292-S1292</f>
        <v/>
      </c>
      <c r="U1292" s="11" t="inlineStr">
        <is>
          <t>是</t>
        </is>
      </c>
      <c r="V1292" s="11" t="n">
        <v>57</v>
      </c>
      <c r="W1292" s="11" t="inlineStr">
        <is>
          <t>否</t>
        </is>
      </c>
      <c r="X1292" s="11" t="inlineStr">
        <is>
          <t>-</t>
        </is>
      </c>
      <c r="Y1292" s="11" t="inlineStr">
        <is>
          <t>-</t>
        </is>
      </c>
      <c r="Z1292" s="11" t="n">
        <v>0</v>
      </c>
      <c r="AA1292" s="11" t="inlineStr">
        <is>
          <t>无</t>
        </is>
      </c>
      <c r="AB1292" s="12">
        <f>AE1291</f>
        <v/>
      </c>
      <c r="AC1292" s="12" t="n">
        <v>4</v>
      </c>
      <c r="AD1292" s="12" t="n">
        <v>0</v>
      </c>
      <c r="AE1292" s="12">
        <f>AB1292+AC1292+AD1292</f>
        <v/>
      </c>
      <c r="AF1292" s="13">
        <f>AI1291</f>
        <v/>
      </c>
      <c r="AG1292" s="13" t="n">
        <v>0</v>
      </c>
      <c r="AH1292" s="13" t="n">
        <v>0</v>
      </c>
      <c r="AI1292" s="13">
        <f>AF1292+AG1292+AH1292</f>
        <v/>
      </c>
      <c r="AJ1292" s="14" t="n">
        <v>0</v>
      </c>
      <c r="AK1292" s="14" t="n">
        <v>50</v>
      </c>
      <c r="AL1292" s="14" t="n">
        <v>0</v>
      </c>
      <c r="AM1292" s="14">
        <f>AJ1292+AK1292+AL1292</f>
        <v/>
      </c>
      <c r="AN1292" s="14">
        <f>AN1291+AM1292</f>
        <v/>
      </c>
    </row>
    <row r="1293">
      <c r="A1293" s="8" t="n">
        <v>50</v>
      </c>
      <c r="B1293" s="8" t="n">
        <v>9</v>
      </c>
      <c r="C1293" s="8" t="n">
        <v>2</v>
      </c>
      <c r="D1293" s="8" t="inlineStr">
        <is>
          <t>月卡收益 [月卡续费-30元]</t>
        </is>
      </c>
      <c r="E1293" s="9">
        <f>K1292</f>
        <v/>
      </c>
      <c r="F1293" s="9" t="n">
        <v>1540</v>
      </c>
      <c r="G1293" s="9" t="n">
        <v>0</v>
      </c>
      <c r="H1293" s="9" t="n">
        <v>0</v>
      </c>
      <c r="I1293" s="9" t="n">
        <v>0</v>
      </c>
      <c r="J1293" s="9" t="n">
        <v>6080</v>
      </c>
      <c r="K1293" s="9">
        <f>E1293+F1293+G1293+H1293+I1293-J1293</f>
        <v/>
      </c>
      <c r="L1293" s="10">
        <f>Q1292</f>
        <v/>
      </c>
      <c r="M1293" s="10" t="n">
        <v>0</v>
      </c>
      <c r="N1293" s="10" t="n">
        <v>11</v>
      </c>
      <c r="O1293" s="10">
        <f>J1293/160</f>
        <v/>
      </c>
      <c r="P1293" s="10" t="n">
        <v>100</v>
      </c>
      <c r="Q1293" s="10">
        <f>L1293+M1293+N1293+O1293-P1293</f>
        <v/>
      </c>
      <c r="R1293" s="11">
        <f>T1292</f>
        <v/>
      </c>
      <c r="S1293" s="11">
        <f>N(V1293) + N(X1293) + N(Z1293)</f>
        <v/>
      </c>
      <c r="T1293" s="11">
        <f>R1293+P1293-S1293</f>
        <v/>
      </c>
      <c r="U1293" s="11" t="inlineStr">
        <is>
          <t>是</t>
        </is>
      </c>
      <c r="V1293" s="11" t="n">
        <v>49</v>
      </c>
      <c r="W1293" s="11" t="inlineStr">
        <is>
          <t>是</t>
        </is>
      </c>
      <c r="X1293" s="11" t="n">
        <v>48</v>
      </c>
      <c r="Y1293" s="11" t="inlineStr">
        <is>
          <t>-</t>
        </is>
      </c>
      <c r="Z1293" s="11" t="n">
        <v>0</v>
      </c>
      <c r="AA1293" s="11" t="inlineStr">
        <is>
          <t>无</t>
        </is>
      </c>
      <c r="AB1293" s="12">
        <f>AE1292</f>
        <v/>
      </c>
      <c r="AC1293" s="12" t="n">
        <v>0</v>
      </c>
      <c r="AD1293" s="12" t="n">
        <v>0</v>
      </c>
      <c r="AE1293" s="12">
        <f>AB1293+AC1293+AD1293</f>
        <v/>
      </c>
      <c r="AF1293" s="13">
        <f>AI1292</f>
        <v/>
      </c>
      <c r="AG1293" s="13" t="n">
        <v>0</v>
      </c>
      <c r="AH1293" s="13" t="n">
        <v>0</v>
      </c>
      <c r="AI1293" s="13">
        <f>AF1293+AG1293+AH1293</f>
        <v/>
      </c>
      <c r="AJ1293" s="14" t="n">
        <v>30</v>
      </c>
      <c r="AK1293" s="14" t="n">
        <v>0</v>
      </c>
      <c r="AL1293" s="14" t="n">
        <v>0</v>
      </c>
      <c r="AM1293" s="14">
        <f>AJ1293+AK1293+AL1293</f>
        <v/>
      </c>
      <c r="AN1293" s="14">
        <f>AN1292+AM1293</f>
        <v/>
      </c>
    </row>
    <row r="1294">
      <c r="A1294" s="8" t="n">
        <v>50</v>
      </c>
      <c r="B1294" s="8" t="n">
        <v>10</v>
      </c>
      <c r="C1294" s="8" t="n">
        <v>1</v>
      </c>
      <c r="D1294" s="8" t="inlineStr">
        <is>
          <t>版本免费+义相逢 + 月卡收益</t>
        </is>
      </c>
      <c r="E1294" s="9">
        <f>K1293</f>
        <v/>
      </c>
      <c r="F1294" s="9" t="n">
        <v>1540</v>
      </c>
      <c r="G1294" s="9" t="n">
        <v>4800</v>
      </c>
      <c r="H1294" s="9" t="n">
        <v>0</v>
      </c>
      <c r="I1294" s="9" t="n">
        <v>0</v>
      </c>
      <c r="J1294" s="9" t="n">
        <v>0</v>
      </c>
      <c r="K1294" s="9">
        <f>E1294+F1294+G1294+H1294+I1294-J1294</f>
        <v/>
      </c>
      <c r="L1294" s="10">
        <f>Q1293</f>
        <v/>
      </c>
      <c r="M1294" s="10" t="n">
        <v>85</v>
      </c>
      <c r="N1294" s="10" t="n">
        <v>1</v>
      </c>
      <c r="O1294" s="10">
        <f>J1294/160</f>
        <v/>
      </c>
      <c r="P1294" s="10" t="n">
        <v>10</v>
      </c>
      <c r="Q1294" s="10">
        <f>L1294+M1294+N1294+O1294-P1294</f>
        <v/>
      </c>
      <c r="R1294" s="11">
        <f>T1293</f>
        <v/>
      </c>
      <c r="S1294" s="11">
        <f>N(V1294) + N(X1294) + N(Z1294)</f>
        <v/>
      </c>
      <c r="T1294" s="11">
        <f>R1294+P1294-S1294</f>
        <v/>
      </c>
      <c r="U1294" s="11" t="inlineStr">
        <is>
          <t>是</t>
        </is>
      </c>
      <c r="V1294" s="11" t="n">
        <v>8</v>
      </c>
      <c r="W1294" s="11" t="inlineStr">
        <is>
          <t>是</t>
        </is>
      </c>
      <c r="X1294" s="11" t="n">
        <v>6</v>
      </c>
      <c r="Y1294" s="11" t="inlineStr">
        <is>
          <t>-</t>
        </is>
      </c>
      <c r="Z1294" s="11" t="n">
        <v>0</v>
      </c>
      <c r="AA1294" s="11" t="inlineStr">
        <is>
          <t>无</t>
        </is>
      </c>
      <c r="AB1294" s="12">
        <f>AE1293</f>
        <v/>
      </c>
      <c r="AC1294" s="12" t="n">
        <v>4</v>
      </c>
      <c r="AD1294" s="12" t="n">
        <v>0</v>
      </c>
      <c r="AE1294" s="12">
        <f>AB1294+AC1294+AD1294</f>
        <v/>
      </c>
      <c r="AF1294" s="13">
        <f>AI1293</f>
        <v/>
      </c>
      <c r="AG1294" s="13" t="n">
        <v>0</v>
      </c>
      <c r="AH1294" s="13" t="n">
        <v>0</v>
      </c>
      <c r="AI1294" s="13">
        <f>AF1294+AG1294+AH1294</f>
        <v/>
      </c>
      <c r="AJ1294" s="14" t="n">
        <v>0</v>
      </c>
      <c r="AK1294" s="14" t="n">
        <v>50</v>
      </c>
      <c r="AL1294" s="14" t="n">
        <v>0</v>
      </c>
      <c r="AM1294" s="14">
        <f>AJ1294+AK1294+AL1294</f>
        <v/>
      </c>
      <c r="AN1294" s="14">
        <f>AN1293+AM1294</f>
        <v/>
      </c>
    </row>
    <row r="1295">
      <c r="A1295" s="8" t="n">
        <v>50</v>
      </c>
      <c r="B1295" s="8" t="n">
        <v>10</v>
      </c>
      <c r="C1295" s="8" t="n">
        <v>2</v>
      </c>
      <c r="D1295" s="8" t="inlineStr">
        <is>
          <t>月卡收益 [月卡续费-30元]</t>
        </is>
      </c>
      <c r="E1295" s="9">
        <f>K1294</f>
        <v/>
      </c>
      <c r="F1295" s="9" t="n">
        <v>1540</v>
      </c>
      <c r="G1295" s="9" t="n">
        <v>0</v>
      </c>
      <c r="H1295" s="9" t="n">
        <v>0</v>
      </c>
      <c r="I1295" s="9" t="n">
        <v>0</v>
      </c>
      <c r="J1295" s="9" t="n">
        <v>0</v>
      </c>
      <c r="K1295" s="9">
        <f>E1295+F1295+G1295+H1295+I1295-J1295</f>
        <v/>
      </c>
      <c r="L1295" s="10">
        <f>Q1294</f>
        <v/>
      </c>
      <c r="M1295" s="10" t="n">
        <v>0</v>
      </c>
      <c r="N1295" s="10" t="n">
        <v>6</v>
      </c>
      <c r="O1295" s="10">
        <f>J1295/160</f>
        <v/>
      </c>
      <c r="P1295" s="10" t="n">
        <v>70</v>
      </c>
      <c r="Q1295" s="10">
        <f>L1295+M1295+N1295+O1295-P1295</f>
        <v/>
      </c>
      <c r="R1295" s="11">
        <f>T1294</f>
        <v/>
      </c>
      <c r="S1295" s="11">
        <f>N(V1295) + N(X1295) + N(Z1295)</f>
        <v/>
      </c>
      <c r="T1295" s="11">
        <f>R1295+P1295-S1295</f>
        <v/>
      </c>
      <c r="U1295" s="11" t="inlineStr">
        <is>
          <t>是</t>
        </is>
      </c>
      <c r="V1295" s="11" t="n">
        <v>15</v>
      </c>
      <c r="W1295" s="11" t="inlineStr">
        <is>
          <t>是</t>
        </is>
      </c>
      <c r="X1295" s="11" t="n">
        <v>51</v>
      </c>
      <c r="Y1295" s="11" t="inlineStr">
        <is>
          <t>-</t>
        </is>
      </c>
      <c r="Z1295" s="11" t="n">
        <v>0</v>
      </c>
      <c r="AA1295" s="11" t="inlineStr">
        <is>
          <t>无</t>
        </is>
      </c>
      <c r="AB1295" s="12">
        <f>AE1294</f>
        <v/>
      </c>
      <c r="AC1295" s="12" t="n">
        <v>0</v>
      </c>
      <c r="AD1295" s="12" t="n">
        <v>0</v>
      </c>
      <c r="AE1295" s="12">
        <f>AB1295+AC1295+AD1295</f>
        <v/>
      </c>
      <c r="AF1295" s="13">
        <f>AI1294</f>
        <v/>
      </c>
      <c r="AG1295" s="13" t="n">
        <v>0</v>
      </c>
      <c r="AH1295" s="13" t="n">
        <v>0</v>
      </c>
      <c r="AI1295" s="13">
        <f>AF1295+AG1295+AH1295</f>
        <v/>
      </c>
      <c r="AJ1295" s="14" t="n">
        <v>30</v>
      </c>
      <c r="AK1295" s="14" t="n">
        <v>0</v>
      </c>
      <c r="AL1295" s="14" t="n">
        <v>0</v>
      </c>
      <c r="AM1295" s="14">
        <f>AJ1295+AK1295+AL1295</f>
        <v/>
      </c>
      <c r="AN1295" s="14">
        <f>AN1294+AM1295</f>
        <v/>
      </c>
    </row>
    <row r="1296">
      <c r="A1296" s="8" t="n">
        <v>50</v>
      </c>
      <c r="B1296" s="8" t="n">
        <v>11</v>
      </c>
      <c r="C1296" s="8" t="n">
        <v>1</v>
      </c>
      <c r="D1296" s="8" t="inlineStr">
        <is>
          <t>版本免费+义相逢 + 月卡收益</t>
        </is>
      </c>
      <c r="E1296" s="9">
        <f>K1295</f>
        <v/>
      </c>
      <c r="F1296" s="9" t="n">
        <v>1540</v>
      </c>
      <c r="G1296" s="9" t="n">
        <v>4800</v>
      </c>
      <c r="H1296" s="9" t="n">
        <v>0</v>
      </c>
      <c r="I1296" s="9" t="n">
        <v>0</v>
      </c>
      <c r="J1296" s="9" t="n">
        <v>0</v>
      </c>
      <c r="K1296" s="9">
        <f>E1296+F1296+G1296+H1296+I1296-J1296</f>
        <v/>
      </c>
      <c r="L1296" s="10">
        <f>Q1295</f>
        <v/>
      </c>
      <c r="M1296" s="10" t="n">
        <v>85</v>
      </c>
      <c r="N1296" s="10" t="n">
        <v>6</v>
      </c>
      <c r="O1296" s="10">
        <f>J1296/160</f>
        <v/>
      </c>
      <c r="P1296" s="10" t="n">
        <v>60</v>
      </c>
      <c r="Q1296" s="10">
        <f>L1296+M1296+N1296+O1296-P1296</f>
        <v/>
      </c>
      <c r="R1296" s="11">
        <f>T1295</f>
        <v/>
      </c>
      <c r="S1296" s="11">
        <f>N(V1296) + N(X1296) + N(Z1296)</f>
        <v/>
      </c>
      <c r="T1296" s="11">
        <f>R1296+P1296-S1296</f>
        <v/>
      </c>
      <c r="U1296" s="11" t="inlineStr">
        <is>
          <t>是</t>
        </is>
      </c>
      <c r="V1296" s="11" t="n">
        <v>51</v>
      </c>
      <c r="W1296" s="11" t="inlineStr">
        <is>
          <t>否</t>
        </is>
      </c>
      <c r="X1296" s="11" t="inlineStr">
        <is>
          <t>-</t>
        </is>
      </c>
      <c r="Y1296" s="11" t="inlineStr">
        <is>
          <t>-</t>
        </is>
      </c>
      <c r="Z1296" s="11" t="n">
        <v>0</v>
      </c>
      <c r="AA1296" s="11" t="inlineStr">
        <is>
          <t>垫到60抽</t>
        </is>
      </c>
      <c r="AB1296" s="12">
        <f>AE1295</f>
        <v/>
      </c>
      <c r="AC1296" s="12" t="n">
        <v>4</v>
      </c>
      <c r="AD1296" s="12" t="n">
        <v>0</v>
      </c>
      <c r="AE1296" s="12">
        <f>AB1296+AC1296+AD1296</f>
        <v/>
      </c>
      <c r="AF1296" s="13">
        <f>AI1295</f>
        <v/>
      </c>
      <c r="AG1296" s="13" t="n">
        <v>0</v>
      </c>
      <c r="AH1296" s="13" t="n">
        <v>0</v>
      </c>
      <c r="AI1296" s="13">
        <f>AF1296+AG1296+AH1296</f>
        <v/>
      </c>
      <c r="AJ1296" s="14" t="n">
        <v>0</v>
      </c>
      <c r="AK1296" s="14" t="n">
        <v>50</v>
      </c>
      <c r="AL1296" s="14" t="n">
        <v>0</v>
      </c>
      <c r="AM1296" s="14">
        <f>AJ1296+AK1296+AL1296</f>
        <v/>
      </c>
      <c r="AN1296" s="14">
        <f>AN1295+AM1296</f>
        <v/>
      </c>
    </row>
    <row r="1297">
      <c r="A1297" s="8" t="n">
        <v>50</v>
      </c>
      <c r="B1297" s="8" t="n">
        <v>11</v>
      </c>
      <c r="C1297" s="8" t="n">
        <v>2</v>
      </c>
      <c r="D1297" s="8" t="inlineStr">
        <is>
          <t>月卡收益 [月卡续费-30元]</t>
        </is>
      </c>
      <c r="E1297" s="9">
        <f>K1296</f>
        <v/>
      </c>
      <c r="F1297" s="9" t="n">
        <v>1540</v>
      </c>
      <c r="G1297" s="9" t="n">
        <v>0</v>
      </c>
      <c r="H1297" s="9" t="n">
        <v>0</v>
      </c>
      <c r="I1297" s="9" t="n">
        <v>0</v>
      </c>
      <c r="J1297" s="9" t="n">
        <v>0</v>
      </c>
      <c r="K1297" s="9">
        <f>E1297+F1297+G1297+H1297+I1297-J1297</f>
        <v/>
      </c>
      <c r="L1297" s="10">
        <f>Q1296</f>
        <v/>
      </c>
      <c r="M1297" s="10" t="n">
        <v>0</v>
      </c>
      <c r="N1297" s="10" t="n">
        <v>3</v>
      </c>
      <c r="O1297" s="10">
        <f>J1297/160</f>
        <v/>
      </c>
      <c r="P1297" s="10" t="n">
        <v>40</v>
      </c>
      <c r="Q1297" s="10">
        <f>L1297+M1297+N1297+O1297-P1297</f>
        <v/>
      </c>
      <c r="R1297" s="11">
        <f>T1296</f>
        <v/>
      </c>
      <c r="S1297" s="11">
        <f>N(V1297) + N(X1297) + N(Z1297)</f>
        <v/>
      </c>
      <c r="T1297" s="11">
        <f>R1297+P1297-S1297</f>
        <v/>
      </c>
      <c r="U1297" s="11" t="inlineStr">
        <is>
          <t>是</t>
        </is>
      </c>
      <c r="V1297" s="11" t="n">
        <v>52</v>
      </c>
      <c r="W1297" s="11" t="inlineStr">
        <is>
          <t>否</t>
        </is>
      </c>
      <c r="X1297" s="11" t="inlineStr">
        <is>
          <t>-</t>
        </is>
      </c>
      <c r="Y1297" s="11" t="inlineStr">
        <is>
          <t>-</t>
        </is>
      </c>
      <c r="Z1297" s="11" t="n">
        <v>0</v>
      </c>
      <c r="AA1297" s="11" t="inlineStr">
        <is>
          <t>无</t>
        </is>
      </c>
      <c r="AB1297" s="12">
        <f>AE1296</f>
        <v/>
      </c>
      <c r="AC1297" s="12" t="n">
        <v>0</v>
      </c>
      <c r="AD1297" s="12" t="n">
        <v>0</v>
      </c>
      <c r="AE1297" s="12">
        <f>AB1297+AC1297+AD1297</f>
        <v/>
      </c>
      <c r="AF1297" s="13">
        <f>AI1296</f>
        <v/>
      </c>
      <c r="AG1297" s="13" t="n">
        <v>0</v>
      </c>
      <c r="AH1297" s="13" t="n">
        <v>0</v>
      </c>
      <c r="AI1297" s="13">
        <f>AF1297+AG1297+AH1297</f>
        <v/>
      </c>
      <c r="AJ1297" s="14" t="n">
        <v>30</v>
      </c>
      <c r="AK1297" s="14" t="n">
        <v>0</v>
      </c>
      <c r="AL1297" s="14" t="n">
        <v>0</v>
      </c>
      <c r="AM1297" s="14">
        <f>AJ1297+AK1297+AL1297</f>
        <v/>
      </c>
      <c r="AN1297" s="14">
        <f>AN1296+AM1297</f>
        <v/>
      </c>
    </row>
    <row r="1298">
      <c r="A1298" s="8" t="n">
        <v>50</v>
      </c>
      <c r="B1298" s="8" t="n">
        <v>12</v>
      </c>
      <c r="C1298" s="8" t="n">
        <v>1</v>
      </c>
      <c r="D1298" s="8" t="inlineStr">
        <is>
          <t>版本免费+义相逢 + 月卡收益</t>
        </is>
      </c>
      <c r="E1298" s="9">
        <f>K1297</f>
        <v/>
      </c>
      <c r="F1298" s="9" t="n">
        <v>1540</v>
      </c>
      <c r="G1298" s="9" t="n">
        <v>4800</v>
      </c>
      <c r="H1298" s="9" t="n">
        <v>0</v>
      </c>
      <c r="I1298" s="9" t="n">
        <v>0</v>
      </c>
      <c r="J1298" s="9" t="n">
        <v>0</v>
      </c>
      <c r="K1298" s="9">
        <f>E1298+F1298+G1298+H1298+I1298-J1298</f>
        <v/>
      </c>
      <c r="L1298" s="10">
        <f>Q1297</f>
        <v/>
      </c>
      <c r="M1298" s="10" t="n">
        <v>85</v>
      </c>
      <c r="N1298" s="10" t="n">
        <v>6</v>
      </c>
      <c r="O1298" s="10">
        <f>J1298/160</f>
        <v/>
      </c>
      <c r="P1298" s="10" t="n">
        <v>60</v>
      </c>
      <c r="Q1298" s="10">
        <f>L1298+M1298+N1298+O1298-P1298</f>
        <v/>
      </c>
      <c r="R1298" s="11">
        <f>T1297</f>
        <v/>
      </c>
      <c r="S1298" s="11">
        <f>N(V1298) + N(X1298) + N(Z1298)</f>
        <v/>
      </c>
      <c r="T1298" s="11">
        <f>R1298+P1298-S1298</f>
        <v/>
      </c>
      <c r="U1298" s="11" t="inlineStr">
        <is>
          <t>是</t>
        </is>
      </c>
      <c r="V1298" s="11" t="n">
        <v>48</v>
      </c>
      <c r="W1298" s="11" t="inlineStr">
        <is>
          <t>否</t>
        </is>
      </c>
      <c r="X1298" s="11" t="inlineStr">
        <is>
          <t>-</t>
        </is>
      </c>
      <c r="Y1298" s="11" t="inlineStr">
        <is>
          <t>-</t>
        </is>
      </c>
      <c r="Z1298" s="11" t="n">
        <v>0</v>
      </c>
      <c r="AA1298" s="11" t="inlineStr">
        <is>
          <t>垫到60抽</t>
        </is>
      </c>
      <c r="AB1298" s="12">
        <f>AE1297</f>
        <v/>
      </c>
      <c r="AC1298" s="12" t="n">
        <v>4</v>
      </c>
      <c r="AD1298" s="12" t="n">
        <v>0</v>
      </c>
      <c r="AE1298" s="12">
        <f>AB1298+AC1298+AD1298</f>
        <v/>
      </c>
      <c r="AF1298" s="13">
        <f>AI1297</f>
        <v/>
      </c>
      <c r="AG1298" s="13" t="n">
        <v>0</v>
      </c>
      <c r="AH1298" s="13" t="n">
        <v>0</v>
      </c>
      <c r="AI1298" s="13">
        <f>AF1298+AG1298+AH1298</f>
        <v/>
      </c>
      <c r="AJ1298" s="14" t="n">
        <v>0</v>
      </c>
      <c r="AK1298" s="14" t="n">
        <v>50</v>
      </c>
      <c r="AL1298" s="14" t="n">
        <v>0</v>
      </c>
      <c r="AM1298" s="14">
        <f>AJ1298+AK1298+AL1298</f>
        <v/>
      </c>
      <c r="AN1298" s="14">
        <f>AN1297+AM1298</f>
        <v/>
      </c>
    </row>
    <row r="1299">
      <c r="A1299" s="8" t="n">
        <v>50</v>
      </c>
      <c r="B1299" s="8" t="n">
        <v>12</v>
      </c>
      <c r="C1299" s="8" t="n">
        <v>2</v>
      </c>
      <c r="D1299" s="8" t="inlineStr">
        <is>
          <t>月卡收益 [月卡续费-30元]</t>
        </is>
      </c>
      <c r="E1299" s="9">
        <f>K1298</f>
        <v/>
      </c>
      <c r="F1299" s="9" t="n">
        <v>1540</v>
      </c>
      <c r="G1299" s="9" t="n">
        <v>0</v>
      </c>
      <c r="H1299" s="9" t="n">
        <v>0</v>
      </c>
      <c r="I1299" s="9" t="n">
        <v>0</v>
      </c>
      <c r="J1299" s="9" t="n">
        <v>0</v>
      </c>
      <c r="K1299" s="9">
        <f>E1299+F1299+G1299+H1299+I1299-J1299</f>
        <v/>
      </c>
      <c r="L1299" s="10">
        <f>Q1298</f>
        <v/>
      </c>
      <c r="M1299" s="10" t="n">
        <v>0</v>
      </c>
      <c r="N1299" s="10" t="n">
        <v>3</v>
      </c>
      <c r="O1299" s="10">
        <f>J1299/160</f>
        <v/>
      </c>
      <c r="P1299" s="10" t="n">
        <v>40</v>
      </c>
      <c r="Q1299" s="10">
        <f>L1299+M1299+N1299+O1299-P1299</f>
        <v/>
      </c>
      <c r="R1299" s="11">
        <f>T1298</f>
        <v/>
      </c>
      <c r="S1299" s="11">
        <f>N(V1299) + N(X1299) + N(Z1299)</f>
        <v/>
      </c>
      <c r="T1299" s="11">
        <f>R1299+P1299-S1299</f>
        <v/>
      </c>
      <c r="U1299" s="11" t="inlineStr">
        <is>
          <t>是</t>
        </is>
      </c>
      <c r="V1299" s="11" t="n">
        <v>52</v>
      </c>
      <c r="W1299" s="11" t="inlineStr">
        <is>
          <t>否</t>
        </is>
      </c>
      <c r="X1299" s="11" t="inlineStr">
        <is>
          <t>-</t>
        </is>
      </c>
      <c r="Y1299" s="11" t="inlineStr">
        <is>
          <t>-</t>
        </is>
      </c>
      <c r="Z1299" s="11" t="n">
        <v>0</v>
      </c>
      <c r="AA1299" s="11" t="inlineStr">
        <is>
          <t>无</t>
        </is>
      </c>
      <c r="AB1299" s="12">
        <f>AE1298</f>
        <v/>
      </c>
      <c r="AC1299" s="12" t="n">
        <v>0</v>
      </c>
      <c r="AD1299" s="12" t="n">
        <v>0</v>
      </c>
      <c r="AE1299" s="12">
        <f>AB1299+AC1299+AD1299</f>
        <v/>
      </c>
      <c r="AF1299" s="13">
        <f>AI1298</f>
        <v/>
      </c>
      <c r="AG1299" s="13" t="n">
        <v>0</v>
      </c>
      <c r="AH1299" s="13" t="n">
        <v>0</v>
      </c>
      <c r="AI1299" s="13">
        <f>AF1299+AG1299+AH1299</f>
        <v/>
      </c>
      <c r="AJ1299" s="14" t="n">
        <v>30</v>
      </c>
      <c r="AK1299" s="14" t="n">
        <v>0</v>
      </c>
      <c r="AL1299" s="14" t="n">
        <v>0</v>
      </c>
      <c r="AM1299" s="14">
        <f>AJ1299+AK1299+AL1299</f>
        <v/>
      </c>
      <c r="AN1299" s="14">
        <f>AN1298+AM1299</f>
        <v/>
      </c>
    </row>
    <row r="1300">
      <c r="A1300" s="8" t="n">
        <v>50</v>
      </c>
      <c r="B1300" s="8" t="n">
        <v>13</v>
      </c>
      <c r="C1300" s="8" t="n">
        <v>1</v>
      </c>
      <c r="D1300" s="8" t="inlineStr">
        <is>
          <t>版本免费+义相逢 + 月卡收益</t>
        </is>
      </c>
      <c r="E1300" s="9">
        <f>K1299</f>
        <v/>
      </c>
      <c r="F1300" s="9" t="n">
        <v>1540</v>
      </c>
      <c r="G1300" s="9" t="n">
        <v>4800</v>
      </c>
      <c r="H1300" s="9" t="n">
        <v>0</v>
      </c>
      <c r="I1300" s="9" t="n">
        <v>0</v>
      </c>
      <c r="J1300" s="9" t="n">
        <v>0</v>
      </c>
      <c r="K1300" s="9">
        <f>E1300+F1300+G1300+H1300+I1300-J1300</f>
        <v/>
      </c>
      <c r="L1300" s="10">
        <f>Q1299</f>
        <v/>
      </c>
      <c r="M1300" s="10" t="n">
        <v>85</v>
      </c>
      <c r="N1300" s="10" t="n">
        <v>6</v>
      </c>
      <c r="O1300" s="10">
        <f>J1300/160</f>
        <v/>
      </c>
      <c r="P1300" s="10" t="n">
        <v>60</v>
      </c>
      <c r="Q1300" s="10">
        <f>L1300+M1300+N1300+O1300-P1300</f>
        <v/>
      </c>
      <c r="R1300" s="11">
        <f>T1299</f>
        <v/>
      </c>
      <c r="S1300" s="11">
        <f>N(V1300) + N(X1300) + N(Z1300)</f>
        <v/>
      </c>
      <c r="T1300" s="11">
        <f>R1300+P1300-S1300</f>
        <v/>
      </c>
      <c r="U1300" s="11" t="inlineStr">
        <is>
          <t>是</t>
        </is>
      </c>
      <c r="V1300" s="11" t="n">
        <v>48</v>
      </c>
      <c r="W1300" s="11" t="inlineStr">
        <is>
          <t>否</t>
        </is>
      </c>
      <c r="X1300" s="11" t="inlineStr">
        <is>
          <t>-</t>
        </is>
      </c>
      <c r="Y1300" s="11" t="inlineStr">
        <is>
          <t>UP(10)</t>
        </is>
      </c>
      <c r="Z1300" s="11" t="n">
        <v>10</v>
      </c>
      <c r="AA1300" s="11" t="inlineStr">
        <is>
          <t>垫到60抽</t>
        </is>
      </c>
      <c r="AB1300" s="12">
        <f>AE1299</f>
        <v/>
      </c>
      <c r="AC1300" s="12" t="n">
        <v>4</v>
      </c>
      <c r="AD1300" s="12" t="n">
        <v>0</v>
      </c>
      <c r="AE1300" s="12">
        <f>AB1300+AC1300+AD1300</f>
        <v/>
      </c>
      <c r="AF1300" s="13">
        <f>AI1299</f>
        <v/>
      </c>
      <c r="AG1300" s="13" t="n">
        <v>0</v>
      </c>
      <c r="AH1300" s="13" t="n">
        <v>0</v>
      </c>
      <c r="AI1300" s="13">
        <f>AF1300+AG1300+AH1300</f>
        <v/>
      </c>
      <c r="AJ1300" s="14" t="n">
        <v>0</v>
      </c>
      <c r="AK1300" s="14" t="n">
        <v>50</v>
      </c>
      <c r="AL1300" s="14" t="n">
        <v>0</v>
      </c>
      <c r="AM1300" s="14">
        <f>AJ1300+AK1300+AL1300</f>
        <v/>
      </c>
      <c r="AN1300" s="14">
        <f>AN1299+AM1300</f>
        <v/>
      </c>
    </row>
    <row r="1301">
      <c r="A1301" s="8" t="n">
        <v>50</v>
      </c>
      <c r="B1301" s="8" t="n">
        <v>13</v>
      </c>
      <c r="C1301" s="8" t="n">
        <v>2</v>
      </c>
      <c r="D1301" s="8" t="inlineStr">
        <is>
          <t>月卡收益 [月卡续费-30元]</t>
        </is>
      </c>
      <c r="E1301" s="9">
        <f>K1300</f>
        <v/>
      </c>
      <c r="F1301" s="9" t="n">
        <v>1540</v>
      </c>
      <c r="G1301" s="9" t="n">
        <v>0</v>
      </c>
      <c r="H1301" s="9" t="n">
        <v>0</v>
      </c>
      <c r="I1301" s="9" t="n">
        <v>0</v>
      </c>
      <c r="J1301" s="9" t="n">
        <v>23680</v>
      </c>
      <c r="K1301" s="9">
        <f>E1301+F1301+G1301+H1301+I1301-J1301</f>
        <v/>
      </c>
      <c r="L1301" s="10">
        <f>Q1300</f>
        <v/>
      </c>
      <c r="M1301" s="10" t="n">
        <v>0</v>
      </c>
      <c r="N1301" s="10" t="n">
        <v>21</v>
      </c>
      <c r="O1301" s="10">
        <f>J1301/160</f>
        <v/>
      </c>
      <c r="P1301" s="10" t="n">
        <v>200</v>
      </c>
      <c r="Q1301" s="10">
        <f>L1301+M1301+N1301+O1301-P1301</f>
        <v/>
      </c>
      <c r="R1301" s="11">
        <f>T1300</f>
        <v/>
      </c>
      <c r="S1301" s="11">
        <f>N(V1301) + N(X1301) + N(Z1301)</f>
        <v/>
      </c>
      <c r="T1301" s="11">
        <f>R1301+P1301-S1301</f>
        <v/>
      </c>
      <c r="U1301" s="11" t="inlineStr">
        <is>
          <t>是</t>
        </is>
      </c>
      <c r="V1301" s="11" t="n">
        <v>51</v>
      </c>
      <c r="W1301" s="11" t="inlineStr">
        <is>
          <t>是</t>
        </is>
      </c>
      <c r="X1301" s="11" t="n">
        <v>49</v>
      </c>
      <c r="Y1301" s="11" t="inlineStr">
        <is>
          <t>歪(49), UP(47)</t>
        </is>
      </c>
      <c r="Z1301" s="11" t="n">
        <v>96</v>
      </c>
      <c r="AA1301" s="11" t="inlineStr">
        <is>
          <t>冲刺200(动态90)</t>
        </is>
      </c>
      <c r="AB1301" s="12">
        <f>AE1300</f>
        <v/>
      </c>
      <c r="AC1301" s="12" t="n">
        <v>0</v>
      </c>
      <c r="AD1301" s="12" t="n">
        <v>1</v>
      </c>
      <c r="AE1301" s="12">
        <f>AB1301+AC1301+AD1301</f>
        <v/>
      </c>
      <c r="AF1301" s="13">
        <f>AI1300</f>
        <v/>
      </c>
      <c r="AG1301" s="13" t="n">
        <v>0</v>
      </c>
      <c r="AH1301" s="13" t="n">
        <v>5000</v>
      </c>
      <c r="AI1301" s="13">
        <f>AF1301+AG1301+AH1301</f>
        <v/>
      </c>
      <c r="AJ1301" s="14" t="n">
        <v>30</v>
      </c>
      <c r="AK1301" s="14" t="n">
        <v>0</v>
      </c>
      <c r="AL1301" s="14" t="n">
        <v>0</v>
      </c>
      <c r="AM1301" s="14">
        <f>AJ1301+AK1301+AL1301</f>
        <v/>
      </c>
      <c r="AN1301" s="14">
        <f>AN1300+AM1301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2026-01-20T08:51:48Z</dcterms:created>
  <dcterms:modified xmlns:dcterms="http://purl.org/dc/terms/" xmlns:xsi="http://www.w3.org/2001/XMLSchema-instance" xsi:type="dcterms:W3CDTF">2026-01-20T08:51:49Z</dcterms:modified>
</cp:coreProperties>
</file>